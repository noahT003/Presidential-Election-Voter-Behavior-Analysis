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thomas/Downloads/"/>
    </mc:Choice>
  </mc:AlternateContent>
  <xr:revisionPtr revIDLastSave="0" documentId="8_{4C9C2C7B-5B09-B745-ABB8-1A3569B0DC8E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IVOT" sheetId="3" r:id="rId1"/>
    <sheet name="newResults" sheetId="4" r:id="rId2"/>
    <sheet name="Minnesota_2024 Election Results" sheetId="1" r:id="rId3"/>
    <sheet name="Cleaning Log" sheetId="2" r:id="rId4"/>
  </sheets>
  <externalReferences>
    <externalReference r:id="rId5"/>
  </externalReferenc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2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</calcChain>
</file>

<file path=xl/sharedStrings.xml><?xml version="1.0" encoding="utf-8"?>
<sst xmlns="http://schemas.openxmlformats.org/spreadsheetml/2006/main" count="3792" uniqueCount="147">
  <si>
    <t>MN</t>
  </si>
  <si>
    <t>U.S. President &amp; Vice President</t>
  </si>
  <si>
    <t>Donald J. Trump and JD Vance</t>
  </si>
  <si>
    <t>R</t>
  </si>
  <si>
    <t>Kamala D. Harris and Tim Walz</t>
  </si>
  <si>
    <t>DFL</t>
  </si>
  <si>
    <t>Chase Oliver and Mike ter Maat</t>
  </si>
  <si>
    <t>LIB</t>
  </si>
  <si>
    <t>Robert F. Kennedy Jr. and Nicole Shanahan</t>
  </si>
  <si>
    <t>WTP</t>
  </si>
  <si>
    <t>Jill Stein and Samson Kpadenou</t>
  </si>
  <si>
    <t>G</t>
  </si>
  <si>
    <t>Claudia De la Cruz and Karina Garcia</t>
  </si>
  <si>
    <t>SLP</t>
  </si>
  <si>
    <t>Rachele Fruit and Dennis Richter</t>
  </si>
  <si>
    <t>SWP</t>
  </si>
  <si>
    <t>Cornel West and Melina Abdullah</t>
  </si>
  <si>
    <t>JFA</t>
  </si>
  <si>
    <t>Shiva Ayyadurai and Crystal Ellis</t>
  </si>
  <si>
    <t>IND</t>
  </si>
  <si>
    <t>WRITE-IN</t>
  </si>
  <si>
    <t>WI</t>
  </si>
  <si>
    <t>State</t>
  </si>
  <si>
    <t>CountyID</t>
  </si>
  <si>
    <t>Office ID</t>
  </si>
  <si>
    <t>Office Name</t>
  </si>
  <si>
    <t>Candidate Order Code</t>
  </si>
  <si>
    <t>Candidate Name Description</t>
  </si>
  <si>
    <t>Party Abbreviation</t>
  </si>
  <si>
    <t>Number of precincts Reporting</t>
  </si>
  <si>
    <t>Total Number of Precincts</t>
  </si>
  <si>
    <t>Votes</t>
  </si>
  <si>
    <t>Percentage of votes for candidate of total votes for office</t>
  </si>
  <si>
    <t>Total votes for office in area</t>
  </si>
  <si>
    <t>County Descriptions</t>
  </si>
  <si>
    <t>Number of Counties</t>
  </si>
  <si>
    <t>Aitkin</t>
  </si>
  <si>
    <t>VLOOKUP Checker</t>
  </si>
  <si>
    <t xml:space="preserve">1. Combined files with VLOOKUP </t>
  </si>
  <si>
    <t>Row Labels</t>
  </si>
  <si>
    <t>Grand Total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</si>
  <si>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</si>
  <si>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</si>
  <si>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</si>
  <si>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</si>
  <si>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</si>
  <si>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</si>
  <si>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</si>
  <si>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</si>
  <si>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</si>
  <si>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</si>
  <si>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</si>
  <si>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</si>
  <si>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</si>
  <si>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</si>
  <si>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</si>
  <si>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</si>
  <si>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</si>
  <si>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</si>
  <si>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</si>
  <si>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</si>
  <si>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</si>
  <si>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</si>
  <si>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</si>
  <si>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</si>
  <si>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</si>
  <si>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</si>
  <si>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</si>
  <si>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</si>
  <si>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</si>
  <si>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</si>
  <si>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</si>
  <si>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</si>
  <si>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</si>
  <si>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</si>
  <si>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</si>
  <si>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</si>
  <si>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</si>
  <si>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</si>
  <si>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</si>
  <si>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</si>
  <si>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</si>
  <si>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</si>
  <si>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</si>
  <si>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</si>
  <si>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</si>
  <si>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</si>
  <si>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</si>
  <si>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</si>
  <si>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</si>
  <si>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</si>
  <si>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</si>
  <si>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</si>
  <si>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</si>
  <si>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</si>
  <si>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</si>
  <si>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</si>
  <si>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</si>
  <si>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</si>
  <si>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</si>
  <si>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</si>
  <si>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</si>
  <si>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</si>
  <si>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</si>
  <si>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</si>
  <si>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</si>
  <si>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</si>
  <si>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</si>
  <si>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Scott</t>
  </si>
  <si>
    <t>Sherburne</t>
  </si>
  <si>
    <t>Sibley</t>
  </si>
  <si>
    <t>St. Louis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</si>
  <si>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</si>
  <si>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</si>
  <si>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</si>
  <si>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</si>
  <si>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</si>
  <si>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</si>
  <si>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</si>
  <si>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</si>
  <si>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</si>
  <si>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</si>
  <si>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</si>
  <si>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</si>
  <si>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</si>
  <si>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</si>
  <si>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</si>
  <si>
    <t>(All)</t>
  </si>
  <si>
    <t>Column Labels</t>
  </si>
  <si>
    <t>Sum of Votes</t>
  </si>
  <si>
    <t>County</t>
  </si>
  <si>
    <t>Trump Votes</t>
  </si>
  <si>
    <t>Stein Votes</t>
  </si>
  <si>
    <t>Harris Votes</t>
  </si>
  <si>
    <t>Total Votes</t>
  </si>
  <si>
    <t>2. Reformatted file via pivot table</t>
  </si>
  <si>
    <t>3. Hid irrelevant columns (B - D, H - K)</t>
  </si>
  <si>
    <t>4. Labelled relevant columns</t>
  </si>
  <si>
    <t>Trump Percent</t>
  </si>
  <si>
    <t>Stein Percent</t>
  </si>
  <si>
    <t>Harris Percent</t>
  </si>
  <si>
    <t>2024 Winner</t>
  </si>
  <si>
    <t>5. Calculated percents for each candidate</t>
  </si>
  <si>
    <t>6. Found winner via formulas</t>
  </si>
  <si>
    <t>7. Copy and pasted formulas into numeric values (numeric values on the right)</t>
  </si>
  <si>
    <t>Trump</t>
  </si>
  <si>
    <t>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</si>
</sst>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oahthomas/Downloads/Minnesota%20Counties.txt" TargetMode="External"/><Relationship Id="rId1" Type="http://schemas.openxmlformats.org/officeDocument/2006/relationships/externalLinkPath" Target="Minnesota%20Counties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nesota Countie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715.464693402777" createdVersion="8" refreshedVersion="8" minRefreshableVersion="3" recordCount="870" xr:uid="{AB7B2099-231E-7544-94A0-9107F4A96804}">
  <cacheSource type="worksheet">
    <worksheetSource name="Table1"/>
  </cacheSource>
  <cacheFields count="15">
    <cacheField name="CountyID" numFmtId="0">
      <sharedItems containsSemiMixedTypes="0" containsString="0" containsNumber="1" containsInteger="1" minValue="1" maxValue="87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</sharedItems>
    </cacheField>
    <cacheField name="County Descriptions" numFmtId="0">
      <sharedItems count="87">
        <s v="Aitkin"/>
        <s v="Anoka"/>
        <s v="Becker"/>
        <s v="Beltrami"/>
        <s v="Benton"/>
        <s v="Big Stone"/>
        <s v="Blue Earth"/>
        <s v="Brown"/>
        <s v="Carlton"/>
        <s v="Carver"/>
        <s v="Cass"/>
        <s v="Chippewa"/>
        <s v="Chisago"/>
        <s v="Clay"/>
        <s v="Clearwater"/>
        <s v="Cook"/>
        <s v="Cottonwood"/>
        <s v="Crow Wing"/>
        <s v="Dakota"/>
        <s v="Dodge"/>
        <s v="Douglas"/>
        <s v="Faribault"/>
        <s v="Fillmore"/>
        <s v="Freeborn"/>
        <s v="Goodhue"/>
        <s v="Grant"/>
        <s v="Hennepin"/>
        <s v="Houston"/>
        <s v="Hubbard"/>
        <s v="Isanti"/>
        <s v="Itasca"/>
        <s v="Jackson"/>
        <s v="Kanabec"/>
        <s v="Kandiyohi"/>
        <s v="Kittson"/>
        <s v="Koochiching"/>
        <s v="Lac Qui Parle"/>
        <s v="Lake"/>
        <s v="Lake Of The Woods"/>
        <s v="Le Sueur"/>
        <s v="Lincoln"/>
        <s v="Lyon"/>
        <s v="Mcleod"/>
        <s v="Mahnomen"/>
        <s v="Marshall"/>
        <s v="Martin"/>
        <s v="Meeker"/>
        <s v="Mille Lacs"/>
        <s v="Morrison"/>
        <s v="Mower"/>
        <s v="Murray"/>
        <s v="Nicollet"/>
        <s v="Nobles"/>
        <s v="Norman"/>
        <s v="Olmsted"/>
        <s v="Otter Tail"/>
        <s v="Pennington"/>
        <s v="Pine"/>
        <s v="Pipestone"/>
        <s v="Polk"/>
        <s v="Pope"/>
        <s v="Ramsey"/>
        <s v="Red Lake"/>
        <s v="Redwood"/>
        <s v="Renville"/>
        <s v="Rice"/>
        <s v="Rock"/>
        <s v="Roseau"/>
        <s v="St. Louis"/>
        <s v="Scott"/>
        <s v="Sherburne"/>
        <s v="Sibley"/>
        <s v="Stearns"/>
        <s v="Steele"/>
        <s v="Stevens"/>
        <s v="Swift"/>
        <s v="Todd"/>
        <s v="Traverse"/>
        <s v="Wabasha"/>
        <s v="Wadena"/>
        <s v="Waseca"/>
        <s v="Washington"/>
        <s v="Watonwan"/>
        <s v="Wilkin"/>
        <s v="Winona"/>
        <s v="Wright"/>
        <s v="Yellow Medicine"/>
      </sharedItems>
    </cacheField>
    <cacheField name="Number of Counties" numFmtId="0">
      <sharedItems containsSemiMixedTypes="0" containsString="0" containsNumber="1" containsInteger="1" minValue="14" maxValue="396"/>
    </cacheField>
    <cacheField name="Number of precincts Reporting" numFmtId="0">
      <sharedItems containsSemiMixedTypes="0" containsString="0" containsNumber="1" containsInteger="1" minValue="14" maxValue="396"/>
    </cacheField>
    <cacheField name="VLOOKUP Checker" numFmtId="0">
      <sharedItems containsSemiMixedTypes="0" containsString="0" containsNumber="1" containsInteger="1" minValue="0" maxValue="0"/>
    </cacheField>
    <cacheField name="State" numFmtId="0">
      <sharedItems/>
    </cacheField>
    <cacheField name="Office Name" numFmtId="0">
      <sharedItems count="1">
        <s v="U.S. President &amp; Vice President"/>
      </sharedItems>
    </cacheField>
    <cacheField name="Office ID" numFmtId="0">
      <sharedItems containsSemiMixedTypes="0" containsString="0" containsNumber="1" containsInteger="1" minValue="101" maxValue="101"/>
    </cacheField>
    <cacheField name="Candidate Order Code" numFmtId="0">
      <sharedItems containsSemiMixedTypes="0" containsString="0" containsNumber="1" containsInteger="1" minValue="101" maxValue="9901"/>
    </cacheField>
    <cacheField name="Candidate Name Description" numFmtId="0">
      <sharedItems count="10">
        <s v="Donald J. Trump and JD Vance"/>
        <s v="Kamala D. Harris and Tim Walz"/>
        <s v="Chase Oliver and Mike ter Maat"/>
        <s v="Robert F. Kennedy Jr. and Nicole Shanahan"/>
        <s v="Jill Stein and Samson Kpadenou"/>
        <s v="Claudia De la Cruz and Karina Garcia"/>
        <s v="Rachele Fruit and Dennis Richter"/>
        <s v="Cornel West and Melina Abdullah"/>
        <s v="Shiva Ayyadurai and Crystal Ellis"/>
        <s v="WRITE-IN"/>
      </sharedItems>
    </cacheField>
    <cacheField name="Party Abbreviation" numFmtId="0">
      <sharedItems/>
    </cacheField>
    <cacheField name="Total Number of Precincts" numFmtId="0">
      <sharedItems containsSemiMixedTypes="0" containsString="0" containsNumber="1" containsInteger="1" minValue="14" maxValue="396"/>
    </cacheField>
    <cacheField name="Votes" numFmtId="0">
      <sharedItems containsSemiMixedTypes="0" containsString="0" containsNumber="1" containsInteger="1" minValue="0" maxValue="502710" count="360">
        <n v="6741"/>
        <n v="3524"/>
        <n v="31"/>
        <n v="82"/>
        <n v="25"/>
        <n v="0"/>
        <n v="1"/>
        <n v="15"/>
        <n v="27"/>
        <n v="106974"/>
        <n v="97667"/>
        <n v="1137"/>
        <n v="1591"/>
        <n v="1725"/>
        <n v="145"/>
        <n v="22"/>
        <n v="191"/>
        <n v="204"/>
        <n v="825"/>
        <n v="12961"/>
        <n v="6435"/>
        <n v="58"/>
        <n v="182"/>
        <n v="2"/>
        <n v="8"/>
        <n v="18"/>
        <n v="43"/>
        <n v="12898"/>
        <n v="11493"/>
        <n v="97"/>
        <n v="192"/>
        <n v="62"/>
        <n v="13"/>
        <n v="5"/>
        <n v="19"/>
        <n v="28"/>
        <n v="67"/>
        <n v="15260"/>
        <n v="7084"/>
        <n v="118"/>
        <n v="195"/>
        <n v="75"/>
        <n v="14"/>
        <n v="3"/>
        <n v="4"/>
        <n v="10"/>
        <n v="61"/>
        <n v="1796"/>
        <n v="964"/>
        <n v="6"/>
        <n v="44"/>
        <n v="18001"/>
        <n v="17558"/>
        <n v="160"/>
        <n v="351"/>
        <n v="140"/>
        <n v="40"/>
        <n v="24"/>
        <n v="116"/>
        <n v="9692"/>
        <n v="4576"/>
        <n v="131"/>
        <n v="7"/>
        <n v="21"/>
        <n v="72"/>
        <n v="10435"/>
        <n v="9905"/>
        <n v="79"/>
        <n v="229"/>
        <n v="52"/>
        <n v="69"/>
        <n v="35586"/>
        <n v="31869"/>
        <n v="413"/>
        <n v="561"/>
        <n v="262"/>
        <n v="23"/>
        <n v="30"/>
        <n v="53"/>
        <n v="356"/>
        <n v="12759"/>
        <n v="6300"/>
        <n v="54"/>
        <n v="34"/>
        <n v="11"/>
        <n v="47"/>
        <n v="4175"/>
        <n v="2026"/>
        <n v="16"/>
        <n v="57"/>
        <n v="23047"/>
        <n v="11894"/>
        <n v="185"/>
        <n v="255"/>
        <n v="33"/>
        <n v="99"/>
        <n v="15965"/>
        <n v="16121"/>
        <n v="141"/>
        <n v="309"/>
        <n v="115"/>
        <n v="26"/>
        <n v="3575"/>
        <n v="1169"/>
        <n v="29"/>
        <n v="9"/>
        <n v="1142"/>
        <n v="2416"/>
        <n v="12"/>
        <n v="32"/>
        <n v="4157"/>
        <n v="1705"/>
        <n v="27423"/>
        <n v="14173"/>
        <n v="157"/>
        <n v="313"/>
        <n v="91"/>
        <n v="154"/>
        <n v="109995"/>
        <n v="143267"/>
        <n v="1346"/>
        <n v="1777"/>
        <n v="1499"/>
        <n v="173"/>
        <n v="235"/>
        <n v="272"/>
        <n v="1215"/>
        <n v="8095"/>
        <n v="4108"/>
        <n v="50"/>
        <n v="137"/>
        <n v="36"/>
        <n v="16726"/>
        <n v="7938"/>
        <n v="193"/>
        <n v="87"/>
        <n v="5247"/>
        <n v="2352"/>
        <n v="7638"/>
        <n v="4491"/>
        <n v="112"/>
        <n v="10003"/>
        <n v="6448"/>
        <n v="46"/>
        <n v="124"/>
        <n v="16461"/>
        <n v="11731"/>
        <n v="35"/>
        <n v="71"/>
        <n v="2266"/>
        <n v="1187"/>
        <n v="197244"/>
        <n v="502710"/>
        <n v="3585"/>
        <n v="4209"/>
        <n v="5522"/>
        <n v="1370"/>
        <n v="143"/>
        <n v="1234"/>
        <n v="574"/>
        <n v="3582"/>
        <n v="6547"/>
        <n v="4667"/>
        <n v="8809"/>
        <n v="4536"/>
        <n v="18027"/>
        <n v="7384"/>
        <n v="108"/>
        <n v="211"/>
        <n v="56"/>
        <n v="89"/>
        <n v="15863"/>
        <n v="10467"/>
        <n v="95"/>
        <n v="254"/>
        <n v="51"/>
        <n v="80"/>
        <n v="3949"/>
        <n v="1581"/>
        <n v="65"/>
        <n v="6818"/>
        <n v="2718"/>
        <n v="68"/>
        <n v="15014"/>
        <n v="7814"/>
        <n v="96"/>
        <n v="174"/>
        <n v="63"/>
        <n v="70"/>
        <n v="1535"/>
        <n v="911"/>
        <n v="4204"/>
        <n v="2465"/>
        <n v="20"/>
        <n v="2600"/>
        <n v="1314"/>
        <n v="38"/>
        <n v="3265"/>
        <n v="3534"/>
        <n v="1710"/>
        <n v="604"/>
        <n v="17"/>
        <n v="11503"/>
        <n v="5636"/>
        <n v="158"/>
        <n v="2190"/>
        <n v="972"/>
        <n v="8400"/>
        <n v="4284"/>
        <n v="64"/>
        <n v="149"/>
        <n v="14394"/>
        <n v="6374"/>
        <n v="84"/>
        <n v="180"/>
        <n v="42"/>
        <n v="1165"/>
        <n v="975"/>
        <n v="3774"/>
        <n v="1177"/>
        <n v="7442"/>
        <n v="3171"/>
        <n v="9645"/>
        <n v="3802"/>
        <n v="49"/>
        <n v="113"/>
        <n v="10570"/>
        <n v="4374"/>
        <n v="15666"/>
        <n v="4306"/>
        <n v="171"/>
        <n v="37"/>
        <n v="41"/>
        <n v="10297"/>
        <n v="8312"/>
        <n v="39"/>
        <n v="3346"/>
        <n v="1329"/>
        <n v="9540"/>
        <n v="9441"/>
        <n v="81"/>
        <n v="48"/>
        <n v="5541"/>
        <n v="2599"/>
        <n v="1963"/>
        <n v="1233"/>
        <n v="39467"/>
        <n v="49121"/>
        <n v="494"/>
        <n v="700"/>
        <n v="521"/>
        <n v="90"/>
        <n v="400"/>
        <n v="24276"/>
        <n v="11752"/>
        <n v="146"/>
        <n v="307"/>
        <n v="128"/>
        <n v="4756"/>
        <n v="2439"/>
        <n v="92"/>
        <n v="11274"/>
        <n v="5339"/>
        <n v="142"/>
        <n v="3537"/>
        <n v="10162"/>
        <n v="4967"/>
        <n v="4677"/>
        <n v="2398"/>
        <n v="75284"/>
        <n v="195168"/>
        <n v="1331"/>
        <n v="1529"/>
        <n v="2127"/>
        <n v="549"/>
        <n v="469"/>
        <n v="200"/>
        <n v="1289"/>
        <n v="1425"/>
        <n v="642"/>
        <n v="5895"/>
        <n v="2300"/>
        <n v="5610"/>
        <n v="2280"/>
        <n v="18264"/>
        <n v="17353"/>
        <n v="155"/>
        <n v="289"/>
        <n v="139"/>
        <n v="3690"/>
        <n v="1585"/>
        <n v="6279"/>
        <n v="2093"/>
        <n v="66"/>
        <n v="50065"/>
        <n v="66335"/>
        <n v="507"/>
        <n v="425"/>
        <n v="85"/>
        <n v="106"/>
        <n v="422"/>
        <n v="47837"/>
        <n v="40214"/>
        <n v="674"/>
        <n v="73"/>
        <n v="335"/>
        <n v="38491"/>
        <n v="18329"/>
        <n v="302"/>
        <n v="391"/>
        <n v="183"/>
        <n v="6014"/>
        <n v="2351"/>
        <n v="78"/>
        <n v="53932"/>
        <n v="30829"/>
        <n v="338"/>
        <n v="705"/>
        <n v="354"/>
        <n v="271"/>
        <n v="12742"/>
        <n v="7650"/>
        <n v="208"/>
        <n v="3213"/>
        <n v="1827"/>
        <n v="3340"/>
        <n v="1618"/>
        <n v="10392"/>
        <n v="3072"/>
        <n v="597"/>
        <n v="8523"/>
        <n v="4721"/>
        <n v="6028"/>
        <n v="1898"/>
        <n v="6770"/>
        <n v="3402"/>
        <n v="93"/>
        <n v="75271"/>
        <n v="90324"/>
        <n v="894"/>
        <n v="1134"/>
        <n v="753"/>
        <n v="165"/>
        <n v="793"/>
        <n v="3087"/>
        <n v="1723"/>
        <n v="2290"/>
        <n v="986"/>
        <n v="14288"/>
        <n v="12929"/>
        <n v="246"/>
        <n v="76"/>
        <n v="57211"/>
        <n v="30883"/>
        <n v="474"/>
        <n v="768"/>
        <n v="224"/>
        <n v="341"/>
        <n v="3738"/>
        <n v="1548"/>
      </sharedItems>
    </cacheField>
    <cacheField name="Percentage of votes for candidate of total votes for office" numFmtId="0">
      <sharedItems containsSemiMixedTypes="0" containsString="0" containsNumber="1" minValue="0" maxValue="77.12"/>
    </cacheField>
    <cacheField name="Total votes for office in area" numFmtId="0">
      <sharedItems containsSemiMixedTypes="0" containsString="0" containsNumber="1" containsInteger="1" minValue="1802" maxValue="7201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x v="0"/>
    <x v="0"/>
    <n v="51"/>
    <n v="51"/>
    <n v="0"/>
    <s v="MN"/>
    <x v="0"/>
    <n v="101"/>
    <n v="101"/>
    <x v="0"/>
    <s v="R"/>
    <n v="51"/>
    <x v="0"/>
    <n v="64.53"/>
    <n v="10446"/>
  </r>
  <r>
    <x v="0"/>
    <x v="0"/>
    <n v="51"/>
    <n v="51"/>
    <n v="0"/>
    <s v="MN"/>
    <x v="0"/>
    <n v="101"/>
    <n v="201"/>
    <x v="1"/>
    <s v="DFL"/>
    <n v="51"/>
    <x v="1"/>
    <n v="33.74"/>
    <n v="10446"/>
  </r>
  <r>
    <x v="0"/>
    <x v="0"/>
    <n v="51"/>
    <n v="51"/>
    <n v="0"/>
    <s v="MN"/>
    <x v="0"/>
    <n v="101"/>
    <n v="301"/>
    <x v="2"/>
    <s v="LIB"/>
    <n v="51"/>
    <x v="2"/>
    <n v="0.3"/>
    <n v="10446"/>
  </r>
  <r>
    <x v="0"/>
    <x v="0"/>
    <n v="51"/>
    <n v="51"/>
    <n v="0"/>
    <s v="MN"/>
    <x v="0"/>
    <n v="101"/>
    <n v="401"/>
    <x v="3"/>
    <s v="WTP"/>
    <n v="51"/>
    <x v="3"/>
    <n v="0.78"/>
    <n v="10446"/>
  </r>
  <r>
    <x v="0"/>
    <x v="0"/>
    <n v="51"/>
    <n v="51"/>
    <n v="0"/>
    <s v="MN"/>
    <x v="0"/>
    <n v="101"/>
    <n v="501"/>
    <x v="4"/>
    <s v="G"/>
    <n v="51"/>
    <x v="4"/>
    <n v="0.24"/>
    <n v="10446"/>
  </r>
  <r>
    <x v="0"/>
    <x v="0"/>
    <n v="51"/>
    <n v="51"/>
    <n v="0"/>
    <s v="MN"/>
    <x v="0"/>
    <n v="101"/>
    <n v="601"/>
    <x v="5"/>
    <s v="SLP"/>
    <n v="51"/>
    <x v="5"/>
    <n v="0"/>
    <n v="10446"/>
  </r>
  <r>
    <x v="0"/>
    <x v="0"/>
    <n v="51"/>
    <n v="51"/>
    <n v="0"/>
    <s v="MN"/>
    <x v="0"/>
    <n v="101"/>
    <n v="701"/>
    <x v="6"/>
    <s v="SWP"/>
    <n v="51"/>
    <x v="5"/>
    <n v="0"/>
    <n v="10446"/>
  </r>
  <r>
    <x v="0"/>
    <x v="0"/>
    <n v="51"/>
    <n v="51"/>
    <n v="0"/>
    <s v="MN"/>
    <x v="0"/>
    <n v="101"/>
    <n v="801"/>
    <x v="7"/>
    <s v="JFA"/>
    <n v="51"/>
    <x v="6"/>
    <n v="0.01"/>
    <n v="10446"/>
  </r>
  <r>
    <x v="0"/>
    <x v="0"/>
    <n v="51"/>
    <n v="51"/>
    <n v="0"/>
    <s v="MN"/>
    <x v="0"/>
    <n v="101"/>
    <n v="901"/>
    <x v="8"/>
    <s v="IND"/>
    <n v="51"/>
    <x v="7"/>
    <n v="0.14000000000000001"/>
    <n v="10446"/>
  </r>
  <r>
    <x v="0"/>
    <x v="0"/>
    <n v="51"/>
    <n v="51"/>
    <n v="0"/>
    <s v="MN"/>
    <x v="0"/>
    <n v="101"/>
    <n v="9901"/>
    <x v="9"/>
    <s v="WI"/>
    <n v="51"/>
    <x v="8"/>
    <n v="0.26"/>
    <n v="10446"/>
  </r>
  <r>
    <x v="1"/>
    <x v="1"/>
    <n v="128"/>
    <n v="128"/>
    <n v="0"/>
    <s v="MN"/>
    <x v="0"/>
    <n v="101"/>
    <n v="101"/>
    <x v="0"/>
    <s v="R"/>
    <n v="128"/>
    <x v="9"/>
    <n v="50.82"/>
    <n v="210481"/>
  </r>
  <r>
    <x v="1"/>
    <x v="1"/>
    <n v="128"/>
    <n v="128"/>
    <n v="0"/>
    <s v="MN"/>
    <x v="0"/>
    <n v="101"/>
    <n v="201"/>
    <x v="1"/>
    <s v="DFL"/>
    <n v="128"/>
    <x v="10"/>
    <n v="46.4"/>
    <n v="210481"/>
  </r>
  <r>
    <x v="1"/>
    <x v="1"/>
    <n v="128"/>
    <n v="128"/>
    <n v="0"/>
    <s v="MN"/>
    <x v="0"/>
    <n v="101"/>
    <n v="301"/>
    <x v="2"/>
    <s v="LIB"/>
    <n v="128"/>
    <x v="11"/>
    <n v="0.54"/>
    <n v="210481"/>
  </r>
  <r>
    <x v="1"/>
    <x v="1"/>
    <n v="128"/>
    <n v="128"/>
    <n v="0"/>
    <s v="MN"/>
    <x v="0"/>
    <n v="101"/>
    <n v="401"/>
    <x v="3"/>
    <s v="WTP"/>
    <n v="128"/>
    <x v="12"/>
    <n v="0.76"/>
    <n v="210481"/>
  </r>
  <r>
    <x v="1"/>
    <x v="1"/>
    <n v="128"/>
    <n v="128"/>
    <n v="0"/>
    <s v="MN"/>
    <x v="0"/>
    <n v="101"/>
    <n v="501"/>
    <x v="4"/>
    <s v="G"/>
    <n v="128"/>
    <x v="13"/>
    <n v="0.82"/>
    <n v="210481"/>
  </r>
  <r>
    <x v="1"/>
    <x v="1"/>
    <n v="128"/>
    <n v="128"/>
    <n v="0"/>
    <s v="MN"/>
    <x v="0"/>
    <n v="101"/>
    <n v="601"/>
    <x v="5"/>
    <s v="SLP"/>
    <n v="128"/>
    <x v="14"/>
    <n v="7.0000000000000007E-2"/>
    <n v="210481"/>
  </r>
  <r>
    <x v="1"/>
    <x v="1"/>
    <n v="128"/>
    <n v="128"/>
    <n v="0"/>
    <s v="MN"/>
    <x v="0"/>
    <n v="101"/>
    <n v="701"/>
    <x v="6"/>
    <s v="SWP"/>
    <n v="128"/>
    <x v="15"/>
    <n v="0.01"/>
    <n v="210481"/>
  </r>
  <r>
    <x v="1"/>
    <x v="1"/>
    <n v="128"/>
    <n v="128"/>
    <n v="0"/>
    <s v="MN"/>
    <x v="0"/>
    <n v="101"/>
    <n v="801"/>
    <x v="7"/>
    <s v="JFA"/>
    <n v="128"/>
    <x v="16"/>
    <n v="0.09"/>
    <n v="210481"/>
  </r>
  <r>
    <x v="1"/>
    <x v="1"/>
    <n v="128"/>
    <n v="128"/>
    <n v="0"/>
    <s v="MN"/>
    <x v="0"/>
    <n v="101"/>
    <n v="901"/>
    <x v="8"/>
    <s v="IND"/>
    <n v="128"/>
    <x v="17"/>
    <n v="0.1"/>
    <n v="210481"/>
  </r>
  <r>
    <x v="1"/>
    <x v="1"/>
    <n v="128"/>
    <n v="128"/>
    <n v="0"/>
    <s v="MN"/>
    <x v="0"/>
    <n v="101"/>
    <n v="9901"/>
    <x v="9"/>
    <s v="WI"/>
    <n v="128"/>
    <x v="18"/>
    <n v="0.39"/>
    <n v="210481"/>
  </r>
  <r>
    <x v="2"/>
    <x v="2"/>
    <n v="47"/>
    <n v="47"/>
    <n v="0"/>
    <s v="MN"/>
    <x v="0"/>
    <n v="101"/>
    <n v="101"/>
    <x v="0"/>
    <s v="R"/>
    <n v="47"/>
    <x v="19"/>
    <n v="65.66"/>
    <n v="19739"/>
  </r>
  <r>
    <x v="2"/>
    <x v="2"/>
    <n v="47"/>
    <n v="47"/>
    <n v="0"/>
    <s v="MN"/>
    <x v="0"/>
    <n v="101"/>
    <n v="201"/>
    <x v="1"/>
    <s v="DFL"/>
    <n v="47"/>
    <x v="20"/>
    <n v="32.6"/>
    <n v="19739"/>
  </r>
  <r>
    <x v="2"/>
    <x v="2"/>
    <n v="47"/>
    <n v="47"/>
    <n v="0"/>
    <s v="MN"/>
    <x v="0"/>
    <n v="101"/>
    <n v="301"/>
    <x v="2"/>
    <s v="LIB"/>
    <n v="47"/>
    <x v="21"/>
    <n v="0.28999999999999998"/>
    <n v="19739"/>
  </r>
  <r>
    <x v="2"/>
    <x v="2"/>
    <n v="47"/>
    <n v="47"/>
    <n v="0"/>
    <s v="MN"/>
    <x v="0"/>
    <n v="101"/>
    <n v="401"/>
    <x v="3"/>
    <s v="WTP"/>
    <n v="47"/>
    <x v="22"/>
    <n v="0.92"/>
    <n v="19739"/>
  </r>
  <r>
    <x v="2"/>
    <x v="2"/>
    <n v="47"/>
    <n v="47"/>
    <n v="0"/>
    <s v="MN"/>
    <x v="0"/>
    <n v="101"/>
    <n v="501"/>
    <x v="4"/>
    <s v="G"/>
    <n v="47"/>
    <x v="2"/>
    <n v="0.16"/>
    <n v="19739"/>
  </r>
  <r>
    <x v="2"/>
    <x v="2"/>
    <n v="47"/>
    <n v="47"/>
    <n v="0"/>
    <s v="MN"/>
    <x v="0"/>
    <n v="101"/>
    <n v="601"/>
    <x v="5"/>
    <s v="SLP"/>
    <n v="47"/>
    <x v="6"/>
    <n v="0.01"/>
    <n v="19739"/>
  </r>
  <r>
    <x v="2"/>
    <x v="2"/>
    <n v="47"/>
    <n v="47"/>
    <n v="0"/>
    <s v="MN"/>
    <x v="0"/>
    <n v="101"/>
    <n v="701"/>
    <x v="6"/>
    <s v="SWP"/>
    <n v="47"/>
    <x v="23"/>
    <n v="0.01"/>
    <n v="19739"/>
  </r>
  <r>
    <x v="2"/>
    <x v="2"/>
    <n v="47"/>
    <n v="47"/>
    <n v="0"/>
    <s v="MN"/>
    <x v="0"/>
    <n v="101"/>
    <n v="801"/>
    <x v="7"/>
    <s v="JFA"/>
    <n v="47"/>
    <x v="24"/>
    <n v="0.04"/>
    <n v="19739"/>
  </r>
  <r>
    <x v="2"/>
    <x v="2"/>
    <n v="47"/>
    <n v="47"/>
    <n v="0"/>
    <s v="MN"/>
    <x v="0"/>
    <n v="101"/>
    <n v="901"/>
    <x v="8"/>
    <s v="IND"/>
    <n v="47"/>
    <x v="25"/>
    <n v="0.09"/>
    <n v="19739"/>
  </r>
  <r>
    <x v="2"/>
    <x v="2"/>
    <n v="47"/>
    <n v="47"/>
    <n v="0"/>
    <s v="MN"/>
    <x v="0"/>
    <n v="101"/>
    <n v="9901"/>
    <x v="9"/>
    <s v="WI"/>
    <n v="47"/>
    <x v="26"/>
    <n v="0.22"/>
    <n v="19739"/>
  </r>
  <r>
    <x v="3"/>
    <x v="3"/>
    <n v="61"/>
    <n v="61"/>
    <n v="0"/>
    <s v="MN"/>
    <x v="0"/>
    <n v="101"/>
    <n v="101"/>
    <x v="0"/>
    <s v="R"/>
    <n v="61"/>
    <x v="27"/>
    <n v="51.85"/>
    <n v="24874"/>
  </r>
  <r>
    <x v="3"/>
    <x v="3"/>
    <n v="61"/>
    <n v="61"/>
    <n v="0"/>
    <s v="MN"/>
    <x v="0"/>
    <n v="101"/>
    <n v="201"/>
    <x v="1"/>
    <s v="DFL"/>
    <n v="61"/>
    <x v="28"/>
    <n v="46.2"/>
    <n v="24874"/>
  </r>
  <r>
    <x v="3"/>
    <x v="3"/>
    <n v="61"/>
    <n v="61"/>
    <n v="0"/>
    <s v="MN"/>
    <x v="0"/>
    <n v="101"/>
    <n v="301"/>
    <x v="2"/>
    <s v="LIB"/>
    <n v="61"/>
    <x v="29"/>
    <n v="0.39"/>
    <n v="24874"/>
  </r>
  <r>
    <x v="3"/>
    <x v="3"/>
    <n v="61"/>
    <n v="61"/>
    <n v="0"/>
    <s v="MN"/>
    <x v="0"/>
    <n v="101"/>
    <n v="401"/>
    <x v="3"/>
    <s v="WTP"/>
    <n v="61"/>
    <x v="30"/>
    <n v="0.77"/>
    <n v="24874"/>
  </r>
  <r>
    <x v="3"/>
    <x v="3"/>
    <n v="61"/>
    <n v="61"/>
    <n v="0"/>
    <s v="MN"/>
    <x v="0"/>
    <n v="101"/>
    <n v="501"/>
    <x v="4"/>
    <s v="G"/>
    <n v="61"/>
    <x v="31"/>
    <n v="0.25"/>
    <n v="24874"/>
  </r>
  <r>
    <x v="3"/>
    <x v="3"/>
    <n v="61"/>
    <n v="61"/>
    <n v="0"/>
    <s v="MN"/>
    <x v="0"/>
    <n v="101"/>
    <n v="601"/>
    <x v="5"/>
    <s v="SLP"/>
    <n v="61"/>
    <x v="32"/>
    <n v="0.05"/>
    <n v="24874"/>
  </r>
  <r>
    <x v="3"/>
    <x v="3"/>
    <n v="61"/>
    <n v="61"/>
    <n v="0"/>
    <s v="MN"/>
    <x v="0"/>
    <n v="101"/>
    <n v="701"/>
    <x v="6"/>
    <s v="SWP"/>
    <n v="61"/>
    <x v="33"/>
    <n v="0.02"/>
    <n v="24874"/>
  </r>
  <r>
    <x v="3"/>
    <x v="3"/>
    <n v="61"/>
    <n v="61"/>
    <n v="0"/>
    <s v="MN"/>
    <x v="0"/>
    <n v="101"/>
    <n v="801"/>
    <x v="7"/>
    <s v="JFA"/>
    <n v="61"/>
    <x v="34"/>
    <n v="0.08"/>
    <n v="24874"/>
  </r>
  <r>
    <x v="3"/>
    <x v="3"/>
    <n v="61"/>
    <n v="61"/>
    <n v="0"/>
    <s v="MN"/>
    <x v="0"/>
    <n v="101"/>
    <n v="901"/>
    <x v="8"/>
    <s v="IND"/>
    <n v="61"/>
    <x v="35"/>
    <n v="0.11"/>
    <n v="24874"/>
  </r>
  <r>
    <x v="3"/>
    <x v="3"/>
    <n v="61"/>
    <n v="61"/>
    <n v="0"/>
    <s v="MN"/>
    <x v="0"/>
    <n v="101"/>
    <n v="9901"/>
    <x v="9"/>
    <s v="WI"/>
    <n v="61"/>
    <x v="36"/>
    <n v="0.27"/>
    <n v="24874"/>
  </r>
  <r>
    <x v="4"/>
    <x v="4"/>
    <n v="27"/>
    <n v="27"/>
    <n v="0"/>
    <s v="MN"/>
    <x v="0"/>
    <n v="101"/>
    <n v="101"/>
    <x v="0"/>
    <s v="R"/>
    <n v="27"/>
    <x v="37"/>
    <n v="66.86"/>
    <n v="22824"/>
  </r>
  <r>
    <x v="4"/>
    <x v="4"/>
    <n v="27"/>
    <n v="27"/>
    <n v="0"/>
    <s v="MN"/>
    <x v="0"/>
    <n v="101"/>
    <n v="201"/>
    <x v="1"/>
    <s v="DFL"/>
    <n v="27"/>
    <x v="38"/>
    <n v="31.04"/>
    <n v="22824"/>
  </r>
  <r>
    <x v="4"/>
    <x v="4"/>
    <n v="27"/>
    <n v="27"/>
    <n v="0"/>
    <s v="MN"/>
    <x v="0"/>
    <n v="101"/>
    <n v="301"/>
    <x v="2"/>
    <s v="LIB"/>
    <n v="27"/>
    <x v="39"/>
    <n v="0.52"/>
    <n v="22824"/>
  </r>
  <r>
    <x v="4"/>
    <x v="4"/>
    <n v="27"/>
    <n v="27"/>
    <n v="0"/>
    <s v="MN"/>
    <x v="0"/>
    <n v="101"/>
    <n v="401"/>
    <x v="3"/>
    <s v="WTP"/>
    <n v="27"/>
    <x v="40"/>
    <n v="0.85"/>
    <n v="22824"/>
  </r>
  <r>
    <x v="4"/>
    <x v="4"/>
    <n v="27"/>
    <n v="27"/>
    <n v="0"/>
    <s v="MN"/>
    <x v="0"/>
    <n v="101"/>
    <n v="501"/>
    <x v="4"/>
    <s v="G"/>
    <n v="27"/>
    <x v="41"/>
    <n v="0.33"/>
    <n v="22824"/>
  </r>
  <r>
    <x v="4"/>
    <x v="4"/>
    <n v="27"/>
    <n v="27"/>
    <n v="0"/>
    <s v="MN"/>
    <x v="0"/>
    <n v="101"/>
    <n v="601"/>
    <x v="5"/>
    <s v="SLP"/>
    <n v="27"/>
    <x v="42"/>
    <n v="0.06"/>
    <n v="22824"/>
  </r>
  <r>
    <x v="4"/>
    <x v="4"/>
    <n v="27"/>
    <n v="27"/>
    <n v="0"/>
    <s v="MN"/>
    <x v="0"/>
    <n v="101"/>
    <n v="701"/>
    <x v="6"/>
    <s v="SWP"/>
    <n v="27"/>
    <x v="43"/>
    <n v="0.01"/>
    <n v="22824"/>
  </r>
  <r>
    <x v="4"/>
    <x v="4"/>
    <n v="27"/>
    <n v="27"/>
    <n v="0"/>
    <s v="MN"/>
    <x v="0"/>
    <n v="101"/>
    <n v="801"/>
    <x v="7"/>
    <s v="JFA"/>
    <n v="27"/>
    <x v="44"/>
    <n v="0.02"/>
    <n v="22824"/>
  </r>
  <r>
    <x v="4"/>
    <x v="4"/>
    <n v="27"/>
    <n v="27"/>
    <n v="0"/>
    <s v="MN"/>
    <x v="0"/>
    <n v="101"/>
    <n v="901"/>
    <x v="8"/>
    <s v="IND"/>
    <n v="27"/>
    <x v="45"/>
    <n v="0.04"/>
    <n v="22824"/>
  </r>
  <r>
    <x v="4"/>
    <x v="4"/>
    <n v="27"/>
    <n v="27"/>
    <n v="0"/>
    <s v="MN"/>
    <x v="0"/>
    <n v="101"/>
    <n v="9901"/>
    <x v="9"/>
    <s v="WI"/>
    <n v="27"/>
    <x v="46"/>
    <n v="0.27"/>
    <n v="22824"/>
  </r>
  <r>
    <x v="5"/>
    <x v="5"/>
    <n v="24"/>
    <n v="24"/>
    <n v="0"/>
    <s v="MN"/>
    <x v="0"/>
    <n v="101"/>
    <n v="101"/>
    <x v="0"/>
    <s v="R"/>
    <n v="24"/>
    <x v="47"/>
    <n v="63.6"/>
    <n v="2824"/>
  </r>
  <r>
    <x v="5"/>
    <x v="5"/>
    <n v="24"/>
    <n v="24"/>
    <n v="0"/>
    <s v="MN"/>
    <x v="0"/>
    <n v="101"/>
    <n v="201"/>
    <x v="1"/>
    <s v="DFL"/>
    <n v="24"/>
    <x v="48"/>
    <n v="34.14"/>
    <n v="2824"/>
  </r>
  <r>
    <x v="5"/>
    <x v="5"/>
    <n v="24"/>
    <n v="24"/>
    <n v="0"/>
    <s v="MN"/>
    <x v="0"/>
    <n v="101"/>
    <n v="301"/>
    <x v="2"/>
    <s v="LIB"/>
    <n v="24"/>
    <x v="49"/>
    <n v="0.21"/>
    <n v="2824"/>
  </r>
  <r>
    <x v="5"/>
    <x v="5"/>
    <n v="24"/>
    <n v="24"/>
    <n v="0"/>
    <s v="MN"/>
    <x v="0"/>
    <n v="101"/>
    <n v="401"/>
    <x v="3"/>
    <s v="WTP"/>
    <n v="24"/>
    <x v="50"/>
    <n v="1.56"/>
    <n v="2824"/>
  </r>
  <r>
    <x v="5"/>
    <x v="5"/>
    <n v="24"/>
    <n v="24"/>
    <n v="0"/>
    <s v="MN"/>
    <x v="0"/>
    <n v="101"/>
    <n v="501"/>
    <x v="4"/>
    <s v="G"/>
    <n v="24"/>
    <x v="43"/>
    <n v="0.11"/>
    <n v="2824"/>
  </r>
  <r>
    <x v="5"/>
    <x v="5"/>
    <n v="24"/>
    <n v="24"/>
    <n v="0"/>
    <s v="MN"/>
    <x v="0"/>
    <n v="101"/>
    <n v="601"/>
    <x v="5"/>
    <s v="SLP"/>
    <n v="24"/>
    <x v="5"/>
    <n v="0"/>
    <n v="2824"/>
  </r>
  <r>
    <x v="5"/>
    <x v="5"/>
    <n v="24"/>
    <n v="24"/>
    <n v="0"/>
    <s v="MN"/>
    <x v="0"/>
    <n v="101"/>
    <n v="701"/>
    <x v="6"/>
    <s v="SWP"/>
    <n v="24"/>
    <x v="5"/>
    <n v="0"/>
    <n v="2824"/>
  </r>
  <r>
    <x v="5"/>
    <x v="5"/>
    <n v="24"/>
    <n v="24"/>
    <n v="0"/>
    <s v="MN"/>
    <x v="0"/>
    <n v="101"/>
    <n v="801"/>
    <x v="7"/>
    <s v="JFA"/>
    <n v="24"/>
    <x v="5"/>
    <n v="0"/>
    <n v="2824"/>
  </r>
  <r>
    <x v="5"/>
    <x v="5"/>
    <n v="24"/>
    <n v="24"/>
    <n v="0"/>
    <s v="MN"/>
    <x v="0"/>
    <n v="101"/>
    <n v="901"/>
    <x v="8"/>
    <s v="IND"/>
    <n v="24"/>
    <x v="43"/>
    <n v="0.11"/>
    <n v="2824"/>
  </r>
  <r>
    <x v="5"/>
    <x v="5"/>
    <n v="24"/>
    <n v="24"/>
    <n v="0"/>
    <s v="MN"/>
    <x v="0"/>
    <n v="101"/>
    <n v="9901"/>
    <x v="9"/>
    <s v="WI"/>
    <n v="24"/>
    <x v="24"/>
    <n v="0.28000000000000003"/>
    <n v="2824"/>
  </r>
  <r>
    <x v="6"/>
    <x v="6"/>
    <n v="56"/>
    <n v="56"/>
    <n v="0"/>
    <s v="MN"/>
    <x v="0"/>
    <n v="101"/>
    <n v="101"/>
    <x v="0"/>
    <s v="R"/>
    <n v="56"/>
    <x v="51"/>
    <n v="49.4"/>
    <n v="36442"/>
  </r>
  <r>
    <x v="6"/>
    <x v="6"/>
    <n v="56"/>
    <n v="56"/>
    <n v="0"/>
    <s v="MN"/>
    <x v="0"/>
    <n v="101"/>
    <n v="201"/>
    <x v="1"/>
    <s v="DFL"/>
    <n v="56"/>
    <x v="52"/>
    <n v="48.18"/>
    <n v="36442"/>
  </r>
  <r>
    <x v="6"/>
    <x v="6"/>
    <n v="56"/>
    <n v="56"/>
    <n v="0"/>
    <s v="MN"/>
    <x v="0"/>
    <n v="101"/>
    <n v="301"/>
    <x v="2"/>
    <s v="LIB"/>
    <n v="56"/>
    <x v="53"/>
    <n v="0.44"/>
    <n v="36442"/>
  </r>
  <r>
    <x v="6"/>
    <x v="6"/>
    <n v="56"/>
    <n v="56"/>
    <n v="0"/>
    <s v="MN"/>
    <x v="0"/>
    <n v="101"/>
    <n v="401"/>
    <x v="3"/>
    <s v="WTP"/>
    <n v="56"/>
    <x v="54"/>
    <n v="0.96"/>
    <n v="36442"/>
  </r>
  <r>
    <x v="6"/>
    <x v="6"/>
    <n v="56"/>
    <n v="56"/>
    <n v="0"/>
    <s v="MN"/>
    <x v="0"/>
    <n v="101"/>
    <n v="501"/>
    <x v="4"/>
    <s v="G"/>
    <n v="56"/>
    <x v="55"/>
    <n v="0.38"/>
    <n v="36442"/>
  </r>
  <r>
    <x v="6"/>
    <x v="6"/>
    <n v="56"/>
    <n v="56"/>
    <n v="0"/>
    <s v="MN"/>
    <x v="0"/>
    <n v="101"/>
    <n v="601"/>
    <x v="5"/>
    <s v="SLP"/>
    <n v="56"/>
    <x v="56"/>
    <n v="0.11"/>
    <n v="36442"/>
  </r>
  <r>
    <x v="6"/>
    <x v="6"/>
    <n v="56"/>
    <n v="56"/>
    <n v="0"/>
    <s v="MN"/>
    <x v="0"/>
    <n v="101"/>
    <n v="701"/>
    <x v="6"/>
    <s v="SWP"/>
    <n v="56"/>
    <x v="24"/>
    <n v="0.02"/>
    <n v="36442"/>
  </r>
  <r>
    <x v="6"/>
    <x v="6"/>
    <n v="56"/>
    <n v="56"/>
    <n v="0"/>
    <s v="MN"/>
    <x v="0"/>
    <n v="101"/>
    <n v="801"/>
    <x v="7"/>
    <s v="JFA"/>
    <n v="56"/>
    <x v="57"/>
    <n v="7.0000000000000007E-2"/>
    <n v="36442"/>
  </r>
  <r>
    <x v="6"/>
    <x v="6"/>
    <n v="56"/>
    <n v="56"/>
    <n v="0"/>
    <s v="MN"/>
    <x v="0"/>
    <n v="101"/>
    <n v="901"/>
    <x v="8"/>
    <s v="IND"/>
    <n v="56"/>
    <x v="50"/>
    <n v="0.12"/>
    <n v="36442"/>
  </r>
  <r>
    <x v="6"/>
    <x v="6"/>
    <n v="56"/>
    <n v="56"/>
    <n v="0"/>
    <s v="MN"/>
    <x v="0"/>
    <n v="101"/>
    <n v="9901"/>
    <x v="9"/>
    <s v="WI"/>
    <n v="56"/>
    <x v="58"/>
    <n v="0.32"/>
    <n v="36442"/>
  </r>
  <r>
    <x v="7"/>
    <x v="7"/>
    <n v="33"/>
    <n v="33"/>
    <n v="0"/>
    <s v="MN"/>
    <x v="0"/>
    <n v="101"/>
    <n v="101"/>
    <x v="0"/>
    <s v="R"/>
    <n v="33"/>
    <x v="59"/>
    <n v="66.39"/>
    <n v="14598"/>
  </r>
  <r>
    <x v="7"/>
    <x v="7"/>
    <n v="33"/>
    <n v="33"/>
    <n v="0"/>
    <s v="MN"/>
    <x v="0"/>
    <n v="101"/>
    <n v="201"/>
    <x v="1"/>
    <s v="DFL"/>
    <n v="33"/>
    <x v="60"/>
    <n v="31.35"/>
    <n v="14598"/>
  </r>
  <r>
    <x v="7"/>
    <x v="7"/>
    <n v="33"/>
    <n v="33"/>
    <n v="0"/>
    <s v="MN"/>
    <x v="0"/>
    <n v="101"/>
    <n v="301"/>
    <x v="2"/>
    <s v="LIB"/>
    <n v="33"/>
    <x v="36"/>
    <n v="0.46"/>
    <n v="14598"/>
  </r>
  <r>
    <x v="7"/>
    <x v="7"/>
    <n v="33"/>
    <n v="33"/>
    <n v="0"/>
    <s v="MN"/>
    <x v="0"/>
    <n v="101"/>
    <n v="401"/>
    <x v="3"/>
    <s v="WTP"/>
    <n v="33"/>
    <x v="61"/>
    <n v="0.9"/>
    <n v="14598"/>
  </r>
  <r>
    <x v="7"/>
    <x v="7"/>
    <n v="33"/>
    <n v="33"/>
    <n v="0"/>
    <s v="MN"/>
    <x v="0"/>
    <n v="101"/>
    <n v="501"/>
    <x v="4"/>
    <s v="G"/>
    <n v="33"/>
    <x v="8"/>
    <n v="0.18"/>
    <n v="14598"/>
  </r>
  <r>
    <x v="7"/>
    <x v="7"/>
    <n v="33"/>
    <n v="33"/>
    <n v="0"/>
    <s v="MN"/>
    <x v="0"/>
    <n v="101"/>
    <n v="601"/>
    <x v="5"/>
    <s v="SLP"/>
    <n v="33"/>
    <x v="33"/>
    <n v="0.03"/>
    <n v="14598"/>
  </r>
  <r>
    <x v="7"/>
    <x v="7"/>
    <n v="33"/>
    <n v="33"/>
    <n v="0"/>
    <s v="MN"/>
    <x v="0"/>
    <n v="101"/>
    <n v="701"/>
    <x v="6"/>
    <s v="SWP"/>
    <n v="33"/>
    <x v="5"/>
    <n v="0"/>
    <n v="14598"/>
  </r>
  <r>
    <x v="7"/>
    <x v="7"/>
    <n v="33"/>
    <n v="33"/>
    <n v="0"/>
    <s v="MN"/>
    <x v="0"/>
    <n v="101"/>
    <n v="801"/>
    <x v="7"/>
    <s v="JFA"/>
    <n v="33"/>
    <x v="62"/>
    <n v="0.05"/>
    <n v="14598"/>
  </r>
  <r>
    <x v="7"/>
    <x v="7"/>
    <n v="33"/>
    <n v="33"/>
    <n v="0"/>
    <s v="MN"/>
    <x v="0"/>
    <n v="101"/>
    <n v="901"/>
    <x v="8"/>
    <s v="IND"/>
    <n v="33"/>
    <x v="63"/>
    <n v="0.14000000000000001"/>
    <n v="14598"/>
  </r>
  <r>
    <x v="7"/>
    <x v="7"/>
    <n v="33"/>
    <n v="33"/>
    <n v="0"/>
    <s v="MN"/>
    <x v="0"/>
    <n v="101"/>
    <n v="9901"/>
    <x v="9"/>
    <s v="WI"/>
    <n v="33"/>
    <x v="64"/>
    <n v="0.49"/>
    <n v="14598"/>
  </r>
  <r>
    <x v="8"/>
    <x v="8"/>
    <n v="39"/>
    <n v="39"/>
    <n v="0"/>
    <s v="MN"/>
    <x v="0"/>
    <n v="101"/>
    <n v="101"/>
    <x v="0"/>
    <s v="R"/>
    <n v="39"/>
    <x v="65"/>
    <n v="50.13"/>
    <n v="20815"/>
  </r>
  <r>
    <x v="8"/>
    <x v="8"/>
    <n v="39"/>
    <n v="39"/>
    <n v="0"/>
    <s v="MN"/>
    <x v="0"/>
    <n v="101"/>
    <n v="201"/>
    <x v="1"/>
    <s v="DFL"/>
    <n v="39"/>
    <x v="66"/>
    <n v="47.59"/>
    <n v="20815"/>
  </r>
  <r>
    <x v="8"/>
    <x v="8"/>
    <n v="39"/>
    <n v="39"/>
    <n v="0"/>
    <s v="MN"/>
    <x v="0"/>
    <n v="101"/>
    <n v="301"/>
    <x v="2"/>
    <s v="LIB"/>
    <n v="39"/>
    <x v="67"/>
    <n v="0.38"/>
    <n v="20815"/>
  </r>
  <r>
    <x v="8"/>
    <x v="8"/>
    <n v="39"/>
    <n v="39"/>
    <n v="0"/>
    <s v="MN"/>
    <x v="0"/>
    <n v="101"/>
    <n v="401"/>
    <x v="3"/>
    <s v="WTP"/>
    <n v="39"/>
    <x v="68"/>
    <n v="1.1000000000000001"/>
    <n v="20815"/>
  </r>
  <r>
    <x v="8"/>
    <x v="8"/>
    <n v="39"/>
    <n v="39"/>
    <n v="0"/>
    <s v="MN"/>
    <x v="0"/>
    <n v="101"/>
    <n v="501"/>
    <x v="4"/>
    <s v="G"/>
    <n v="39"/>
    <x v="69"/>
    <n v="0.25"/>
    <n v="20815"/>
  </r>
  <r>
    <x v="8"/>
    <x v="8"/>
    <n v="39"/>
    <n v="39"/>
    <n v="0"/>
    <s v="MN"/>
    <x v="0"/>
    <n v="101"/>
    <n v="601"/>
    <x v="5"/>
    <s v="SLP"/>
    <n v="39"/>
    <x v="33"/>
    <n v="0.02"/>
    <n v="20815"/>
  </r>
  <r>
    <x v="8"/>
    <x v="8"/>
    <n v="39"/>
    <n v="39"/>
    <n v="0"/>
    <s v="MN"/>
    <x v="0"/>
    <n v="101"/>
    <n v="701"/>
    <x v="6"/>
    <s v="SWP"/>
    <n v="39"/>
    <x v="44"/>
    <n v="0.02"/>
    <n v="20815"/>
  </r>
  <r>
    <x v="8"/>
    <x v="8"/>
    <n v="39"/>
    <n v="39"/>
    <n v="0"/>
    <s v="MN"/>
    <x v="0"/>
    <n v="101"/>
    <n v="801"/>
    <x v="7"/>
    <s v="JFA"/>
    <n v="39"/>
    <x v="45"/>
    <n v="0.05"/>
    <n v="20815"/>
  </r>
  <r>
    <x v="8"/>
    <x v="8"/>
    <n v="39"/>
    <n v="39"/>
    <n v="0"/>
    <s v="MN"/>
    <x v="0"/>
    <n v="101"/>
    <n v="901"/>
    <x v="8"/>
    <s v="IND"/>
    <n v="39"/>
    <x v="8"/>
    <n v="0.13"/>
    <n v="20815"/>
  </r>
  <r>
    <x v="8"/>
    <x v="8"/>
    <n v="39"/>
    <n v="39"/>
    <n v="0"/>
    <s v="MN"/>
    <x v="0"/>
    <n v="101"/>
    <n v="9901"/>
    <x v="9"/>
    <s v="WI"/>
    <n v="39"/>
    <x v="70"/>
    <n v="0.33"/>
    <n v="20815"/>
  </r>
  <r>
    <x v="9"/>
    <x v="9"/>
    <n v="38"/>
    <n v="38"/>
    <n v="0"/>
    <s v="MN"/>
    <x v="0"/>
    <n v="101"/>
    <n v="101"/>
    <x v="0"/>
    <s v="R"/>
    <n v="38"/>
    <x v="71"/>
    <n v="51.45"/>
    <n v="69160"/>
  </r>
  <r>
    <x v="9"/>
    <x v="9"/>
    <n v="38"/>
    <n v="38"/>
    <n v="0"/>
    <s v="MN"/>
    <x v="0"/>
    <n v="101"/>
    <n v="201"/>
    <x v="1"/>
    <s v="DFL"/>
    <n v="38"/>
    <x v="72"/>
    <n v="46.08"/>
    <n v="69160"/>
  </r>
  <r>
    <x v="9"/>
    <x v="9"/>
    <n v="38"/>
    <n v="38"/>
    <n v="0"/>
    <s v="MN"/>
    <x v="0"/>
    <n v="101"/>
    <n v="301"/>
    <x v="2"/>
    <s v="LIB"/>
    <n v="38"/>
    <x v="73"/>
    <n v="0.6"/>
    <n v="69160"/>
  </r>
  <r>
    <x v="9"/>
    <x v="9"/>
    <n v="38"/>
    <n v="38"/>
    <n v="0"/>
    <s v="MN"/>
    <x v="0"/>
    <n v="101"/>
    <n v="401"/>
    <x v="3"/>
    <s v="WTP"/>
    <n v="38"/>
    <x v="74"/>
    <n v="0.81"/>
    <n v="69160"/>
  </r>
  <r>
    <x v="9"/>
    <x v="9"/>
    <n v="38"/>
    <n v="38"/>
    <n v="0"/>
    <s v="MN"/>
    <x v="0"/>
    <n v="101"/>
    <n v="501"/>
    <x v="4"/>
    <s v="G"/>
    <n v="38"/>
    <x v="75"/>
    <n v="0.38"/>
    <n v="69160"/>
  </r>
  <r>
    <x v="9"/>
    <x v="9"/>
    <n v="38"/>
    <n v="38"/>
    <n v="0"/>
    <s v="MN"/>
    <x v="0"/>
    <n v="101"/>
    <n v="601"/>
    <x v="5"/>
    <s v="SLP"/>
    <n v="38"/>
    <x v="76"/>
    <n v="0.03"/>
    <n v="69160"/>
  </r>
  <r>
    <x v="9"/>
    <x v="9"/>
    <n v="38"/>
    <n v="38"/>
    <n v="0"/>
    <s v="MN"/>
    <x v="0"/>
    <n v="101"/>
    <n v="701"/>
    <x v="6"/>
    <s v="SWP"/>
    <n v="38"/>
    <x v="62"/>
    <n v="0.01"/>
    <n v="69160"/>
  </r>
  <r>
    <x v="9"/>
    <x v="9"/>
    <n v="38"/>
    <n v="38"/>
    <n v="0"/>
    <s v="MN"/>
    <x v="0"/>
    <n v="101"/>
    <n v="801"/>
    <x v="7"/>
    <s v="JFA"/>
    <n v="38"/>
    <x v="77"/>
    <n v="0.04"/>
    <n v="69160"/>
  </r>
  <r>
    <x v="9"/>
    <x v="9"/>
    <n v="38"/>
    <n v="38"/>
    <n v="0"/>
    <s v="MN"/>
    <x v="0"/>
    <n v="101"/>
    <n v="901"/>
    <x v="8"/>
    <s v="IND"/>
    <n v="38"/>
    <x v="78"/>
    <n v="0.08"/>
    <n v="69160"/>
  </r>
  <r>
    <x v="9"/>
    <x v="9"/>
    <n v="38"/>
    <n v="38"/>
    <n v="0"/>
    <s v="MN"/>
    <x v="0"/>
    <n v="101"/>
    <n v="9901"/>
    <x v="9"/>
    <s v="WI"/>
    <n v="38"/>
    <x v="79"/>
    <n v="0.51"/>
    <n v="69160"/>
  </r>
  <r>
    <x v="10"/>
    <x v="10"/>
    <n v="71"/>
    <n v="71"/>
    <n v="0"/>
    <s v="MN"/>
    <x v="0"/>
    <n v="101"/>
    <n v="101"/>
    <x v="0"/>
    <s v="R"/>
    <n v="71"/>
    <x v="80"/>
    <n v="65.89"/>
    <n v="19363"/>
  </r>
  <r>
    <x v="10"/>
    <x v="10"/>
    <n v="71"/>
    <n v="71"/>
    <n v="0"/>
    <s v="MN"/>
    <x v="0"/>
    <n v="101"/>
    <n v="201"/>
    <x v="1"/>
    <s v="DFL"/>
    <n v="71"/>
    <x v="81"/>
    <n v="32.54"/>
    <n v="19363"/>
  </r>
  <r>
    <x v="10"/>
    <x v="10"/>
    <n v="71"/>
    <n v="71"/>
    <n v="0"/>
    <s v="MN"/>
    <x v="0"/>
    <n v="101"/>
    <n v="301"/>
    <x v="2"/>
    <s v="LIB"/>
    <n v="71"/>
    <x v="82"/>
    <n v="0.28000000000000003"/>
    <n v="19363"/>
  </r>
  <r>
    <x v="10"/>
    <x v="10"/>
    <n v="71"/>
    <n v="71"/>
    <n v="0"/>
    <s v="MN"/>
    <x v="0"/>
    <n v="101"/>
    <n v="401"/>
    <x v="3"/>
    <s v="WTP"/>
    <n v="71"/>
    <x v="14"/>
    <n v="0.75"/>
    <n v="19363"/>
  </r>
  <r>
    <x v="10"/>
    <x v="10"/>
    <n v="71"/>
    <n v="71"/>
    <n v="0"/>
    <s v="MN"/>
    <x v="0"/>
    <n v="101"/>
    <n v="501"/>
    <x v="4"/>
    <s v="G"/>
    <n v="71"/>
    <x v="83"/>
    <n v="0.18"/>
    <n v="19363"/>
  </r>
  <r>
    <x v="10"/>
    <x v="10"/>
    <n v="71"/>
    <n v="71"/>
    <n v="0"/>
    <s v="MN"/>
    <x v="0"/>
    <n v="101"/>
    <n v="601"/>
    <x v="5"/>
    <s v="SLP"/>
    <n v="71"/>
    <x v="43"/>
    <n v="0.02"/>
    <n v="19363"/>
  </r>
  <r>
    <x v="10"/>
    <x v="10"/>
    <n v="71"/>
    <n v="71"/>
    <n v="0"/>
    <s v="MN"/>
    <x v="0"/>
    <n v="101"/>
    <n v="701"/>
    <x v="6"/>
    <s v="SWP"/>
    <n v="71"/>
    <x v="5"/>
    <n v="0"/>
    <n v="19363"/>
  </r>
  <r>
    <x v="10"/>
    <x v="10"/>
    <n v="71"/>
    <n v="71"/>
    <n v="0"/>
    <s v="MN"/>
    <x v="0"/>
    <n v="101"/>
    <n v="801"/>
    <x v="7"/>
    <s v="JFA"/>
    <n v="71"/>
    <x v="84"/>
    <n v="0.06"/>
    <n v="19363"/>
  </r>
  <r>
    <x v="10"/>
    <x v="10"/>
    <n v="71"/>
    <n v="71"/>
    <n v="0"/>
    <s v="MN"/>
    <x v="0"/>
    <n v="101"/>
    <n v="901"/>
    <x v="8"/>
    <s v="IND"/>
    <n v="71"/>
    <x v="45"/>
    <n v="0.05"/>
    <n v="19363"/>
  </r>
  <r>
    <x v="10"/>
    <x v="10"/>
    <n v="71"/>
    <n v="71"/>
    <n v="0"/>
    <s v="MN"/>
    <x v="0"/>
    <n v="101"/>
    <n v="9901"/>
    <x v="9"/>
    <s v="WI"/>
    <n v="71"/>
    <x v="85"/>
    <n v="0.24"/>
    <n v="19363"/>
  </r>
  <r>
    <x v="11"/>
    <x v="11"/>
    <n v="25"/>
    <n v="25"/>
    <n v="0"/>
    <s v="MN"/>
    <x v="0"/>
    <n v="101"/>
    <n v="101"/>
    <x v="0"/>
    <s v="R"/>
    <n v="25"/>
    <x v="86"/>
    <n v="66.08"/>
    <n v="6318"/>
  </r>
  <r>
    <x v="11"/>
    <x v="11"/>
    <n v="25"/>
    <n v="25"/>
    <n v="0"/>
    <s v="MN"/>
    <x v="0"/>
    <n v="101"/>
    <n v="201"/>
    <x v="1"/>
    <s v="DFL"/>
    <n v="25"/>
    <x v="87"/>
    <n v="32.07"/>
    <n v="6318"/>
  </r>
  <r>
    <x v="11"/>
    <x v="11"/>
    <n v="25"/>
    <n v="25"/>
    <n v="0"/>
    <s v="MN"/>
    <x v="0"/>
    <n v="101"/>
    <n v="301"/>
    <x v="2"/>
    <s v="LIB"/>
    <n v="25"/>
    <x v="88"/>
    <n v="0.25"/>
    <n v="6318"/>
  </r>
  <r>
    <x v="11"/>
    <x v="11"/>
    <n v="25"/>
    <n v="25"/>
    <n v="0"/>
    <s v="MN"/>
    <x v="0"/>
    <n v="101"/>
    <n v="401"/>
    <x v="3"/>
    <s v="WTP"/>
    <n v="25"/>
    <x v="89"/>
    <n v="0.9"/>
    <n v="6318"/>
  </r>
  <r>
    <x v="11"/>
    <x v="11"/>
    <n v="25"/>
    <n v="25"/>
    <n v="0"/>
    <s v="MN"/>
    <x v="0"/>
    <n v="101"/>
    <n v="501"/>
    <x v="4"/>
    <s v="G"/>
    <n v="25"/>
    <x v="84"/>
    <n v="0.17"/>
    <n v="6318"/>
  </r>
  <r>
    <x v="11"/>
    <x v="11"/>
    <n v="25"/>
    <n v="25"/>
    <n v="0"/>
    <s v="MN"/>
    <x v="0"/>
    <n v="101"/>
    <n v="601"/>
    <x v="5"/>
    <s v="SLP"/>
    <n v="25"/>
    <x v="44"/>
    <n v="0.06"/>
    <n v="6318"/>
  </r>
  <r>
    <x v="11"/>
    <x v="11"/>
    <n v="25"/>
    <n v="25"/>
    <n v="0"/>
    <s v="MN"/>
    <x v="0"/>
    <n v="101"/>
    <n v="701"/>
    <x v="6"/>
    <s v="SWP"/>
    <n v="25"/>
    <x v="5"/>
    <n v="0"/>
    <n v="6318"/>
  </r>
  <r>
    <x v="11"/>
    <x v="11"/>
    <n v="25"/>
    <n v="25"/>
    <n v="0"/>
    <s v="MN"/>
    <x v="0"/>
    <n v="101"/>
    <n v="801"/>
    <x v="7"/>
    <s v="JFA"/>
    <n v="25"/>
    <x v="44"/>
    <n v="0.06"/>
    <n v="6318"/>
  </r>
  <r>
    <x v="11"/>
    <x v="11"/>
    <n v="25"/>
    <n v="25"/>
    <n v="0"/>
    <s v="MN"/>
    <x v="0"/>
    <n v="101"/>
    <n v="901"/>
    <x v="8"/>
    <s v="IND"/>
    <n v="25"/>
    <x v="62"/>
    <n v="0.11"/>
    <n v="6318"/>
  </r>
  <r>
    <x v="11"/>
    <x v="11"/>
    <n v="25"/>
    <n v="25"/>
    <n v="0"/>
    <s v="MN"/>
    <x v="0"/>
    <n v="101"/>
    <n v="9901"/>
    <x v="9"/>
    <s v="WI"/>
    <n v="25"/>
    <x v="25"/>
    <n v="0.28000000000000003"/>
    <n v="6318"/>
  </r>
  <r>
    <x v="12"/>
    <x v="12"/>
    <n v="25"/>
    <n v="25"/>
    <n v="0"/>
    <s v="MN"/>
    <x v="0"/>
    <n v="101"/>
    <n v="101"/>
    <x v="0"/>
    <s v="R"/>
    <n v="25"/>
    <x v="90"/>
    <n v="64.739999999999995"/>
    <n v="35601"/>
  </r>
  <r>
    <x v="12"/>
    <x v="12"/>
    <n v="25"/>
    <n v="25"/>
    <n v="0"/>
    <s v="MN"/>
    <x v="0"/>
    <n v="101"/>
    <n v="201"/>
    <x v="1"/>
    <s v="DFL"/>
    <n v="25"/>
    <x v="91"/>
    <n v="33.409999999999997"/>
    <n v="35601"/>
  </r>
  <r>
    <x v="12"/>
    <x v="12"/>
    <n v="25"/>
    <n v="25"/>
    <n v="0"/>
    <s v="MN"/>
    <x v="0"/>
    <n v="101"/>
    <n v="301"/>
    <x v="2"/>
    <s v="LIB"/>
    <n v="25"/>
    <x v="92"/>
    <n v="0.52"/>
    <n v="35601"/>
  </r>
  <r>
    <x v="12"/>
    <x v="12"/>
    <n v="25"/>
    <n v="25"/>
    <n v="0"/>
    <s v="MN"/>
    <x v="0"/>
    <n v="101"/>
    <n v="401"/>
    <x v="3"/>
    <s v="WTP"/>
    <n v="25"/>
    <x v="93"/>
    <n v="0.72"/>
    <n v="35601"/>
  </r>
  <r>
    <x v="12"/>
    <x v="12"/>
    <n v="25"/>
    <n v="25"/>
    <n v="0"/>
    <s v="MN"/>
    <x v="0"/>
    <n v="101"/>
    <n v="501"/>
    <x v="4"/>
    <s v="G"/>
    <n v="25"/>
    <x v="36"/>
    <n v="0.19"/>
    <n v="35601"/>
  </r>
  <r>
    <x v="12"/>
    <x v="12"/>
    <n v="25"/>
    <n v="25"/>
    <n v="0"/>
    <s v="MN"/>
    <x v="0"/>
    <n v="101"/>
    <n v="601"/>
    <x v="5"/>
    <s v="SLP"/>
    <n v="25"/>
    <x v="44"/>
    <n v="0.01"/>
    <n v="35601"/>
  </r>
  <r>
    <x v="12"/>
    <x v="12"/>
    <n v="25"/>
    <n v="25"/>
    <n v="0"/>
    <s v="MN"/>
    <x v="0"/>
    <n v="101"/>
    <n v="701"/>
    <x v="6"/>
    <s v="SWP"/>
    <n v="25"/>
    <x v="43"/>
    <n v="0.01"/>
    <n v="35601"/>
  </r>
  <r>
    <x v="12"/>
    <x v="12"/>
    <n v="25"/>
    <n v="25"/>
    <n v="0"/>
    <s v="MN"/>
    <x v="0"/>
    <n v="101"/>
    <n v="801"/>
    <x v="7"/>
    <s v="JFA"/>
    <n v="25"/>
    <x v="42"/>
    <n v="0.04"/>
    <n v="35601"/>
  </r>
  <r>
    <x v="12"/>
    <x v="12"/>
    <n v="25"/>
    <n v="25"/>
    <n v="0"/>
    <s v="MN"/>
    <x v="0"/>
    <n v="101"/>
    <n v="901"/>
    <x v="8"/>
    <s v="IND"/>
    <n v="25"/>
    <x v="94"/>
    <n v="0.09"/>
    <n v="35601"/>
  </r>
  <r>
    <x v="12"/>
    <x v="12"/>
    <n v="25"/>
    <n v="25"/>
    <n v="0"/>
    <s v="MN"/>
    <x v="0"/>
    <n v="101"/>
    <n v="9901"/>
    <x v="9"/>
    <s v="WI"/>
    <n v="25"/>
    <x v="95"/>
    <n v="0.28000000000000003"/>
    <n v="35601"/>
  </r>
  <r>
    <x v="13"/>
    <x v="13"/>
    <n v="56"/>
    <n v="56"/>
    <n v="0"/>
    <s v="MN"/>
    <x v="0"/>
    <n v="101"/>
    <n v="101"/>
    <x v="0"/>
    <s v="R"/>
    <n v="56"/>
    <x v="96"/>
    <n v="48.56"/>
    <n v="32874"/>
  </r>
  <r>
    <x v="13"/>
    <x v="13"/>
    <n v="56"/>
    <n v="56"/>
    <n v="0"/>
    <s v="MN"/>
    <x v="0"/>
    <n v="101"/>
    <n v="201"/>
    <x v="1"/>
    <s v="DFL"/>
    <n v="56"/>
    <x v="97"/>
    <n v="49.04"/>
    <n v="32874"/>
  </r>
  <r>
    <x v="13"/>
    <x v="13"/>
    <n v="56"/>
    <n v="56"/>
    <n v="0"/>
    <s v="MN"/>
    <x v="0"/>
    <n v="101"/>
    <n v="301"/>
    <x v="2"/>
    <s v="LIB"/>
    <n v="56"/>
    <x v="98"/>
    <n v="0.43"/>
    <n v="32874"/>
  </r>
  <r>
    <x v="13"/>
    <x v="13"/>
    <n v="56"/>
    <n v="56"/>
    <n v="0"/>
    <s v="MN"/>
    <x v="0"/>
    <n v="101"/>
    <n v="401"/>
    <x v="3"/>
    <s v="WTP"/>
    <n v="56"/>
    <x v="99"/>
    <n v="0.94"/>
    <n v="32874"/>
  </r>
  <r>
    <x v="13"/>
    <x v="13"/>
    <n v="56"/>
    <n v="56"/>
    <n v="0"/>
    <s v="MN"/>
    <x v="0"/>
    <n v="101"/>
    <n v="501"/>
    <x v="4"/>
    <s v="G"/>
    <n v="56"/>
    <x v="100"/>
    <n v="0.35"/>
    <n v="32874"/>
  </r>
  <r>
    <x v="13"/>
    <x v="13"/>
    <n v="56"/>
    <n v="56"/>
    <n v="0"/>
    <s v="MN"/>
    <x v="0"/>
    <n v="101"/>
    <n v="601"/>
    <x v="5"/>
    <s v="SLP"/>
    <n v="56"/>
    <x v="101"/>
    <n v="0.08"/>
    <n v="32874"/>
  </r>
  <r>
    <x v="13"/>
    <x v="13"/>
    <n v="56"/>
    <n v="56"/>
    <n v="0"/>
    <s v="MN"/>
    <x v="0"/>
    <n v="101"/>
    <n v="701"/>
    <x v="6"/>
    <s v="SWP"/>
    <n v="56"/>
    <x v="49"/>
    <n v="0.02"/>
    <n v="32874"/>
  </r>
  <r>
    <x v="13"/>
    <x v="13"/>
    <n v="56"/>
    <n v="56"/>
    <n v="0"/>
    <s v="MN"/>
    <x v="0"/>
    <n v="101"/>
    <n v="801"/>
    <x v="7"/>
    <s v="JFA"/>
    <n v="56"/>
    <x v="57"/>
    <n v="7.0000000000000007E-2"/>
    <n v="32874"/>
  </r>
  <r>
    <x v="13"/>
    <x v="13"/>
    <n v="56"/>
    <n v="56"/>
    <n v="0"/>
    <s v="MN"/>
    <x v="0"/>
    <n v="101"/>
    <n v="901"/>
    <x v="8"/>
    <s v="IND"/>
    <n v="56"/>
    <x v="8"/>
    <n v="0.08"/>
    <n v="32874"/>
  </r>
  <r>
    <x v="13"/>
    <x v="13"/>
    <n v="56"/>
    <n v="56"/>
    <n v="0"/>
    <s v="MN"/>
    <x v="0"/>
    <n v="101"/>
    <n v="9901"/>
    <x v="9"/>
    <s v="WI"/>
    <n v="56"/>
    <x v="55"/>
    <n v="0.43"/>
    <n v="32874"/>
  </r>
  <r>
    <x v="14"/>
    <x v="14"/>
    <n v="29"/>
    <n v="29"/>
    <n v="0"/>
    <s v="MN"/>
    <x v="0"/>
    <n v="101"/>
    <n v="101"/>
    <x v="0"/>
    <s v="R"/>
    <n v="29"/>
    <x v="102"/>
    <n v="74.260000000000005"/>
    <n v="4814"/>
  </r>
  <r>
    <x v="14"/>
    <x v="14"/>
    <n v="29"/>
    <n v="29"/>
    <n v="0"/>
    <s v="MN"/>
    <x v="0"/>
    <n v="101"/>
    <n v="201"/>
    <x v="1"/>
    <s v="DFL"/>
    <n v="29"/>
    <x v="103"/>
    <n v="24.28"/>
    <n v="4814"/>
  </r>
  <r>
    <x v="14"/>
    <x v="14"/>
    <n v="29"/>
    <n v="29"/>
    <n v="0"/>
    <s v="MN"/>
    <x v="0"/>
    <n v="101"/>
    <n v="301"/>
    <x v="2"/>
    <s v="LIB"/>
    <n v="29"/>
    <x v="88"/>
    <n v="0.33"/>
    <n v="4814"/>
  </r>
  <r>
    <x v="14"/>
    <x v="14"/>
    <n v="29"/>
    <n v="29"/>
    <n v="0"/>
    <s v="MN"/>
    <x v="0"/>
    <n v="101"/>
    <n v="401"/>
    <x v="3"/>
    <s v="WTP"/>
    <n v="29"/>
    <x v="104"/>
    <n v="0.6"/>
    <n v="4814"/>
  </r>
  <r>
    <x v="14"/>
    <x v="14"/>
    <n v="29"/>
    <n v="29"/>
    <n v="0"/>
    <s v="MN"/>
    <x v="0"/>
    <n v="101"/>
    <n v="501"/>
    <x v="4"/>
    <s v="G"/>
    <n v="29"/>
    <x v="24"/>
    <n v="0.17"/>
    <n v="4814"/>
  </r>
  <r>
    <x v="14"/>
    <x v="14"/>
    <n v="29"/>
    <n v="29"/>
    <n v="0"/>
    <s v="MN"/>
    <x v="0"/>
    <n v="101"/>
    <n v="601"/>
    <x v="5"/>
    <s v="SLP"/>
    <n v="29"/>
    <x v="5"/>
    <n v="0"/>
    <n v="4814"/>
  </r>
  <r>
    <x v="14"/>
    <x v="14"/>
    <n v="29"/>
    <n v="29"/>
    <n v="0"/>
    <s v="MN"/>
    <x v="0"/>
    <n v="101"/>
    <n v="701"/>
    <x v="6"/>
    <s v="SWP"/>
    <n v="29"/>
    <x v="5"/>
    <n v="0"/>
    <n v="4814"/>
  </r>
  <r>
    <x v="14"/>
    <x v="14"/>
    <n v="29"/>
    <n v="29"/>
    <n v="0"/>
    <s v="MN"/>
    <x v="0"/>
    <n v="101"/>
    <n v="801"/>
    <x v="7"/>
    <s v="JFA"/>
    <n v="29"/>
    <x v="44"/>
    <n v="0.08"/>
    <n v="4814"/>
  </r>
  <r>
    <x v="14"/>
    <x v="14"/>
    <n v="29"/>
    <n v="29"/>
    <n v="0"/>
    <s v="MN"/>
    <x v="0"/>
    <n v="101"/>
    <n v="901"/>
    <x v="8"/>
    <s v="IND"/>
    <n v="29"/>
    <x v="44"/>
    <n v="0.08"/>
    <n v="4814"/>
  </r>
  <r>
    <x v="14"/>
    <x v="14"/>
    <n v="29"/>
    <n v="29"/>
    <n v="0"/>
    <s v="MN"/>
    <x v="0"/>
    <n v="101"/>
    <n v="9901"/>
    <x v="9"/>
    <s v="WI"/>
    <n v="29"/>
    <x v="105"/>
    <n v="0.19"/>
    <n v="4814"/>
  </r>
  <r>
    <x v="15"/>
    <x v="15"/>
    <n v="14"/>
    <n v="14"/>
    <n v="0"/>
    <s v="MN"/>
    <x v="0"/>
    <n v="101"/>
    <n v="101"/>
    <x v="0"/>
    <s v="R"/>
    <n v="14"/>
    <x v="106"/>
    <n v="31.2"/>
    <n v="3660"/>
  </r>
  <r>
    <x v="15"/>
    <x v="15"/>
    <n v="14"/>
    <n v="14"/>
    <n v="0"/>
    <s v="MN"/>
    <x v="0"/>
    <n v="101"/>
    <n v="201"/>
    <x v="1"/>
    <s v="DFL"/>
    <n v="14"/>
    <x v="107"/>
    <n v="66.010000000000005"/>
    <n v="3660"/>
  </r>
  <r>
    <x v="15"/>
    <x v="15"/>
    <n v="14"/>
    <n v="14"/>
    <n v="0"/>
    <s v="MN"/>
    <x v="0"/>
    <n v="101"/>
    <n v="301"/>
    <x v="2"/>
    <s v="LIB"/>
    <n v="14"/>
    <x v="108"/>
    <n v="0.33"/>
    <n v="3660"/>
  </r>
  <r>
    <x v="15"/>
    <x v="15"/>
    <n v="14"/>
    <n v="14"/>
    <n v="0"/>
    <s v="MN"/>
    <x v="0"/>
    <n v="101"/>
    <n v="401"/>
    <x v="3"/>
    <s v="WTP"/>
    <n v="14"/>
    <x v="109"/>
    <n v="0.87"/>
    <n v="3660"/>
  </r>
  <r>
    <x v="15"/>
    <x v="15"/>
    <n v="14"/>
    <n v="14"/>
    <n v="0"/>
    <s v="MN"/>
    <x v="0"/>
    <n v="101"/>
    <n v="501"/>
    <x v="4"/>
    <s v="G"/>
    <n v="14"/>
    <x v="101"/>
    <n v="0.71"/>
    <n v="3660"/>
  </r>
  <r>
    <x v="15"/>
    <x v="15"/>
    <n v="14"/>
    <n v="14"/>
    <n v="0"/>
    <s v="MN"/>
    <x v="0"/>
    <n v="101"/>
    <n v="601"/>
    <x v="5"/>
    <s v="SLP"/>
    <n v="14"/>
    <x v="44"/>
    <n v="0.11"/>
    <n v="3660"/>
  </r>
  <r>
    <x v="15"/>
    <x v="15"/>
    <n v="14"/>
    <n v="14"/>
    <n v="0"/>
    <s v="MN"/>
    <x v="0"/>
    <n v="101"/>
    <n v="701"/>
    <x v="6"/>
    <s v="SWP"/>
    <n v="14"/>
    <x v="5"/>
    <n v="0"/>
    <n v="3660"/>
  </r>
  <r>
    <x v="15"/>
    <x v="15"/>
    <n v="14"/>
    <n v="14"/>
    <n v="0"/>
    <s v="MN"/>
    <x v="0"/>
    <n v="101"/>
    <n v="801"/>
    <x v="7"/>
    <s v="JFA"/>
    <n v="14"/>
    <x v="33"/>
    <n v="0.14000000000000001"/>
    <n v="3660"/>
  </r>
  <r>
    <x v="15"/>
    <x v="15"/>
    <n v="14"/>
    <n v="14"/>
    <n v="0"/>
    <s v="MN"/>
    <x v="0"/>
    <n v="101"/>
    <n v="901"/>
    <x v="8"/>
    <s v="IND"/>
    <n v="14"/>
    <x v="44"/>
    <n v="0.11"/>
    <n v="3660"/>
  </r>
  <r>
    <x v="15"/>
    <x v="15"/>
    <n v="14"/>
    <n v="14"/>
    <n v="0"/>
    <s v="MN"/>
    <x v="0"/>
    <n v="101"/>
    <n v="9901"/>
    <x v="9"/>
    <s v="WI"/>
    <n v="14"/>
    <x v="34"/>
    <n v="0.52"/>
    <n v="3660"/>
  </r>
  <r>
    <x v="16"/>
    <x v="16"/>
    <n v="29"/>
    <n v="29"/>
    <n v="0"/>
    <s v="MN"/>
    <x v="0"/>
    <n v="101"/>
    <n v="101"/>
    <x v="0"/>
    <s v="R"/>
    <n v="29"/>
    <x v="110"/>
    <n v="69.42"/>
    <n v="5988"/>
  </r>
  <r>
    <x v="16"/>
    <x v="16"/>
    <n v="29"/>
    <n v="29"/>
    <n v="0"/>
    <s v="MN"/>
    <x v="0"/>
    <n v="101"/>
    <n v="201"/>
    <x v="1"/>
    <s v="DFL"/>
    <n v="29"/>
    <x v="111"/>
    <n v="28.47"/>
    <n v="5988"/>
  </r>
  <r>
    <x v="16"/>
    <x v="16"/>
    <n v="29"/>
    <n v="29"/>
    <n v="0"/>
    <s v="MN"/>
    <x v="0"/>
    <n v="101"/>
    <n v="301"/>
    <x v="2"/>
    <s v="LIB"/>
    <n v="29"/>
    <x v="7"/>
    <n v="0.25"/>
    <n v="5988"/>
  </r>
  <r>
    <x v="16"/>
    <x v="16"/>
    <n v="29"/>
    <n v="29"/>
    <n v="0"/>
    <s v="MN"/>
    <x v="0"/>
    <n v="101"/>
    <n v="401"/>
    <x v="3"/>
    <s v="WTP"/>
    <n v="29"/>
    <x v="36"/>
    <n v="1.1200000000000001"/>
    <n v="5988"/>
  </r>
  <r>
    <x v="16"/>
    <x v="16"/>
    <n v="29"/>
    <n v="29"/>
    <n v="0"/>
    <s v="MN"/>
    <x v="0"/>
    <n v="101"/>
    <n v="501"/>
    <x v="4"/>
    <s v="G"/>
    <n v="29"/>
    <x v="24"/>
    <n v="0.13"/>
    <n v="5988"/>
  </r>
  <r>
    <x v="16"/>
    <x v="16"/>
    <n v="29"/>
    <n v="29"/>
    <n v="0"/>
    <s v="MN"/>
    <x v="0"/>
    <n v="101"/>
    <n v="601"/>
    <x v="5"/>
    <s v="SLP"/>
    <n v="29"/>
    <x v="44"/>
    <n v="7.0000000000000007E-2"/>
    <n v="5988"/>
  </r>
  <r>
    <x v="16"/>
    <x v="16"/>
    <n v="29"/>
    <n v="29"/>
    <n v="0"/>
    <s v="MN"/>
    <x v="0"/>
    <n v="101"/>
    <n v="701"/>
    <x v="6"/>
    <s v="SWP"/>
    <n v="29"/>
    <x v="5"/>
    <n v="0"/>
    <n v="5988"/>
  </r>
  <r>
    <x v="16"/>
    <x v="16"/>
    <n v="29"/>
    <n v="29"/>
    <n v="0"/>
    <s v="MN"/>
    <x v="0"/>
    <n v="101"/>
    <n v="801"/>
    <x v="7"/>
    <s v="JFA"/>
    <n v="29"/>
    <x v="44"/>
    <n v="7.0000000000000007E-2"/>
    <n v="5988"/>
  </r>
  <r>
    <x v="16"/>
    <x v="16"/>
    <n v="29"/>
    <n v="29"/>
    <n v="0"/>
    <s v="MN"/>
    <x v="0"/>
    <n v="101"/>
    <n v="901"/>
    <x v="8"/>
    <s v="IND"/>
    <n v="29"/>
    <x v="33"/>
    <n v="0.08"/>
    <n v="5988"/>
  </r>
  <r>
    <x v="16"/>
    <x v="16"/>
    <n v="29"/>
    <n v="29"/>
    <n v="0"/>
    <s v="MN"/>
    <x v="0"/>
    <n v="101"/>
    <n v="9901"/>
    <x v="9"/>
    <s v="WI"/>
    <n v="29"/>
    <x v="76"/>
    <n v="0.38"/>
    <n v="5988"/>
  </r>
  <r>
    <x v="17"/>
    <x v="17"/>
    <n v="62"/>
    <n v="62"/>
    <n v="0"/>
    <s v="MN"/>
    <x v="0"/>
    <n v="101"/>
    <n v="101"/>
    <x v="0"/>
    <s v="R"/>
    <n v="62"/>
    <x v="112"/>
    <n v="64.73"/>
    <n v="42366"/>
  </r>
  <r>
    <x v="17"/>
    <x v="17"/>
    <n v="62"/>
    <n v="62"/>
    <n v="0"/>
    <s v="MN"/>
    <x v="0"/>
    <n v="101"/>
    <n v="201"/>
    <x v="1"/>
    <s v="DFL"/>
    <n v="62"/>
    <x v="113"/>
    <n v="33.450000000000003"/>
    <n v="42366"/>
  </r>
  <r>
    <x v="17"/>
    <x v="17"/>
    <n v="62"/>
    <n v="62"/>
    <n v="0"/>
    <s v="MN"/>
    <x v="0"/>
    <n v="101"/>
    <n v="301"/>
    <x v="2"/>
    <s v="LIB"/>
    <n v="62"/>
    <x v="114"/>
    <n v="0.37"/>
    <n v="42366"/>
  </r>
  <r>
    <x v="17"/>
    <x v="17"/>
    <n v="62"/>
    <n v="62"/>
    <n v="0"/>
    <s v="MN"/>
    <x v="0"/>
    <n v="101"/>
    <n v="401"/>
    <x v="3"/>
    <s v="WTP"/>
    <n v="62"/>
    <x v="115"/>
    <n v="0.74"/>
    <n v="42366"/>
  </r>
  <r>
    <x v="17"/>
    <x v="17"/>
    <n v="62"/>
    <n v="62"/>
    <n v="0"/>
    <s v="MN"/>
    <x v="0"/>
    <n v="101"/>
    <n v="501"/>
    <x v="4"/>
    <s v="G"/>
    <n v="62"/>
    <x v="116"/>
    <n v="0.21"/>
    <n v="42366"/>
  </r>
  <r>
    <x v="17"/>
    <x v="17"/>
    <n v="62"/>
    <n v="62"/>
    <n v="0"/>
    <s v="MN"/>
    <x v="0"/>
    <n v="101"/>
    <n v="601"/>
    <x v="5"/>
    <s v="SLP"/>
    <n v="62"/>
    <x v="84"/>
    <n v="0.03"/>
    <n v="42366"/>
  </r>
  <r>
    <x v="17"/>
    <x v="17"/>
    <n v="62"/>
    <n v="62"/>
    <n v="0"/>
    <s v="MN"/>
    <x v="0"/>
    <n v="101"/>
    <n v="701"/>
    <x v="6"/>
    <s v="SWP"/>
    <n v="62"/>
    <x v="33"/>
    <n v="0.01"/>
    <n v="42366"/>
  </r>
  <r>
    <x v="17"/>
    <x v="17"/>
    <n v="62"/>
    <n v="62"/>
    <n v="0"/>
    <s v="MN"/>
    <x v="0"/>
    <n v="101"/>
    <n v="801"/>
    <x v="7"/>
    <s v="JFA"/>
    <n v="62"/>
    <x v="105"/>
    <n v="0.02"/>
    <n v="42366"/>
  </r>
  <r>
    <x v="17"/>
    <x v="17"/>
    <n v="62"/>
    <n v="62"/>
    <n v="0"/>
    <s v="MN"/>
    <x v="0"/>
    <n v="101"/>
    <n v="901"/>
    <x v="8"/>
    <s v="IND"/>
    <n v="62"/>
    <x v="77"/>
    <n v="7.0000000000000007E-2"/>
    <n v="42366"/>
  </r>
  <r>
    <x v="17"/>
    <x v="17"/>
    <n v="62"/>
    <n v="62"/>
    <n v="0"/>
    <s v="MN"/>
    <x v="0"/>
    <n v="101"/>
    <n v="9901"/>
    <x v="9"/>
    <s v="WI"/>
    <n v="62"/>
    <x v="117"/>
    <n v="0.36"/>
    <n v="42366"/>
  </r>
  <r>
    <x v="18"/>
    <x v="18"/>
    <n v="142"/>
    <n v="142"/>
    <n v="0"/>
    <s v="MN"/>
    <x v="0"/>
    <n v="101"/>
    <n v="101"/>
    <x v="0"/>
    <s v="R"/>
    <n v="142"/>
    <x v="118"/>
    <n v="42.34"/>
    <n v="259805"/>
  </r>
  <r>
    <x v="18"/>
    <x v="18"/>
    <n v="142"/>
    <n v="142"/>
    <n v="0"/>
    <s v="MN"/>
    <x v="0"/>
    <n v="101"/>
    <n v="201"/>
    <x v="1"/>
    <s v="DFL"/>
    <n v="142"/>
    <x v="119"/>
    <n v="55.14"/>
    <n v="259805"/>
  </r>
  <r>
    <x v="18"/>
    <x v="18"/>
    <n v="142"/>
    <n v="142"/>
    <n v="0"/>
    <s v="MN"/>
    <x v="0"/>
    <n v="101"/>
    <n v="301"/>
    <x v="2"/>
    <s v="LIB"/>
    <n v="142"/>
    <x v="120"/>
    <n v="0.52"/>
    <n v="259805"/>
  </r>
  <r>
    <x v="18"/>
    <x v="18"/>
    <n v="142"/>
    <n v="142"/>
    <n v="0"/>
    <s v="MN"/>
    <x v="0"/>
    <n v="101"/>
    <n v="401"/>
    <x v="3"/>
    <s v="WTP"/>
    <n v="142"/>
    <x v="121"/>
    <n v="0.68"/>
    <n v="259805"/>
  </r>
  <r>
    <x v="18"/>
    <x v="18"/>
    <n v="142"/>
    <n v="142"/>
    <n v="0"/>
    <s v="MN"/>
    <x v="0"/>
    <n v="101"/>
    <n v="501"/>
    <x v="4"/>
    <s v="G"/>
    <n v="142"/>
    <x v="122"/>
    <n v="0.57999999999999996"/>
    <n v="259805"/>
  </r>
  <r>
    <x v="18"/>
    <x v="18"/>
    <n v="142"/>
    <n v="142"/>
    <n v="0"/>
    <s v="MN"/>
    <x v="0"/>
    <n v="101"/>
    <n v="601"/>
    <x v="5"/>
    <s v="SLP"/>
    <n v="142"/>
    <x v="123"/>
    <n v="7.0000000000000007E-2"/>
    <n v="259805"/>
  </r>
  <r>
    <x v="18"/>
    <x v="18"/>
    <n v="142"/>
    <n v="142"/>
    <n v="0"/>
    <s v="MN"/>
    <x v="0"/>
    <n v="101"/>
    <n v="701"/>
    <x v="6"/>
    <s v="SWP"/>
    <n v="142"/>
    <x v="101"/>
    <n v="0.01"/>
    <n v="259805"/>
  </r>
  <r>
    <x v="18"/>
    <x v="18"/>
    <n v="142"/>
    <n v="142"/>
    <n v="0"/>
    <s v="MN"/>
    <x v="0"/>
    <n v="101"/>
    <n v="801"/>
    <x v="7"/>
    <s v="JFA"/>
    <n v="142"/>
    <x v="124"/>
    <n v="0.09"/>
    <n v="259805"/>
  </r>
  <r>
    <x v="18"/>
    <x v="18"/>
    <n v="142"/>
    <n v="142"/>
    <n v="0"/>
    <s v="MN"/>
    <x v="0"/>
    <n v="101"/>
    <n v="901"/>
    <x v="8"/>
    <s v="IND"/>
    <n v="142"/>
    <x v="125"/>
    <n v="0.1"/>
    <n v="259805"/>
  </r>
  <r>
    <x v="18"/>
    <x v="18"/>
    <n v="142"/>
    <n v="142"/>
    <n v="0"/>
    <s v="MN"/>
    <x v="0"/>
    <n v="101"/>
    <n v="9901"/>
    <x v="9"/>
    <s v="WI"/>
    <n v="142"/>
    <x v="126"/>
    <n v="0.47"/>
    <n v="259805"/>
  </r>
  <r>
    <x v="19"/>
    <x v="19"/>
    <n v="22"/>
    <n v="22"/>
    <n v="0"/>
    <s v="MN"/>
    <x v="0"/>
    <n v="101"/>
    <n v="101"/>
    <x v="0"/>
    <s v="R"/>
    <n v="22"/>
    <x v="127"/>
    <n v="64.84"/>
    <n v="12484"/>
  </r>
  <r>
    <x v="19"/>
    <x v="19"/>
    <n v="22"/>
    <n v="22"/>
    <n v="0"/>
    <s v="MN"/>
    <x v="0"/>
    <n v="101"/>
    <n v="201"/>
    <x v="1"/>
    <s v="DFL"/>
    <n v="22"/>
    <x v="128"/>
    <n v="32.909999999999997"/>
    <n v="12484"/>
  </r>
  <r>
    <x v="19"/>
    <x v="19"/>
    <n v="22"/>
    <n v="22"/>
    <n v="0"/>
    <s v="MN"/>
    <x v="0"/>
    <n v="101"/>
    <n v="301"/>
    <x v="2"/>
    <s v="LIB"/>
    <n v="22"/>
    <x v="129"/>
    <n v="0.4"/>
    <n v="12484"/>
  </r>
  <r>
    <x v="19"/>
    <x v="19"/>
    <n v="22"/>
    <n v="22"/>
    <n v="0"/>
    <s v="MN"/>
    <x v="0"/>
    <n v="101"/>
    <n v="401"/>
    <x v="3"/>
    <s v="WTP"/>
    <n v="22"/>
    <x v="130"/>
    <n v="1.1000000000000001"/>
    <n v="12484"/>
  </r>
  <r>
    <x v="19"/>
    <x v="19"/>
    <n v="22"/>
    <n v="22"/>
    <n v="0"/>
    <s v="MN"/>
    <x v="0"/>
    <n v="101"/>
    <n v="501"/>
    <x v="4"/>
    <s v="G"/>
    <n v="22"/>
    <x v="104"/>
    <n v="0.23"/>
    <n v="12484"/>
  </r>
  <r>
    <x v="19"/>
    <x v="19"/>
    <n v="22"/>
    <n v="22"/>
    <n v="0"/>
    <s v="MN"/>
    <x v="0"/>
    <n v="101"/>
    <n v="601"/>
    <x v="5"/>
    <s v="SLP"/>
    <n v="22"/>
    <x v="49"/>
    <n v="0.05"/>
    <n v="12484"/>
  </r>
  <r>
    <x v="19"/>
    <x v="19"/>
    <n v="22"/>
    <n v="22"/>
    <n v="0"/>
    <s v="MN"/>
    <x v="0"/>
    <n v="101"/>
    <n v="701"/>
    <x v="6"/>
    <s v="SWP"/>
    <n v="22"/>
    <x v="23"/>
    <n v="0.02"/>
    <n v="12484"/>
  </r>
  <r>
    <x v="19"/>
    <x v="19"/>
    <n v="22"/>
    <n v="22"/>
    <n v="0"/>
    <s v="MN"/>
    <x v="0"/>
    <n v="101"/>
    <n v="801"/>
    <x v="7"/>
    <s v="JFA"/>
    <n v="22"/>
    <x v="105"/>
    <n v="7.0000000000000007E-2"/>
    <n v="12484"/>
  </r>
  <r>
    <x v="19"/>
    <x v="19"/>
    <n v="22"/>
    <n v="22"/>
    <n v="0"/>
    <s v="MN"/>
    <x v="0"/>
    <n v="101"/>
    <n v="901"/>
    <x v="8"/>
    <s v="IND"/>
    <n v="22"/>
    <x v="108"/>
    <n v="0.1"/>
    <n v="12484"/>
  </r>
  <r>
    <x v="19"/>
    <x v="19"/>
    <n v="22"/>
    <n v="22"/>
    <n v="0"/>
    <s v="MN"/>
    <x v="0"/>
    <n v="101"/>
    <n v="9901"/>
    <x v="9"/>
    <s v="WI"/>
    <n v="22"/>
    <x v="131"/>
    <n v="0.28999999999999998"/>
    <n v="12484"/>
  </r>
  <r>
    <x v="20"/>
    <x v="20"/>
    <n v="36"/>
    <n v="36"/>
    <n v="0"/>
    <s v="MN"/>
    <x v="0"/>
    <n v="101"/>
    <n v="101"/>
    <x v="0"/>
    <s v="R"/>
    <n v="36"/>
    <x v="132"/>
    <n v="66.62"/>
    <n v="25106"/>
  </r>
  <r>
    <x v="20"/>
    <x v="20"/>
    <n v="36"/>
    <n v="36"/>
    <n v="0"/>
    <s v="MN"/>
    <x v="0"/>
    <n v="101"/>
    <n v="201"/>
    <x v="1"/>
    <s v="DFL"/>
    <n v="36"/>
    <x v="133"/>
    <n v="31.62"/>
    <n v="25106"/>
  </r>
  <r>
    <x v="20"/>
    <x v="20"/>
    <n v="36"/>
    <n v="36"/>
    <n v="0"/>
    <s v="MN"/>
    <x v="0"/>
    <n v="101"/>
    <n v="301"/>
    <x v="2"/>
    <s v="LIB"/>
    <n v="36"/>
    <x v="64"/>
    <n v="0.28999999999999998"/>
    <n v="25106"/>
  </r>
  <r>
    <x v="20"/>
    <x v="20"/>
    <n v="36"/>
    <n v="36"/>
    <n v="0"/>
    <s v="MN"/>
    <x v="0"/>
    <n v="101"/>
    <n v="401"/>
    <x v="3"/>
    <s v="WTP"/>
    <n v="36"/>
    <x v="134"/>
    <n v="0.77"/>
    <n v="25106"/>
  </r>
  <r>
    <x v="20"/>
    <x v="20"/>
    <n v="36"/>
    <n v="36"/>
    <n v="0"/>
    <s v="MN"/>
    <x v="0"/>
    <n v="101"/>
    <n v="501"/>
    <x v="4"/>
    <s v="G"/>
    <n v="36"/>
    <x v="85"/>
    <n v="0.19"/>
    <n v="25106"/>
  </r>
  <r>
    <x v="20"/>
    <x v="20"/>
    <n v="36"/>
    <n v="36"/>
    <n v="0"/>
    <s v="MN"/>
    <x v="0"/>
    <n v="101"/>
    <n v="601"/>
    <x v="5"/>
    <s v="SLP"/>
    <n v="36"/>
    <x v="62"/>
    <n v="0.03"/>
    <n v="25106"/>
  </r>
  <r>
    <x v="20"/>
    <x v="20"/>
    <n v="36"/>
    <n v="36"/>
    <n v="0"/>
    <s v="MN"/>
    <x v="0"/>
    <n v="101"/>
    <n v="701"/>
    <x v="6"/>
    <s v="SWP"/>
    <n v="36"/>
    <x v="5"/>
    <n v="0"/>
    <n v="25106"/>
  </r>
  <r>
    <x v="20"/>
    <x v="20"/>
    <n v="36"/>
    <n v="36"/>
    <n v="0"/>
    <s v="MN"/>
    <x v="0"/>
    <n v="101"/>
    <n v="801"/>
    <x v="7"/>
    <s v="JFA"/>
    <n v="36"/>
    <x v="84"/>
    <n v="0.04"/>
    <n v="25106"/>
  </r>
  <r>
    <x v="20"/>
    <x v="20"/>
    <n v="36"/>
    <n v="36"/>
    <n v="0"/>
    <s v="MN"/>
    <x v="0"/>
    <n v="101"/>
    <n v="901"/>
    <x v="8"/>
    <s v="IND"/>
    <n v="36"/>
    <x v="4"/>
    <n v="0.1"/>
    <n v="25106"/>
  </r>
  <r>
    <x v="20"/>
    <x v="20"/>
    <n v="36"/>
    <n v="36"/>
    <n v="0"/>
    <s v="MN"/>
    <x v="0"/>
    <n v="101"/>
    <n v="9901"/>
    <x v="9"/>
    <s v="WI"/>
    <n v="36"/>
    <x v="135"/>
    <n v="0.35"/>
    <n v="25106"/>
  </r>
  <r>
    <x v="21"/>
    <x v="21"/>
    <n v="33"/>
    <n v="33"/>
    <n v="0"/>
    <s v="MN"/>
    <x v="0"/>
    <n v="101"/>
    <n v="101"/>
    <x v="0"/>
    <s v="R"/>
    <n v="33"/>
    <x v="136"/>
    <n v="67.61"/>
    <n v="7761"/>
  </r>
  <r>
    <x v="21"/>
    <x v="21"/>
    <n v="33"/>
    <n v="33"/>
    <n v="0"/>
    <s v="MN"/>
    <x v="0"/>
    <n v="101"/>
    <n v="201"/>
    <x v="1"/>
    <s v="DFL"/>
    <n v="33"/>
    <x v="137"/>
    <n v="30.31"/>
    <n v="7761"/>
  </r>
  <r>
    <x v="21"/>
    <x v="21"/>
    <n v="33"/>
    <n v="33"/>
    <n v="0"/>
    <s v="MN"/>
    <x v="0"/>
    <n v="101"/>
    <n v="301"/>
    <x v="2"/>
    <s v="LIB"/>
    <n v="33"/>
    <x v="76"/>
    <n v="0.3"/>
    <n v="7761"/>
  </r>
  <r>
    <x v="21"/>
    <x v="21"/>
    <n v="33"/>
    <n v="33"/>
    <n v="0"/>
    <s v="MN"/>
    <x v="0"/>
    <n v="101"/>
    <n v="401"/>
    <x v="3"/>
    <s v="WTP"/>
    <n v="33"/>
    <x v="3"/>
    <n v="1.06"/>
    <n v="7761"/>
  </r>
  <r>
    <x v="21"/>
    <x v="21"/>
    <n v="33"/>
    <n v="33"/>
    <n v="0"/>
    <s v="MN"/>
    <x v="0"/>
    <n v="101"/>
    <n v="501"/>
    <x v="4"/>
    <s v="G"/>
    <n v="33"/>
    <x v="42"/>
    <n v="0.18"/>
    <n v="7761"/>
  </r>
  <r>
    <x v="21"/>
    <x v="21"/>
    <n v="33"/>
    <n v="33"/>
    <n v="0"/>
    <s v="MN"/>
    <x v="0"/>
    <n v="101"/>
    <n v="601"/>
    <x v="5"/>
    <s v="SLP"/>
    <n v="33"/>
    <x v="6"/>
    <n v="0.01"/>
    <n v="7761"/>
  </r>
  <r>
    <x v="21"/>
    <x v="21"/>
    <n v="33"/>
    <n v="33"/>
    <n v="0"/>
    <s v="MN"/>
    <x v="0"/>
    <n v="101"/>
    <n v="701"/>
    <x v="6"/>
    <s v="SWP"/>
    <n v="33"/>
    <x v="6"/>
    <n v="0.01"/>
    <n v="7761"/>
  </r>
  <r>
    <x v="21"/>
    <x v="21"/>
    <n v="33"/>
    <n v="33"/>
    <n v="0"/>
    <s v="MN"/>
    <x v="0"/>
    <n v="101"/>
    <n v="801"/>
    <x v="7"/>
    <s v="JFA"/>
    <n v="33"/>
    <x v="49"/>
    <n v="0.08"/>
    <n v="7761"/>
  </r>
  <r>
    <x v="21"/>
    <x v="21"/>
    <n v="33"/>
    <n v="33"/>
    <n v="0"/>
    <s v="MN"/>
    <x v="0"/>
    <n v="101"/>
    <n v="901"/>
    <x v="8"/>
    <s v="IND"/>
    <n v="33"/>
    <x v="32"/>
    <n v="0.17"/>
    <n v="7761"/>
  </r>
  <r>
    <x v="21"/>
    <x v="21"/>
    <n v="33"/>
    <n v="33"/>
    <n v="0"/>
    <s v="MN"/>
    <x v="0"/>
    <n v="101"/>
    <n v="9901"/>
    <x v="9"/>
    <s v="WI"/>
    <n v="33"/>
    <x v="15"/>
    <n v="0.28000000000000003"/>
    <n v="7761"/>
  </r>
  <r>
    <x v="22"/>
    <x v="22"/>
    <n v="37"/>
    <n v="37"/>
    <n v="0"/>
    <s v="MN"/>
    <x v="0"/>
    <n v="101"/>
    <n v="101"/>
    <x v="0"/>
    <s v="R"/>
    <n v="37"/>
    <x v="138"/>
    <n v="61.67"/>
    <n v="12385"/>
  </r>
  <r>
    <x v="22"/>
    <x v="22"/>
    <n v="37"/>
    <n v="37"/>
    <n v="0"/>
    <s v="MN"/>
    <x v="0"/>
    <n v="101"/>
    <n v="201"/>
    <x v="1"/>
    <s v="DFL"/>
    <n v="37"/>
    <x v="139"/>
    <n v="36.26"/>
    <n v="12385"/>
  </r>
  <r>
    <x v="22"/>
    <x v="22"/>
    <n v="37"/>
    <n v="37"/>
    <n v="0"/>
    <s v="MN"/>
    <x v="0"/>
    <n v="101"/>
    <n v="301"/>
    <x v="2"/>
    <s v="LIB"/>
    <n v="37"/>
    <x v="56"/>
    <n v="0.32"/>
    <n v="12385"/>
  </r>
  <r>
    <x v="22"/>
    <x v="22"/>
    <n v="37"/>
    <n v="37"/>
    <n v="0"/>
    <s v="MN"/>
    <x v="0"/>
    <n v="101"/>
    <n v="401"/>
    <x v="3"/>
    <s v="WTP"/>
    <n v="37"/>
    <x v="140"/>
    <n v="0.9"/>
    <n v="12385"/>
  </r>
  <r>
    <x v="22"/>
    <x v="22"/>
    <n v="37"/>
    <n v="37"/>
    <n v="0"/>
    <s v="MN"/>
    <x v="0"/>
    <n v="101"/>
    <n v="501"/>
    <x v="4"/>
    <s v="G"/>
    <n v="37"/>
    <x v="35"/>
    <n v="0.23"/>
    <n v="12385"/>
  </r>
  <r>
    <x v="22"/>
    <x v="22"/>
    <n v="37"/>
    <n v="37"/>
    <n v="0"/>
    <s v="MN"/>
    <x v="0"/>
    <n v="101"/>
    <n v="601"/>
    <x v="5"/>
    <s v="SLP"/>
    <n v="37"/>
    <x v="6"/>
    <n v="0.01"/>
    <n v="12385"/>
  </r>
  <r>
    <x v="22"/>
    <x v="22"/>
    <n v="37"/>
    <n v="37"/>
    <n v="0"/>
    <s v="MN"/>
    <x v="0"/>
    <n v="101"/>
    <n v="701"/>
    <x v="6"/>
    <s v="SWP"/>
    <n v="37"/>
    <x v="43"/>
    <n v="0.02"/>
    <n v="12385"/>
  </r>
  <r>
    <x v="22"/>
    <x v="22"/>
    <n v="37"/>
    <n v="37"/>
    <n v="0"/>
    <s v="MN"/>
    <x v="0"/>
    <n v="101"/>
    <n v="801"/>
    <x v="7"/>
    <s v="JFA"/>
    <n v="37"/>
    <x v="44"/>
    <n v="0.03"/>
    <n v="12385"/>
  </r>
  <r>
    <x v="22"/>
    <x v="22"/>
    <n v="37"/>
    <n v="37"/>
    <n v="0"/>
    <s v="MN"/>
    <x v="0"/>
    <n v="101"/>
    <n v="901"/>
    <x v="8"/>
    <s v="IND"/>
    <n v="37"/>
    <x v="25"/>
    <n v="0.15"/>
    <n v="12385"/>
  </r>
  <r>
    <x v="22"/>
    <x v="22"/>
    <n v="37"/>
    <n v="37"/>
    <n v="0"/>
    <s v="MN"/>
    <x v="0"/>
    <n v="101"/>
    <n v="9901"/>
    <x v="9"/>
    <s v="WI"/>
    <n v="37"/>
    <x v="129"/>
    <n v="0.4"/>
    <n v="12385"/>
  </r>
  <r>
    <x v="23"/>
    <x v="23"/>
    <n v="43"/>
    <n v="43"/>
    <n v="0"/>
    <s v="MN"/>
    <x v="0"/>
    <n v="101"/>
    <n v="101"/>
    <x v="0"/>
    <s v="R"/>
    <n v="43"/>
    <x v="141"/>
    <n v="59.88"/>
    <n v="16704"/>
  </r>
  <r>
    <x v="23"/>
    <x v="23"/>
    <n v="43"/>
    <n v="43"/>
    <n v="0"/>
    <s v="MN"/>
    <x v="0"/>
    <n v="101"/>
    <n v="201"/>
    <x v="1"/>
    <s v="DFL"/>
    <n v="43"/>
    <x v="142"/>
    <n v="38.6"/>
    <n v="16704"/>
  </r>
  <r>
    <x v="23"/>
    <x v="23"/>
    <n v="43"/>
    <n v="43"/>
    <n v="0"/>
    <s v="MN"/>
    <x v="0"/>
    <n v="101"/>
    <n v="301"/>
    <x v="2"/>
    <s v="LIB"/>
    <n v="43"/>
    <x v="143"/>
    <n v="0.28000000000000003"/>
    <n v="16704"/>
  </r>
  <r>
    <x v="23"/>
    <x v="23"/>
    <n v="43"/>
    <n v="43"/>
    <n v="0"/>
    <s v="MN"/>
    <x v="0"/>
    <n v="101"/>
    <n v="401"/>
    <x v="3"/>
    <s v="WTP"/>
    <n v="43"/>
    <x v="144"/>
    <n v="0.74"/>
    <n v="16704"/>
  </r>
  <r>
    <x v="23"/>
    <x v="23"/>
    <n v="43"/>
    <n v="43"/>
    <n v="0"/>
    <s v="MN"/>
    <x v="0"/>
    <n v="101"/>
    <n v="501"/>
    <x v="4"/>
    <s v="G"/>
    <n v="43"/>
    <x v="104"/>
    <n v="0.17"/>
    <n v="16704"/>
  </r>
  <r>
    <x v="23"/>
    <x v="23"/>
    <n v="43"/>
    <n v="43"/>
    <n v="0"/>
    <s v="MN"/>
    <x v="0"/>
    <n v="101"/>
    <n v="601"/>
    <x v="5"/>
    <s v="SLP"/>
    <n v="43"/>
    <x v="43"/>
    <n v="0.02"/>
    <n v="16704"/>
  </r>
  <r>
    <x v="23"/>
    <x v="23"/>
    <n v="43"/>
    <n v="43"/>
    <n v="0"/>
    <s v="MN"/>
    <x v="0"/>
    <n v="101"/>
    <n v="701"/>
    <x v="6"/>
    <s v="SWP"/>
    <n v="43"/>
    <x v="6"/>
    <n v="0.01"/>
    <n v="16704"/>
  </r>
  <r>
    <x v="23"/>
    <x v="23"/>
    <n v="43"/>
    <n v="43"/>
    <n v="0"/>
    <s v="MN"/>
    <x v="0"/>
    <n v="101"/>
    <n v="801"/>
    <x v="7"/>
    <s v="JFA"/>
    <n v="43"/>
    <x v="62"/>
    <n v="0.04"/>
    <n v="16704"/>
  </r>
  <r>
    <x v="23"/>
    <x v="23"/>
    <n v="43"/>
    <n v="43"/>
    <n v="0"/>
    <s v="MN"/>
    <x v="0"/>
    <n v="101"/>
    <n v="901"/>
    <x v="8"/>
    <s v="IND"/>
    <n v="43"/>
    <x v="105"/>
    <n v="0.05"/>
    <n v="16704"/>
  </r>
  <r>
    <x v="23"/>
    <x v="23"/>
    <n v="43"/>
    <n v="43"/>
    <n v="0"/>
    <s v="MN"/>
    <x v="0"/>
    <n v="101"/>
    <n v="9901"/>
    <x v="9"/>
    <s v="WI"/>
    <n v="43"/>
    <x v="83"/>
    <n v="0.2"/>
    <n v="16704"/>
  </r>
  <r>
    <x v="24"/>
    <x v="24"/>
    <n v="40"/>
    <n v="40"/>
    <n v="0"/>
    <s v="MN"/>
    <x v="0"/>
    <n v="101"/>
    <n v="101"/>
    <x v="0"/>
    <s v="R"/>
    <n v="40"/>
    <x v="145"/>
    <n v="57.12"/>
    <n v="28817"/>
  </r>
  <r>
    <x v="24"/>
    <x v="24"/>
    <n v="40"/>
    <n v="40"/>
    <n v="0"/>
    <s v="MN"/>
    <x v="0"/>
    <n v="101"/>
    <n v="201"/>
    <x v="1"/>
    <s v="DFL"/>
    <n v="40"/>
    <x v="146"/>
    <n v="40.71"/>
    <n v="28817"/>
  </r>
  <r>
    <x v="24"/>
    <x v="24"/>
    <n v="40"/>
    <n v="40"/>
    <n v="0"/>
    <s v="MN"/>
    <x v="0"/>
    <n v="101"/>
    <n v="301"/>
    <x v="2"/>
    <s v="LIB"/>
    <n v="40"/>
    <x v="114"/>
    <n v="0.54"/>
    <n v="28817"/>
  </r>
  <r>
    <x v="24"/>
    <x v="24"/>
    <n v="40"/>
    <n v="40"/>
    <n v="0"/>
    <s v="MN"/>
    <x v="0"/>
    <n v="101"/>
    <n v="401"/>
    <x v="3"/>
    <s v="WTP"/>
    <n v="40"/>
    <x v="93"/>
    <n v="0.88"/>
    <n v="28817"/>
  </r>
  <r>
    <x v="24"/>
    <x v="24"/>
    <n v="40"/>
    <n v="40"/>
    <n v="0"/>
    <s v="MN"/>
    <x v="0"/>
    <n v="101"/>
    <n v="501"/>
    <x v="4"/>
    <s v="G"/>
    <n v="40"/>
    <x v="41"/>
    <n v="0.26"/>
    <n v="28817"/>
  </r>
  <r>
    <x v="24"/>
    <x v="24"/>
    <n v="40"/>
    <n v="40"/>
    <n v="0"/>
    <s v="MN"/>
    <x v="0"/>
    <n v="101"/>
    <n v="601"/>
    <x v="5"/>
    <s v="SLP"/>
    <n v="40"/>
    <x v="84"/>
    <n v="0.04"/>
    <n v="28817"/>
  </r>
  <r>
    <x v="24"/>
    <x v="24"/>
    <n v="40"/>
    <n v="40"/>
    <n v="0"/>
    <s v="MN"/>
    <x v="0"/>
    <n v="101"/>
    <n v="701"/>
    <x v="6"/>
    <s v="SWP"/>
    <n v="40"/>
    <x v="43"/>
    <n v="0.01"/>
    <n v="28817"/>
  </r>
  <r>
    <x v="24"/>
    <x v="24"/>
    <n v="40"/>
    <n v="40"/>
    <n v="0"/>
    <s v="MN"/>
    <x v="0"/>
    <n v="101"/>
    <n v="801"/>
    <x v="7"/>
    <s v="JFA"/>
    <n v="40"/>
    <x v="25"/>
    <n v="0.06"/>
    <n v="28817"/>
  </r>
  <r>
    <x v="24"/>
    <x v="24"/>
    <n v="40"/>
    <n v="40"/>
    <n v="0"/>
    <s v="MN"/>
    <x v="0"/>
    <n v="101"/>
    <n v="901"/>
    <x v="8"/>
    <s v="IND"/>
    <n v="40"/>
    <x v="147"/>
    <n v="0.12"/>
    <n v="28817"/>
  </r>
  <r>
    <x v="24"/>
    <x v="24"/>
    <n v="40"/>
    <n v="40"/>
    <n v="0"/>
    <s v="MN"/>
    <x v="0"/>
    <n v="101"/>
    <n v="9901"/>
    <x v="9"/>
    <s v="WI"/>
    <n v="40"/>
    <x v="148"/>
    <n v="0.25"/>
    <n v="28817"/>
  </r>
  <r>
    <x v="25"/>
    <x v="25"/>
    <n v="23"/>
    <n v="23"/>
    <n v="0"/>
    <s v="MN"/>
    <x v="0"/>
    <n v="101"/>
    <n v="101"/>
    <x v="0"/>
    <s v="R"/>
    <n v="23"/>
    <x v="149"/>
    <n v="63.96"/>
    <n v="3543"/>
  </r>
  <r>
    <x v="25"/>
    <x v="25"/>
    <n v="23"/>
    <n v="23"/>
    <n v="0"/>
    <s v="MN"/>
    <x v="0"/>
    <n v="101"/>
    <n v="201"/>
    <x v="1"/>
    <s v="DFL"/>
    <n v="23"/>
    <x v="150"/>
    <n v="33.5"/>
    <n v="3543"/>
  </r>
  <r>
    <x v="25"/>
    <x v="25"/>
    <n v="23"/>
    <n v="23"/>
    <n v="0"/>
    <s v="MN"/>
    <x v="0"/>
    <n v="101"/>
    <n v="301"/>
    <x v="2"/>
    <s v="LIB"/>
    <n v="23"/>
    <x v="84"/>
    <n v="0.31"/>
    <n v="3543"/>
  </r>
  <r>
    <x v="25"/>
    <x v="25"/>
    <n v="23"/>
    <n v="23"/>
    <n v="0"/>
    <s v="MN"/>
    <x v="0"/>
    <n v="101"/>
    <n v="401"/>
    <x v="3"/>
    <s v="WTP"/>
    <n v="23"/>
    <x v="89"/>
    <n v="1.61"/>
    <n v="3543"/>
  </r>
  <r>
    <x v="25"/>
    <x v="25"/>
    <n v="23"/>
    <n v="23"/>
    <n v="0"/>
    <s v="MN"/>
    <x v="0"/>
    <n v="101"/>
    <n v="501"/>
    <x v="4"/>
    <s v="G"/>
    <n v="23"/>
    <x v="33"/>
    <n v="0.14000000000000001"/>
    <n v="3543"/>
  </r>
  <r>
    <x v="25"/>
    <x v="25"/>
    <n v="23"/>
    <n v="23"/>
    <n v="0"/>
    <s v="MN"/>
    <x v="0"/>
    <n v="101"/>
    <n v="601"/>
    <x v="5"/>
    <s v="SLP"/>
    <n v="23"/>
    <x v="23"/>
    <n v="0.06"/>
    <n v="3543"/>
  </r>
  <r>
    <x v="25"/>
    <x v="25"/>
    <n v="23"/>
    <n v="23"/>
    <n v="0"/>
    <s v="MN"/>
    <x v="0"/>
    <n v="101"/>
    <n v="701"/>
    <x v="6"/>
    <s v="SWP"/>
    <n v="23"/>
    <x v="5"/>
    <n v="0"/>
    <n v="3543"/>
  </r>
  <r>
    <x v="25"/>
    <x v="25"/>
    <n v="23"/>
    <n v="23"/>
    <n v="0"/>
    <s v="MN"/>
    <x v="0"/>
    <n v="101"/>
    <n v="801"/>
    <x v="7"/>
    <s v="JFA"/>
    <n v="23"/>
    <x v="5"/>
    <n v="0"/>
    <n v="3543"/>
  </r>
  <r>
    <x v="25"/>
    <x v="25"/>
    <n v="23"/>
    <n v="23"/>
    <n v="0"/>
    <s v="MN"/>
    <x v="0"/>
    <n v="101"/>
    <n v="901"/>
    <x v="8"/>
    <s v="IND"/>
    <n v="23"/>
    <x v="43"/>
    <n v="0.08"/>
    <n v="3543"/>
  </r>
  <r>
    <x v="25"/>
    <x v="25"/>
    <n v="23"/>
    <n v="23"/>
    <n v="0"/>
    <s v="MN"/>
    <x v="0"/>
    <n v="101"/>
    <n v="9901"/>
    <x v="9"/>
    <s v="WI"/>
    <n v="23"/>
    <x v="108"/>
    <n v="0.34"/>
    <n v="3543"/>
  </r>
  <r>
    <x v="26"/>
    <x v="26"/>
    <n v="396"/>
    <n v="396"/>
    <n v="0"/>
    <s v="MN"/>
    <x v="0"/>
    <n v="101"/>
    <n v="101"/>
    <x v="0"/>
    <s v="R"/>
    <n v="396"/>
    <x v="151"/>
    <n v="27.39"/>
    <n v="720173"/>
  </r>
  <r>
    <x v="26"/>
    <x v="26"/>
    <n v="396"/>
    <n v="396"/>
    <n v="0"/>
    <s v="MN"/>
    <x v="0"/>
    <n v="101"/>
    <n v="201"/>
    <x v="1"/>
    <s v="DFL"/>
    <n v="396"/>
    <x v="152"/>
    <n v="69.8"/>
    <n v="720173"/>
  </r>
  <r>
    <x v="26"/>
    <x v="26"/>
    <n v="396"/>
    <n v="396"/>
    <n v="0"/>
    <s v="MN"/>
    <x v="0"/>
    <n v="101"/>
    <n v="301"/>
    <x v="2"/>
    <s v="LIB"/>
    <n v="396"/>
    <x v="153"/>
    <n v="0.5"/>
    <n v="720173"/>
  </r>
  <r>
    <x v="26"/>
    <x v="26"/>
    <n v="396"/>
    <n v="396"/>
    <n v="0"/>
    <s v="MN"/>
    <x v="0"/>
    <n v="101"/>
    <n v="401"/>
    <x v="3"/>
    <s v="WTP"/>
    <n v="396"/>
    <x v="154"/>
    <n v="0.57999999999999996"/>
    <n v="720173"/>
  </r>
  <r>
    <x v="26"/>
    <x v="26"/>
    <n v="396"/>
    <n v="396"/>
    <n v="0"/>
    <s v="MN"/>
    <x v="0"/>
    <n v="101"/>
    <n v="501"/>
    <x v="4"/>
    <s v="G"/>
    <n v="396"/>
    <x v="155"/>
    <n v="0.77"/>
    <n v="720173"/>
  </r>
  <r>
    <x v="26"/>
    <x v="26"/>
    <n v="396"/>
    <n v="396"/>
    <n v="0"/>
    <s v="MN"/>
    <x v="0"/>
    <n v="101"/>
    <n v="601"/>
    <x v="5"/>
    <s v="SLP"/>
    <n v="396"/>
    <x v="156"/>
    <n v="0.19"/>
    <n v="720173"/>
  </r>
  <r>
    <x v="26"/>
    <x v="26"/>
    <n v="396"/>
    <n v="396"/>
    <n v="0"/>
    <s v="MN"/>
    <x v="0"/>
    <n v="101"/>
    <n v="701"/>
    <x v="6"/>
    <s v="SWP"/>
    <n v="396"/>
    <x v="157"/>
    <n v="0.02"/>
    <n v="720173"/>
  </r>
  <r>
    <x v="26"/>
    <x v="26"/>
    <n v="396"/>
    <n v="396"/>
    <n v="0"/>
    <s v="MN"/>
    <x v="0"/>
    <n v="101"/>
    <n v="801"/>
    <x v="7"/>
    <s v="JFA"/>
    <n v="396"/>
    <x v="158"/>
    <n v="0.17"/>
    <n v="720173"/>
  </r>
  <r>
    <x v="26"/>
    <x v="26"/>
    <n v="396"/>
    <n v="396"/>
    <n v="0"/>
    <s v="MN"/>
    <x v="0"/>
    <n v="101"/>
    <n v="901"/>
    <x v="8"/>
    <s v="IND"/>
    <n v="396"/>
    <x v="159"/>
    <n v="0.08"/>
    <n v="720173"/>
  </r>
  <r>
    <x v="26"/>
    <x v="26"/>
    <n v="396"/>
    <n v="396"/>
    <n v="0"/>
    <s v="MN"/>
    <x v="0"/>
    <n v="101"/>
    <n v="9901"/>
    <x v="9"/>
    <s v="WI"/>
    <n v="396"/>
    <x v="160"/>
    <n v="0.5"/>
    <n v="720173"/>
  </r>
  <r>
    <x v="27"/>
    <x v="27"/>
    <n v="27"/>
    <n v="27"/>
    <n v="0"/>
    <s v="MN"/>
    <x v="0"/>
    <n v="101"/>
    <n v="101"/>
    <x v="0"/>
    <s v="R"/>
    <n v="27"/>
    <x v="161"/>
    <n v="57.29"/>
    <n v="11428"/>
  </r>
  <r>
    <x v="27"/>
    <x v="27"/>
    <n v="27"/>
    <n v="27"/>
    <n v="0"/>
    <s v="MN"/>
    <x v="0"/>
    <n v="101"/>
    <n v="201"/>
    <x v="1"/>
    <s v="DFL"/>
    <n v="27"/>
    <x v="162"/>
    <n v="40.840000000000003"/>
    <n v="11428"/>
  </r>
  <r>
    <x v="27"/>
    <x v="27"/>
    <n v="27"/>
    <n v="27"/>
    <n v="0"/>
    <s v="MN"/>
    <x v="0"/>
    <n v="101"/>
    <n v="301"/>
    <x v="2"/>
    <s v="LIB"/>
    <n v="27"/>
    <x v="26"/>
    <n v="0.38"/>
    <n v="11428"/>
  </r>
  <r>
    <x v="27"/>
    <x v="27"/>
    <n v="27"/>
    <n v="27"/>
    <n v="0"/>
    <s v="MN"/>
    <x v="0"/>
    <n v="101"/>
    <n v="401"/>
    <x v="3"/>
    <s v="WTP"/>
    <n v="27"/>
    <x v="116"/>
    <n v="0.8"/>
    <n v="11428"/>
  </r>
  <r>
    <x v="27"/>
    <x v="27"/>
    <n v="27"/>
    <n v="27"/>
    <n v="0"/>
    <s v="MN"/>
    <x v="0"/>
    <n v="101"/>
    <n v="501"/>
    <x v="4"/>
    <s v="G"/>
    <n v="27"/>
    <x v="2"/>
    <n v="0.27"/>
    <n v="11428"/>
  </r>
  <r>
    <x v="27"/>
    <x v="27"/>
    <n v="27"/>
    <n v="27"/>
    <n v="0"/>
    <s v="MN"/>
    <x v="0"/>
    <n v="101"/>
    <n v="601"/>
    <x v="5"/>
    <s v="SLP"/>
    <n v="27"/>
    <x v="5"/>
    <n v="0"/>
    <n v="11428"/>
  </r>
  <r>
    <x v="27"/>
    <x v="27"/>
    <n v="27"/>
    <n v="27"/>
    <n v="0"/>
    <s v="MN"/>
    <x v="0"/>
    <n v="101"/>
    <n v="701"/>
    <x v="6"/>
    <s v="SWP"/>
    <n v="27"/>
    <x v="43"/>
    <n v="0.03"/>
    <n v="11428"/>
  </r>
  <r>
    <x v="27"/>
    <x v="27"/>
    <n v="27"/>
    <n v="27"/>
    <n v="0"/>
    <s v="MN"/>
    <x v="0"/>
    <n v="101"/>
    <n v="801"/>
    <x v="7"/>
    <s v="JFA"/>
    <n v="27"/>
    <x v="43"/>
    <n v="0.03"/>
    <n v="11428"/>
  </r>
  <r>
    <x v="27"/>
    <x v="27"/>
    <n v="27"/>
    <n v="27"/>
    <n v="0"/>
    <s v="MN"/>
    <x v="0"/>
    <n v="101"/>
    <n v="901"/>
    <x v="8"/>
    <s v="IND"/>
    <n v="27"/>
    <x v="105"/>
    <n v="0.08"/>
    <n v="11428"/>
  </r>
  <r>
    <x v="27"/>
    <x v="27"/>
    <n v="27"/>
    <n v="27"/>
    <n v="0"/>
    <s v="MN"/>
    <x v="0"/>
    <n v="101"/>
    <n v="9901"/>
    <x v="9"/>
    <s v="WI"/>
    <n v="27"/>
    <x v="83"/>
    <n v="0.3"/>
    <n v="11428"/>
  </r>
  <r>
    <x v="28"/>
    <x v="28"/>
    <n v="37"/>
    <n v="37"/>
    <n v="0"/>
    <s v="MN"/>
    <x v="0"/>
    <n v="101"/>
    <n v="101"/>
    <x v="0"/>
    <s v="R"/>
    <n v="37"/>
    <x v="163"/>
    <n v="64.69"/>
    <n v="13617"/>
  </r>
  <r>
    <x v="28"/>
    <x v="28"/>
    <n v="37"/>
    <n v="37"/>
    <n v="0"/>
    <s v="MN"/>
    <x v="0"/>
    <n v="101"/>
    <n v="201"/>
    <x v="1"/>
    <s v="DFL"/>
    <n v="37"/>
    <x v="164"/>
    <n v="33.31"/>
    <n v="13617"/>
  </r>
  <r>
    <x v="28"/>
    <x v="28"/>
    <n v="37"/>
    <n v="37"/>
    <n v="0"/>
    <s v="MN"/>
    <x v="0"/>
    <n v="101"/>
    <n v="301"/>
    <x v="2"/>
    <s v="LIB"/>
    <n v="37"/>
    <x v="82"/>
    <n v="0.4"/>
    <n v="13617"/>
  </r>
  <r>
    <x v="28"/>
    <x v="28"/>
    <n v="37"/>
    <n v="37"/>
    <n v="0"/>
    <s v="MN"/>
    <x v="0"/>
    <n v="101"/>
    <n v="401"/>
    <x v="3"/>
    <s v="WTP"/>
    <n v="37"/>
    <x v="100"/>
    <n v="0.84"/>
    <n v="13617"/>
  </r>
  <r>
    <x v="28"/>
    <x v="28"/>
    <n v="37"/>
    <n v="37"/>
    <n v="0"/>
    <s v="MN"/>
    <x v="0"/>
    <n v="101"/>
    <n v="501"/>
    <x v="4"/>
    <s v="G"/>
    <n v="37"/>
    <x v="109"/>
    <n v="0.24"/>
    <n v="13617"/>
  </r>
  <r>
    <x v="28"/>
    <x v="28"/>
    <n v="37"/>
    <n v="37"/>
    <n v="0"/>
    <s v="MN"/>
    <x v="0"/>
    <n v="101"/>
    <n v="601"/>
    <x v="5"/>
    <s v="SLP"/>
    <n v="37"/>
    <x v="44"/>
    <n v="0.03"/>
    <n v="13617"/>
  </r>
  <r>
    <x v="28"/>
    <x v="28"/>
    <n v="37"/>
    <n v="37"/>
    <n v="0"/>
    <s v="MN"/>
    <x v="0"/>
    <n v="101"/>
    <n v="701"/>
    <x v="6"/>
    <s v="SWP"/>
    <n v="37"/>
    <x v="6"/>
    <n v="0.01"/>
    <n v="13617"/>
  </r>
  <r>
    <x v="28"/>
    <x v="28"/>
    <n v="37"/>
    <n v="37"/>
    <n v="0"/>
    <s v="MN"/>
    <x v="0"/>
    <n v="101"/>
    <n v="801"/>
    <x v="7"/>
    <s v="JFA"/>
    <n v="37"/>
    <x v="33"/>
    <n v="0.04"/>
    <n v="13617"/>
  </r>
  <r>
    <x v="28"/>
    <x v="28"/>
    <n v="37"/>
    <n v="37"/>
    <n v="0"/>
    <s v="MN"/>
    <x v="0"/>
    <n v="101"/>
    <n v="901"/>
    <x v="8"/>
    <s v="IND"/>
    <n v="37"/>
    <x v="42"/>
    <n v="0.1"/>
    <n v="13617"/>
  </r>
  <r>
    <x v="28"/>
    <x v="28"/>
    <n v="37"/>
    <n v="37"/>
    <n v="0"/>
    <s v="MN"/>
    <x v="0"/>
    <n v="101"/>
    <n v="9901"/>
    <x v="9"/>
    <s v="WI"/>
    <n v="37"/>
    <x v="85"/>
    <n v="0.35"/>
    <n v="13617"/>
  </r>
  <r>
    <x v="29"/>
    <x v="29"/>
    <n v="19"/>
    <n v="19"/>
    <n v="0"/>
    <s v="MN"/>
    <x v="0"/>
    <n v="101"/>
    <n v="101"/>
    <x v="0"/>
    <s v="R"/>
    <n v="19"/>
    <x v="165"/>
    <n v="69.55"/>
    <n v="25918"/>
  </r>
  <r>
    <x v="29"/>
    <x v="29"/>
    <n v="19"/>
    <n v="19"/>
    <n v="0"/>
    <s v="MN"/>
    <x v="0"/>
    <n v="101"/>
    <n v="201"/>
    <x v="1"/>
    <s v="DFL"/>
    <n v="19"/>
    <x v="166"/>
    <n v="28.49"/>
    <n v="25918"/>
  </r>
  <r>
    <x v="29"/>
    <x v="29"/>
    <n v="19"/>
    <n v="19"/>
    <n v="0"/>
    <s v="MN"/>
    <x v="0"/>
    <n v="101"/>
    <n v="301"/>
    <x v="2"/>
    <s v="LIB"/>
    <n v="19"/>
    <x v="167"/>
    <n v="0.42"/>
    <n v="25918"/>
  </r>
  <r>
    <x v="29"/>
    <x v="29"/>
    <n v="19"/>
    <n v="19"/>
    <n v="0"/>
    <s v="MN"/>
    <x v="0"/>
    <n v="101"/>
    <n v="401"/>
    <x v="3"/>
    <s v="WTP"/>
    <n v="19"/>
    <x v="168"/>
    <n v="0.81"/>
    <n v="25918"/>
  </r>
  <r>
    <x v="29"/>
    <x v="29"/>
    <n v="19"/>
    <n v="19"/>
    <n v="0"/>
    <s v="MN"/>
    <x v="0"/>
    <n v="101"/>
    <n v="501"/>
    <x v="4"/>
    <s v="G"/>
    <n v="19"/>
    <x v="169"/>
    <n v="0.22"/>
    <n v="25918"/>
  </r>
  <r>
    <x v="29"/>
    <x v="29"/>
    <n v="19"/>
    <n v="19"/>
    <n v="0"/>
    <s v="MN"/>
    <x v="0"/>
    <n v="101"/>
    <n v="601"/>
    <x v="5"/>
    <s v="SLP"/>
    <n v="19"/>
    <x v="44"/>
    <n v="0.02"/>
    <n v="25918"/>
  </r>
  <r>
    <x v="29"/>
    <x v="29"/>
    <n v="19"/>
    <n v="19"/>
    <n v="0"/>
    <s v="MN"/>
    <x v="0"/>
    <n v="101"/>
    <n v="701"/>
    <x v="6"/>
    <s v="SWP"/>
    <n v="19"/>
    <x v="6"/>
    <n v="0"/>
    <n v="25918"/>
  </r>
  <r>
    <x v="29"/>
    <x v="29"/>
    <n v="19"/>
    <n v="19"/>
    <n v="0"/>
    <s v="MN"/>
    <x v="0"/>
    <n v="101"/>
    <n v="801"/>
    <x v="7"/>
    <s v="JFA"/>
    <n v="19"/>
    <x v="42"/>
    <n v="0.05"/>
    <n v="25918"/>
  </r>
  <r>
    <x v="29"/>
    <x v="29"/>
    <n v="19"/>
    <n v="19"/>
    <n v="0"/>
    <s v="MN"/>
    <x v="0"/>
    <n v="101"/>
    <n v="901"/>
    <x v="8"/>
    <s v="IND"/>
    <n v="19"/>
    <x v="57"/>
    <n v="0.09"/>
    <n v="25918"/>
  </r>
  <r>
    <x v="29"/>
    <x v="29"/>
    <n v="19"/>
    <n v="19"/>
    <n v="0"/>
    <s v="MN"/>
    <x v="0"/>
    <n v="101"/>
    <n v="9901"/>
    <x v="9"/>
    <s v="WI"/>
    <n v="19"/>
    <x v="170"/>
    <n v="0.34"/>
    <n v="25918"/>
  </r>
  <r>
    <x v="30"/>
    <x v="30"/>
    <n v="75"/>
    <n v="75"/>
    <n v="0"/>
    <s v="MN"/>
    <x v="0"/>
    <n v="101"/>
    <n v="101"/>
    <x v="0"/>
    <s v="R"/>
    <n v="75"/>
    <x v="171"/>
    <n v="59.1"/>
    <n v="26840"/>
  </r>
  <r>
    <x v="30"/>
    <x v="30"/>
    <n v="75"/>
    <n v="75"/>
    <n v="0"/>
    <s v="MN"/>
    <x v="0"/>
    <n v="101"/>
    <n v="201"/>
    <x v="1"/>
    <s v="DFL"/>
    <n v="75"/>
    <x v="172"/>
    <n v="39"/>
    <n v="26840"/>
  </r>
  <r>
    <x v="30"/>
    <x v="30"/>
    <n v="75"/>
    <n v="75"/>
    <n v="0"/>
    <s v="MN"/>
    <x v="0"/>
    <n v="101"/>
    <n v="301"/>
    <x v="2"/>
    <s v="LIB"/>
    <n v="75"/>
    <x v="173"/>
    <n v="0.35"/>
    <n v="26840"/>
  </r>
  <r>
    <x v="30"/>
    <x v="30"/>
    <n v="75"/>
    <n v="75"/>
    <n v="0"/>
    <s v="MN"/>
    <x v="0"/>
    <n v="101"/>
    <n v="401"/>
    <x v="3"/>
    <s v="WTP"/>
    <n v="75"/>
    <x v="174"/>
    <n v="0.95"/>
    <n v="26840"/>
  </r>
  <r>
    <x v="30"/>
    <x v="30"/>
    <n v="75"/>
    <n v="75"/>
    <n v="0"/>
    <s v="MN"/>
    <x v="0"/>
    <n v="101"/>
    <n v="501"/>
    <x v="4"/>
    <s v="G"/>
    <n v="75"/>
    <x v="175"/>
    <n v="0.19"/>
    <n v="26840"/>
  </r>
  <r>
    <x v="30"/>
    <x v="30"/>
    <n v="75"/>
    <n v="75"/>
    <n v="0"/>
    <s v="MN"/>
    <x v="0"/>
    <n v="101"/>
    <n v="601"/>
    <x v="5"/>
    <s v="SLP"/>
    <n v="75"/>
    <x v="33"/>
    <n v="0.02"/>
    <n v="26840"/>
  </r>
  <r>
    <x v="30"/>
    <x v="30"/>
    <n v="75"/>
    <n v="75"/>
    <n v="0"/>
    <s v="MN"/>
    <x v="0"/>
    <n v="101"/>
    <n v="701"/>
    <x v="6"/>
    <s v="SWP"/>
    <n v="75"/>
    <x v="5"/>
    <n v="0"/>
    <n v="26840"/>
  </r>
  <r>
    <x v="30"/>
    <x v="30"/>
    <n v="75"/>
    <n v="75"/>
    <n v="0"/>
    <s v="MN"/>
    <x v="0"/>
    <n v="101"/>
    <n v="801"/>
    <x v="7"/>
    <s v="JFA"/>
    <n v="75"/>
    <x v="105"/>
    <n v="0.03"/>
    <n v="26840"/>
  </r>
  <r>
    <x v="30"/>
    <x v="30"/>
    <n v="75"/>
    <n v="75"/>
    <n v="0"/>
    <s v="MN"/>
    <x v="0"/>
    <n v="101"/>
    <n v="901"/>
    <x v="8"/>
    <s v="IND"/>
    <n v="75"/>
    <x v="88"/>
    <n v="0.06"/>
    <n v="26840"/>
  </r>
  <r>
    <x v="30"/>
    <x v="30"/>
    <n v="75"/>
    <n v="75"/>
    <n v="0"/>
    <s v="MN"/>
    <x v="0"/>
    <n v="101"/>
    <n v="9901"/>
    <x v="9"/>
    <s v="WI"/>
    <n v="75"/>
    <x v="176"/>
    <n v="0.3"/>
    <n v="26840"/>
  </r>
  <r>
    <x v="31"/>
    <x v="31"/>
    <n v="28"/>
    <n v="28"/>
    <n v="0"/>
    <s v="MN"/>
    <x v="0"/>
    <n v="101"/>
    <n v="101"/>
    <x v="0"/>
    <s v="R"/>
    <n v="28"/>
    <x v="177"/>
    <n v="69.97"/>
    <n v="5644"/>
  </r>
  <r>
    <x v="31"/>
    <x v="31"/>
    <n v="28"/>
    <n v="28"/>
    <n v="0"/>
    <s v="MN"/>
    <x v="0"/>
    <n v="101"/>
    <n v="201"/>
    <x v="1"/>
    <s v="DFL"/>
    <n v="28"/>
    <x v="178"/>
    <n v="28.01"/>
    <n v="5644"/>
  </r>
  <r>
    <x v="31"/>
    <x v="31"/>
    <n v="28"/>
    <n v="28"/>
    <n v="0"/>
    <s v="MN"/>
    <x v="0"/>
    <n v="101"/>
    <n v="301"/>
    <x v="2"/>
    <s v="LIB"/>
    <n v="28"/>
    <x v="108"/>
    <n v="0.21"/>
    <n v="5644"/>
  </r>
  <r>
    <x v="31"/>
    <x v="31"/>
    <n v="28"/>
    <n v="28"/>
    <n v="0"/>
    <s v="MN"/>
    <x v="0"/>
    <n v="101"/>
    <n v="401"/>
    <x v="3"/>
    <s v="WTP"/>
    <n v="28"/>
    <x v="179"/>
    <n v="1.1499999999999999"/>
    <n v="5644"/>
  </r>
  <r>
    <x v="31"/>
    <x v="31"/>
    <n v="28"/>
    <n v="28"/>
    <n v="0"/>
    <s v="MN"/>
    <x v="0"/>
    <n v="101"/>
    <n v="501"/>
    <x v="4"/>
    <s v="G"/>
    <n v="28"/>
    <x v="44"/>
    <n v="7.0000000000000007E-2"/>
    <n v="5644"/>
  </r>
  <r>
    <x v="31"/>
    <x v="31"/>
    <n v="28"/>
    <n v="28"/>
    <n v="0"/>
    <s v="MN"/>
    <x v="0"/>
    <n v="101"/>
    <n v="601"/>
    <x v="5"/>
    <s v="SLP"/>
    <n v="28"/>
    <x v="6"/>
    <n v="0.02"/>
    <n v="5644"/>
  </r>
  <r>
    <x v="31"/>
    <x v="31"/>
    <n v="28"/>
    <n v="28"/>
    <n v="0"/>
    <s v="MN"/>
    <x v="0"/>
    <n v="101"/>
    <n v="701"/>
    <x v="6"/>
    <s v="SWP"/>
    <n v="28"/>
    <x v="6"/>
    <n v="0.02"/>
    <n v="5644"/>
  </r>
  <r>
    <x v="31"/>
    <x v="31"/>
    <n v="28"/>
    <n v="28"/>
    <n v="0"/>
    <s v="MN"/>
    <x v="0"/>
    <n v="101"/>
    <n v="801"/>
    <x v="7"/>
    <s v="JFA"/>
    <n v="28"/>
    <x v="6"/>
    <n v="0.02"/>
    <n v="5644"/>
  </r>
  <r>
    <x v="31"/>
    <x v="31"/>
    <n v="28"/>
    <n v="28"/>
    <n v="0"/>
    <s v="MN"/>
    <x v="0"/>
    <n v="101"/>
    <n v="901"/>
    <x v="8"/>
    <s v="IND"/>
    <n v="28"/>
    <x v="84"/>
    <n v="0.19"/>
    <n v="5644"/>
  </r>
  <r>
    <x v="31"/>
    <x v="31"/>
    <n v="28"/>
    <n v="28"/>
    <n v="0"/>
    <s v="MN"/>
    <x v="0"/>
    <n v="101"/>
    <n v="9901"/>
    <x v="9"/>
    <s v="WI"/>
    <n v="28"/>
    <x v="34"/>
    <n v="0.34"/>
    <n v="5644"/>
  </r>
  <r>
    <x v="32"/>
    <x v="32"/>
    <n v="20"/>
    <n v="20"/>
    <n v="0"/>
    <s v="MN"/>
    <x v="0"/>
    <n v="101"/>
    <n v="101"/>
    <x v="0"/>
    <s v="R"/>
    <n v="20"/>
    <x v="180"/>
    <n v="70.27"/>
    <n v="9703"/>
  </r>
  <r>
    <x v="32"/>
    <x v="32"/>
    <n v="20"/>
    <n v="20"/>
    <n v="0"/>
    <s v="MN"/>
    <x v="0"/>
    <n v="101"/>
    <n v="201"/>
    <x v="1"/>
    <s v="DFL"/>
    <n v="20"/>
    <x v="181"/>
    <n v="28.01"/>
    <n v="9703"/>
  </r>
  <r>
    <x v="32"/>
    <x v="32"/>
    <n v="20"/>
    <n v="20"/>
    <n v="0"/>
    <s v="MN"/>
    <x v="0"/>
    <n v="101"/>
    <n v="301"/>
    <x v="2"/>
    <s v="LIB"/>
    <n v="20"/>
    <x v="131"/>
    <n v="0.37"/>
    <n v="9703"/>
  </r>
  <r>
    <x v="32"/>
    <x v="32"/>
    <n v="20"/>
    <n v="20"/>
    <n v="0"/>
    <s v="MN"/>
    <x v="0"/>
    <n v="101"/>
    <n v="401"/>
    <x v="3"/>
    <s v="WTP"/>
    <n v="20"/>
    <x v="182"/>
    <n v="0.7"/>
    <n v="9703"/>
  </r>
  <r>
    <x v="32"/>
    <x v="32"/>
    <n v="20"/>
    <n v="20"/>
    <n v="0"/>
    <s v="MN"/>
    <x v="0"/>
    <n v="101"/>
    <n v="501"/>
    <x v="4"/>
    <s v="G"/>
    <n v="20"/>
    <x v="76"/>
    <n v="0.24"/>
    <n v="9703"/>
  </r>
  <r>
    <x v="32"/>
    <x v="32"/>
    <n v="20"/>
    <n v="20"/>
    <n v="0"/>
    <s v="MN"/>
    <x v="0"/>
    <n v="101"/>
    <n v="601"/>
    <x v="5"/>
    <s v="SLP"/>
    <n v="20"/>
    <x v="43"/>
    <n v="0.03"/>
    <n v="9703"/>
  </r>
  <r>
    <x v="32"/>
    <x v="32"/>
    <n v="20"/>
    <n v="20"/>
    <n v="0"/>
    <s v="MN"/>
    <x v="0"/>
    <n v="101"/>
    <n v="701"/>
    <x v="6"/>
    <s v="SWP"/>
    <n v="20"/>
    <x v="23"/>
    <n v="0.02"/>
    <n v="9703"/>
  </r>
  <r>
    <x v="32"/>
    <x v="32"/>
    <n v="20"/>
    <n v="20"/>
    <n v="0"/>
    <s v="MN"/>
    <x v="0"/>
    <n v="101"/>
    <n v="801"/>
    <x v="7"/>
    <s v="JFA"/>
    <n v="20"/>
    <x v="43"/>
    <n v="0.03"/>
    <n v="9703"/>
  </r>
  <r>
    <x v="32"/>
    <x v="32"/>
    <n v="20"/>
    <n v="20"/>
    <n v="0"/>
    <s v="MN"/>
    <x v="0"/>
    <n v="101"/>
    <n v="901"/>
    <x v="8"/>
    <s v="IND"/>
    <n v="20"/>
    <x v="84"/>
    <n v="0.11"/>
    <n v="9703"/>
  </r>
  <r>
    <x v="32"/>
    <x v="32"/>
    <n v="20"/>
    <n v="20"/>
    <n v="0"/>
    <s v="MN"/>
    <x v="0"/>
    <n v="101"/>
    <n v="9901"/>
    <x v="9"/>
    <s v="WI"/>
    <n v="20"/>
    <x v="63"/>
    <n v="0.22"/>
    <n v="9703"/>
  </r>
  <r>
    <x v="33"/>
    <x v="33"/>
    <n v="48"/>
    <n v="48"/>
    <n v="0"/>
    <s v="MN"/>
    <x v="0"/>
    <n v="101"/>
    <n v="101"/>
    <x v="0"/>
    <s v="R"/>
    <n v="48"/>
    <x v="183"/>
    <n v="64.48"/>
    <n v="23283"/>
  </r>
  <r>
    <x v="33"/>
    <x v="33"/>
    <n v="48"/>
    <n v="48"/>
    <n v="0"/>
    <s v="MN"/>
    <x v="0"/>
    <n v="101"/>
    <n v="201"/>
    <x v="1"/>
    <s v="DFL"/>
    <n v="48"/>
    <x v="184"/>
    <n v="33.56"/>
    <n v="23283"/>
  </r>
  <r>
    <x v="33"/>
    <x v="33"/>
    <n v="48"/>
    <n v="48"/>
    <n v="0"/>
    <s v="MN"/>
    <x v="0"/>
    <n v="101"/>
    <n v="301"/>
    <x v="2"/>
    <s v="LIB"/>
    <n v="48"/>
    <x v="185"/>
    <n v="0.41"/>
    <n v="23283"/>
  </r>
  <r>
    <x v="33"/>
    <x v="33"/>
    <n v="48"/>
    <n v="48"/>
    <n v="0"/>
    <s v="MN"/>
    <x v="0"/>
    <n v="101"/>
    <n v="401"/>
    <x v="3"/>
    <s v="WTP"/>
    <n v="48"/>
    <x v="186"/>
    <n v="0.75"/>
    <n v="23283"/>
  </r>
  <r>
    <x v="33"/>
    <x v="33"/>
    <n v="48"/>
    <n v="48"/>
    <n v="0"/>
    <s v="MN"/>
    <x v="0"/>
    <n v="101"/>
    <n v="501"/>
    <x v="4"/>
    <s v="G"/>
    <n v="48"/>
    <x v="187"/>
    <n v="0.27"/>
    <n v="23283"/>
  </r>
  <r>
    <x v="33"/>
    <x v="33"/>
    <n v="48"/>
    <n v="48"/>
    <n v="0"/>
    <s v="MN"/>
    <x v="0"/>
    <n v="101"/>
    <n v="601"/>
    <x v="5"/>
    <s v="SLP"/>
    <n v="48"/>
    <x v="45"/>
    <n v="0.04"/>
    <n v="23283"/>
  </r>
  <r>
    <x v="33"/>
    <x v="33"/>
    <n v="48"/>
    <n v="48"/>
    <n v="0"/>
    <s v="MN"/>
    <x v="0"/>
    <n v="101"/>
    <n v="701"/>
    <x v="6"/>
    <s v="SWP"/>
    <n v="48"/>
    <x v="6"/>
    <n v="0"/>
    <n v="23283"/>
  </r>
  <r>
    <x v="33"/>
    <x v="33"/>
    <n v="48"/>
    <n v="48"/>
    <n v="0"/>
    <s v="MN"/>
    <x v="0"/>
    <n v="101"/>
    <n v="801"/>
    <x v="7"/>
    <s v="JFA"/>
    <n v="48"/>
    <x v="15"/>
    <n v="0.09"/>
    <n v="23283"/>
  </r>
  <r>
    <x v="33"/>
    <x v="33"/>
    <n v="48"/>
    <n v="48"/>
    <n v="0"/>
    <s v="MN"/>
    <x v="0"/>
    <n v="101"/>
    <n v="901"/>
    <x v="8"/>
    <s v="IND"/>
    <n v="48"/>
    <x v="34"/>
    <n v="0.08"/>
    <n v="23283"/>
  </r>
  <r>
    <x v="33"/>
    <x v="33"/>
    <n v="48"/>
    <n v="48"/>
    <n v="0"/>
    <s v="MN"/>
    <x v="0"/>
    <n v="101"/>
    <n v="9901"/>
    <x v="9"/>
    <s v="WI"/>
    <n v="48"/>
    <x v="188"/>
    <n v="0.3"/>
    <n v="23283"/>
  </r>
  <r>
    <x v="34"/>
    <x v="34"/>
    <n v="39"/>
    <n v="39"/>
    <n v="0"/>
    <s v="MN"/>
    <x v="0"/>
    <n v="101"/>
    <n v="101"/>
    <x v="0"/>
    <s v="R"/>
    <n v="39"/>
    <x v="189"/>
    <n v="61.4"/>
    <n v="2500"/>
  </r>
  <r>
    <x v="34"/>
    <x v="34"/>
    <n v="39"/>
    <n v="39"/>
    <n v="0"/>
    <s v="MN"/>
    <x v="0"/>
    <n v="101"/>
    <n v="201"/>
    <x v="1"/>
    <s v="DFL"/>
    <n v="39"/>
    <x v="190"/>
    <n v="36.44"/>
    <n v="2500"/>
  </r>
  <r>
    <x v="34"/>
    <x v="34"/>
    <n v="39"/>
    <n v="39"/>
    <n v="0"/>
    <s v="MN"/>
    <x v="0"/>
    <n v="101"/>
    <n v="301"/>
    <x v="2"/>
    <s v="LIB"/>
    <n v="39"/>
    <x v="25"/>
    <n v="0.72"/>
    <n v="2500"/>
  </r>
  <r>
    <x v="34"/>
    <x v="34"/>
    <n v="39"/>
    <n v="39"/>
    <n v="0"/>
    <s v="MN"/>
    <x v="0"/>
    <n v="101"/>
    <n v="401"/>
    <x v="3"/>
    <s v="WTP"/>
    <n v="39"/>
    <x v="57"/>
    <n v="0.96"/>
    <n v="2500"/>
  </r>
  <r>
    <x v="34"/>
    <x v="34"/>
    <n v="39"/>
    <n v="39"/>
    <n v="0"/>
    <s v="MN"/>
    <x v="0"/>
    <n v="101"/>
    <n v="501"/>
    <x v="4"/>
    <s v="G"/>
    <n v="39"/>
    <x v="43"/>
    <n v="0.12"/>
    <n v="2500"/>
  </r>
  <r>
    <x v="34"/>
    <x v="34"/>
    <n v="39"/>
    <n v="39"/>
    <n v="0"/>
    <s v="MN"/>
    <x v="0"/>
    <n v="101"/>
    <n v="601"/>
    <x v="5"/>
    <s v="SLP"/>
    <n v="39"/>
    <x v="5"/>
    <n v="0"/>
    <n v="2500"/>
  </r>
  <r>
    <x v="34"/>
    <x v="34"/>
    <n v="39"/>
    <n v="39"/>
    <n v="0"/>
    <s v="MN"/>
    <x v="0"/>
    <n v="101"/>
    <n v="701"/>
    <x v="6"/>
    <s v="SWP"/>
    <n v="39"/>
    <x v="5"/>
    <n v="0"/>
    <n v="2500"/>
  </r>
  <r>
    <x v="34"/>
    <x v="34"/>
    <n v="39"/>
    <n v="39"/>
    <n v="0"/>
    <s v="MN"/>
    <x v="0"/>
    <n v="101"/>
    <n v="801"/>
    <x v="7"/>
    <s v="JFA"/>
    <n v="39"/>
    <x v="43"/>
    <n v="0.12"/>
    <n v="2500"/>
  </r>
  <r>
    <x v="34"/>
    <x v="34"/>
    <n v="39"/>
    <n v="39"/>
    <n v="0"/>
    <s v="MN"/>
    <x v="0"/>
    <n v="101"/>
    <n v="901"/>
    <x v="8"/>
    <s v="IND"/>
    <n v="39"/>
    <x v="6"/>
    <n v="0.04"/>
    <n v="2500"/>
  </r>
  <r>
    <x v="34"/>
    <x v="34"/>
    <n v="39"/>
    <n v="39"/>
    <n v="0"/>
    <s v="MN"/>
    <x v="0"/>
    <n v="101"/>
    <n v="9901"/>
    <x v="9"/>
    <s v="WI"/>
    <n v="39"/>
    <x v="33"/>
    <n v="0.2"/>
    <n v="2500"/>
  </r>
  <r>
    <x v="35"/>
    <x v="35"/>
    <n v="22"/>
    <n v="22"/>
    <n v="0"/>
    <s v="MN"/>
    <x v="0"/>
    <n v="101"/>
    <n v="101"/>
    <x v="0"/>
    <s v="R"/>
    <n v="22"/>
    <x v="191"/>
    <n v="61.92"/>
    <n v="6789"/>
  </r>
  <r>
    <x v="35"/>
    <x v="35"/>
    <n v="22"/>
    <n v="22"/>
    <n v="0"/>
    <s v="MN"/>
    <x v="0"/>
    <n v="101"/>
    <n v="201"/>
    <x v="1"/>
    <s v="DFL"/>
    <n v="22"/>
    <x v="192"/>
    <n v="36.31"/>
    <n v="6789"/>
  </r>
  <r>
    <x v="35"/>
    <x v="35"/>
    <n v="22"/>
    <n v="22"/>
    <n v="0"/>
    <s v="MN"/>
    <x v="0"/>
    <n v="101"/>
    <n v="301"/>
    <x v="2"/>
    <s v="LIB"/>
    <n v="22"/>
    <x v="4"/>
    <n v="0.37"/>
    <n v="6789"/>
  </r>
  <r>
    <x v="35"/>
    <x v="35"/>
    <n v="22"/>
    <n v="22"/>
    <n v="0"/>
    <s v="MN"/>
    <x v="0"/>
    <n v="101"/>
    <n v="401"/>
    <x v="3"/>
    <s v="WTP"/>
    <n v="22"/>
    <x v="69"/>
    <n v="0.77"/>
    <n v="6789"/>
  </r>
  <r>
    <x v="35"/>
    <x v="35"/>
    <n v="22"/>
    <n v="22"/>
    <n v="0"/>
    <s v="MN"/>
    <x v="0"/>
    <n v="101"/>
    <n v="501"/>
    <x v="4"/>
    <s v="G"/>
    <n v="22"/>
    <x v="193"/>
    <n v="0.28999999999999998"/>
    <n v="6789"/>
  </r>
  <r>
    <x v="35"/>
    <x v="35"/>
    <n v="22"/>
    <n v="22"/>
    <n v="0"/>
    <s v="MN"/>
    <x v="0"/>
    <n v="101"/>
    <n v="601"/>
    <x v="5"/>
    <s v="SLP"/>
    <n v="22"/>
    <x v="23"/>
    <n v="0.03"/>
    <n v="6789"/>
  </r>
  <r>
    <x v="35"/>
    <x v="35"/>
    <n v="22"/>
    <n v="22"/>
    <n v="0"/>
    <s v="MN"/>
    <x v="0"/>
    <n v="101"/>
    <n v="701"/>
    <x v="6"/>
    <s v="SWP"/>
    <n v="22"/>
    <x v="6"/>
    <n v="0.01"/>
    <n v="6789"/>
  </r>
  <r>
    <x v="35"/>
    <x v="35"/>
    <n v="22"/>
    <n v="22"/>
    <n v="0"/>
    <s v="MN"/>
    <x v="0"/>
    <n v="101"/>
    <n v="801"/>
    <x v="7"/>
    <s v="JFA"/>
    <n v="22"/>
    <x v="6"/>
    <n v="0.01"/>
    <n v="6789"/>
  </r>
  <r>
    <x v="35"/>
    <x v="35"/>
    <n v="22"/>
    <n v="22"/>
    <n v="0"/>
    <s v="MN"/>
    <x v="0"/>
    <n v="101"/>
    <n v="901"/>
    <x v="8"/>
    <s v="IND"/>
    <n v="22"/>
    <x v="49"/>
    <n v="0.09"/>
    <n v="6789"/>
  </r>
  <r>
    <x v="35"/>
    <x v="35"/>
    <n v="22"/>
    <n v="22"/>
    <n v="0"/>
    <s v="MN"/>
    <x v="0"/>
    <n v="101"/>
    <n v="9901"/>
    <x v="9"/>
    <s v="WI"/>
    <n v="22"/>
    <x v="32"/>
    <n v="0.19"/>
    <n v="6789"/>
  </r>
  <r>
    <x v="36"/>
    <x v="36"/>
    <n v="29"/>
    <n v="29"/>
    <n v="0"/>
    <s v="MN"/>
    <x v="0"/>
    <n v="101"/>
    <n v="101"/>
    <x v="0"/>
    <s v="R"/>
    <n v="29"/>
    <x v="194"/>
    <n v="65.069999999999993"/>
    <n v="3996"/>
  </r>
  <r>
    <x v="36"/>
    <x v="36"/>
    <n v="29"/>
    <n v="29"/>
    <n v="0"/>
    <s v="MN"/>
    <x v="0"/>
    <n v="101"/>
    <n v="201"/>
    <x v="1"/>
    <s v="DFL"/>
    <n v="29"/>
    <x v="195"/>
    <n v="32.880000000000003"/>
    <n v="3996"/>
  </r>
  <r>
    <x v="36"/>
    <x v="36"/>
    <n v="29"/>
    <n v="29"/>
    <n v="0"/>
    <s v="MN"/>
    <x v="0"/>
    <n v="101"/>
    <n v="301"/>
    <x v="2"/>
    <s v="LIB"/>
    <n v="29"/>
    <x v="7"/>
    <n v="0.38"/>
    <n v="3996"/>
  </r>
  <r>
    <x v="36"/>
    <x v="36"/>
    <n v="29"/>
    <n v="29"/>
    <n v="0"/>
    <s v="MN"/>
    <x v="0"/>
    <n v="101"/>
    <n v="401"/>
    <x v="3"/>
    <s v="WTP"/>
    <n v="29"/>
    <x v="196"/>
    <n v="0.95"/>
    <n v="3996"/>
  </r>
  <r>
    <x v="36"/>
    <x v="36"/>
    <n v="29"/>
    <n v="29"/>
    <n v="0"/>
    <s v="MN"/>
    <x v="0"/>
    <n v="101"/>
    <n v="501"/>
    <x v="4"/>
    <s v="G"/>
    <n v="29"/>
    <x v="45"/>
    <n v="0.25"/>
    <n v="3996"/>
  </r>
  <r>
    <x v="36"/>
    <x v="36"/>
    <n v="29"/>
    <n v="29"/>
    <n v="0"/>
    <s v="MN"/>
    <x v="0"/>
    <n v="101"/>
    <n v="601"/>
    <x v="5"/>
    <s v="SLP"/>
    <n v="29"/>
    <x v="23"/>
    <n v="0.05"/>
    <n v="3996"/>
  </r>
  <r>
    <x v="36"/>
    <x v="36"/>
    <n v="29"/>
    <n v="29"/>
    <n v="0"/>
    <s v="MN"/>
    <x v="0"/>
    <n v="101"/>
    <n v="701"/>
    <x v="6"/>
    <s v="SWP"/>
    <n v="29"/>
    <x v="5"/>
    <n v="0"/>
    <n v="3996"/>
  </r>
  <r>
    <x v="36"/>
    <x v="36"/>
    <n v="29"/>
    <n v="29"/>
    <n v="0"/>
    <s v="MN"/>
    <x v="0"/>
    <n v="101"/>
    <n v="801"/>
    <x v="7"/>
    <s v="JFA"/>
    <n v="29"/>
    <x v="33"/>
    <n v="0.13"/>
    <n v="3996"/>
  </r>
  <r>
    <x v="36"/>
    <x v="36"/>
    <n v="29"/>
    <n v="29"/>
    <n v="0"/>
    <s v="MN"/>
    <x v="0"/>
    <n v="101"/>
    <n v="901"/>
    <x v="8"/>
    <s v="IND"/>
    <n v="29"/>
    <x v="33"/>
    <n v="0.13"/>
    <n v="3996"/>
  </r>
  <r>
    <x v="36"/>
    <x v="36"/>
    <n v="29"/>
    <n v="29"/>
    <n v="0"/>
    <s v="MN"/>
    <x v="0"/>
    <n v="101"/>
    <n v="9901"/>
    <x v="9"/>
    <s v="WI"/>
    <n v="29"/>
    <x v="62"/>
    <n v="0.18"/>
    <n v="3996"/>
  </r>
  <r>
    <x v="37"/>
    <x v="37"/>
    <n v="19"/>
    <n v="19"/>
    <n v="0"/>
    <s v="MN"/>
    <x v="0"/>
    <n v="101"/>
    <n v="101"/>
    <x v="0"/>
    <s v="R"/>
    <n v="19"/>
    <x v="197"/>
    <n v="46.95"/>
    <n v="6954"/>
  </r>
  <r>
    <x v="37"/>
    <x v="37"/>
    <n v="19"/>
    <n v="19"/>
    <n v="0"/>
    <s v="MN"/>
    <x v="0"/>
    <n v="101"/>
    <n v="201"/>
    <x v="1"/>
    <s v="DFL"/>
    <n v="19"/>
    <x v="198"/>
    <n v="50.82"/>
    <n v="6954"/>
  </r>
  <r>
    <x v="37"/>
    <x v="37"/>
    <n v="19"/>
    <n v="19"/>
    <n v="0"/>
    <s v="MN"/>
    <x v="0"/>
    <n v="101"/>
    <n v="301"/>
    <x v="2"/>
    <s v="LIB"/>
    <n v="19"/>
    <x v="35"/>
    <n v="0.4"/>
    <n v="6954"/>
  </r>
  <r>
    <x v="37"/>
    <x v="37"/>
    <n v="19"/>
    <n v="19"/>
    <n v="0"/>
    <s v="MN"/>
    <x v="0"/>
    <n v="101"/>
    <n v="401"/>
    <x v="3"/>
    <s v="WTP"/>
    <n v="19"/>
    <x v="89"/>
    <n v="0.82"/>
    <n v="6954"/>
  </r>
  <r>
    <x v="37"/>
    <x v="37"/>
    <n v="19"/>
    <n v="19"/>
    <n v="0"/>
    <s v="MN"/>
    <x v="0"/>
    <n v="101"/>
    <n v="501"/>
    <x v="4"/>
    <s v="G"/>
    <n v="19"/>
    <x v="77"/>
    <n v="0.43"/>
    <n v="6954"/>
  </r>
  <r>
    <x v="37"/>
    <x v="37"/>
    <n v="19"/>
    <n v="19"/>
    <n v="0"/>
    <s v="MN"/>
    <x v="0"/>
    <n v="101"/>
    <n v="601"/>
    <x v="5"/>
    <s v="SLP"/>
    <n v="19"/>
    <x v="44"/>
    <n v="0.06"/>
    <n v="6954"/>
  </r>
  <r>
    <x v="37"/>
    <x v="37"/>
    <n v="19"/>
    <n v="19"/>
    <n v="0"/>
    <s v="MN"/>
    <x v="0"/>
    <n v="101"/>
    <n v="701"/>
    <x v="6"/>
    <s v="SWP"/>
    <n v="19"/>
    <x v="5"/>
    <n v="0"/>
    <n v="6954"/>
  </r>
  <r>
    <x v="37"/>
    <x v="37"/>
    <n v="19"/>
    <n v="19"/>
    <n v="0"/>
    <s v="MN"/>
    <x v="0"/>
    <n v="101"/>
    <n v="801"/>
    <x v="7"/>
    <s v="JFA"/>
    <n v="19"/>
    <x v="33"/>
    <n v="7.0000000000000007E-2"/>
    <n v="6954"/>
  </r>
  <r>
    <x v="37"/>
    <x v="37"/>
    <n v="19"/>
    <n v="19"/>
    <n v="0"/>
    <s v="MN"/>
    <x v="0"/>
    <n v="101"/>
    <n v="901"/>
    <x v="8"/>
    <s v="IND"/>
    <n v="19"/>
    <x v="49"/>
    <n v="0.09"/>
    <n v="6954"/>
  </r>
  <r>
    <x v="37"/>
    <x v="37"/>
    <n v="19"/>
    <n v="19"/>
    <n v="0"/>
    <s v="MN"/>
    <x v="0"/>
    <n v="101"/>
    <n v="9901"/>
    <x v="9"/>
    <s v="WI"/>
    <n v="19"/>
    <x v="4"/>
    <n v="0.36"/>
    <n v="6954"/>
  </r>
  <r>
    <x v="38"/>
    <x v="38"/>
    <n v="17"/>
    <n v="17"/>
    <n v="0"/>
    <s v="MN"/>
    <x v="0"/>
    <n v="101"/>
    <n v="101"/>
    <x v="0"/>
    <s v="R"/>
    <n v="17"/>
    <x v="199"/>
    <n v="72.86"/>
    <n v="2347"/>
  </r>
  <r>
    <x v="38"/>
    <x v="38"/>
    <n v="17"/>
    <n v="17"/>
    <n v="0"/>
    <s v="MN"/>
    <x v="0"/>
    <n v="101"/>
    <n v="201"/>
    <x v="1"/>
    <s v="DFL"/>
    <n v="17"/>
    <x v="200"/>
    <n v="25.73"/>
    <n v="2347"/>
  </r>
  <r>
    <x v="38"/>
    <x v="38"/>
    <n v="17"/>
    <n v="17"/>
    <n v="0"/>
    <s v="MN"/>
    <x v="0"/>
    <n v="101"/>
    <n v="301"/>
    <x v="2"/>
    <s v="LIB"/>
    <n v="17"/>
    <x v="84"/>
    <n v="0.47"/>
    <n v="2347"/>
  </r>
  <r>
    <x v="38"/>
    <x v="38"/>
    <n v="17"/>
    <n v="17"/>
    <n v="0"/>
    <s v="MN"/>
    <x v="0"/>
    <n v="101"/>
    <n v="401"/>
    <x v="3"/>
    <s v="WTP"/>
    <n v="17"/>
    <x v="201"/>
    <n v="0.72"/>
    <n v="2347"/>
  </r>
  <r>
    <x v="38"/>
    <x v="38"/>
    <n v="17"/>
    <n v="17"/>
    <n v="0"/>
    <s v="MN"/>
    <x v="0"/>
    <n v="101"/>
    <n v="501"/>
    <x v="4"/>
    <s v="G"/>
    <n v="17"/>
    <x v="44"/>
    <n v="0.17"/>
    <n v="2347"/>
  </r>
  <r>
    <x v="38"/>
    <x v="38"/>
    <n v="17"/>
    <n v="17"/>
    <n v="0"/>
    <s v="MN"/>
    <x v="0"/>
    <n v="101"/>
    <n v="601"/>
    <x v="5"/>
    <s v="SLP"/>
    <n v="17"/>
    <x v="5"/>
    <n v="0"/>
    <n v="2347"/>
  </r>
  <r>
    <x v="38"/>
    <x v="38"/>
    <n v="17"/>
    <n v="17"/>
    <n v="0"/>
    <s v="MN"/>
    <x v="0"/>
    <n v="101"/>
    <n v="701"/>
    <x v="6"/>
    <s v="SWP"/>
    <n v="17"/>
    <x v="5"/>
    <n v="0"/>
    <n v="2347"/>
  </r>
  <r>
    <x v="38"/>
    <x v="38"/>
    <n v="17"/>
    <n v="17"/>
    <n v="0"/>
    <s v="MN"/>
    <x v="0"/>
    <n v="101"/>
    <n v="801"/>
    <x v="7"/>
    <s v="JFA"/>
    <n v="17"/>
    <x v="5"/>
    <n v="0"/>
    <n v="2347"/>
  </r>
  <r>
    <x v="38"/>
    <x v="38"/>
    <n v="17"/>
    <n v="17"/>
    <n v="0"/>
    <s v="MN"/>
    <x v="0"/>
    <n v="101"/>
    <n v="901"/>
    <x v="8"/>
    <s v="IND"/>
    <n v="17"/>
    <x v="5"/>
    <n v="0"/>
    <n v="2347"/>
  </r>
  <r>
    <x v="38"/>
    <x v="38"/>
    <n v="17"/>
    <n v="17"/>
    <n v="0"/>
    <s v="MN"/>
    <x v="0"/>
    <n v="101"/>
    <n v="9901"/>
    <x v="9"/>
    <s v="WI"/>
    <n v="17"/>
    <x v="6"/>
    <n v="0.04"/>
    <n v="2347"/>
  </r>
  <r>
    <x v="39"/>
    <x v="39"/>
    <n v="26"/>
    <n v="26"/>
    <n v="0"/>
    <s v="MN"/>
    <x v="0"/>
    <n v="101"/>
    <n v="101"/>
    <x v="0"/>
    <s v="R"/>
    <n v="26"/>
    <x v="202"/>
    <n v="65.849999999999994"/>
    <n v="17469"/>
  </r>
  <r>
    <x v="39"/>
    <x v="39"/>
    <n v="26"/>
    <n v="26"/>
    <n v="0"/>
    <s v="MN"/>
    <x v="0"/>
    <n v="101"/>
    <n v="201"/>
    <x v="1"/>
    <s v="DFL"/>
    <n v="26"/>
    <x v="203"/>
    <n v="32.26"/>
    <n v="17469"/>
  </r>
  <r>
    <x v="39"/>
    <x v="39"/>
    <n v="26"/>
    <n v="26"/>
    <n v="0"/>
    <s v="MN"/>
    <x v="0"/>
    <n v="101"/>
    <n v="301"/>
    <x v="2"/>
    <s v="LIB"/>
    <n v="26"/>
    <x v="89"/>
    <n v="0.33"/>
    <n v="17469"/>
  </r>
  <r>
    <x v="39"/>
    <x v="39"/>
    <n v="26"/>
    <n v="26"/>
    <n v="0"/>
    <s v="MN"/>
    <x v="0"/>
    <n v="101"/>
    <n v="401"/>
    <x v="3"/>
    <s v="WTP"/>
    <n v="26"/>
    <x v="204"/>
    <n v="0.9"/>
    <n v="17469"/>
  </r>
  <r>
    <x v="39"/>
    <x v="39"/>
    <n v="26"/>
    <n v="26"/>
    <n v="0"/>
    <s v="MN"/>
    <x v="0"/>
    <n v="101"/>
    <n v="501"/>
    <x v="4"/>
    <s v="G"/>
    <n v="26"/>
    <x v="196"/>
    <n v="0.22"/>
    <n v="17469"/>
  </r>
  <r>
    <x v="39"/>
    <x v="39"/>
    <n v="26"/>
    <n v="26"/>
    <n v="0"/>
    <s v="MN"/>
    <x v="0"/>
    <n v="101"/>
    <n v="601"/>
    <x v="5"/>
    <s v="SLP"/>
    <n v="26"/>
    <x v="105"/>
    <n v="0.05"/>
    <n v="17469"/>
  </r>
  <r>
    <x v="39"/>
    <x v="39"/>
    <n v="26"/>
    <n v="26"/>
    <n v="0"/>
    <s v="MN"/>
    <x v="0"/>
    <n v="101"/>
    <n v="701"/>
    <x v="6"/>
    <s v="SWP"/>
    <n v="26"/>
    <x v="6"/>
    <n v="0.01"/>
    <n v="17469"/>
  </r>
  <r>
    <x v="39"/>
    <x v="39"/>
    <n v="26"/>
    <n v="26"/>
    <n v="0"/>
    <s v="MN"/>
    <x v="0"/>
    <n v="101"/>
    <n v="801"/>
    <x v="7"/>
    <s v="JFA"/>
    <n v="26"/>
    <x v="33"/>
    <n v="0.03"/>
    <n v="17469"/>
  </r>
  <r>
    <x v="39"/>
    <x v="39"/>
    <n v="26"/>
    <n v="26"/>
    <n v="0"/>
    <s v="MN"/>
    <x v="0"/>
    <n v="101"/>
    <n v="901"/>
    <x v="8"/>
    <s v="IND"/>
    <n v="26"/>
    <x v="7"/>
    <n v="0.09"/>
    <n v="17469"/>
  </r>
  <r>
    <x v="39"/>
    <x v="39"/>
    <n v="26"/>
    <n v="26"/>
    <n v="0"/>
    <s v="MN"/>
    <x v="0"/>
    <n v="101"/>
    <n v="9901"/>
    <x v="9"/>
    <s v="WI"/>
    <n v="26"/>
    <x v="85"/>
    <n v="0.27"/>
    <n v="17469"/>
  </r>
  <r>
    <x v="40"/>
    <x v="40"/>
    <n v="20"/>
    <n v="20"/>
    <n v="0"/>
    <s v="MN"/>
    <x v="0"/>
    <n v="101"/>
    <n v="101"/>
    <x v="0"/>
    <s v="R"/>
    <n v="20"/>
    <x v="205"/>
    <n v="67.7"/>
    <n v="3235"/>
  </r>
  <r>
    <x v="40"/>
    <x v="40"/>
    <n v="20"/>
    <n v="20"/>
    <n v="0"/>
    <s v="MN"/>
    <x v="0"/>
    <n v="101"/>
    <n v="201"/>
    <x v="1"/>
    <s v="DFL"/>
    <n v="20"/>
    <x v="206"/>
    <n v="30.05"/>
    <n v="3235"/>
  </r>
  <r>
    <x v="40"/>
    <x v="40"/>
    <n v="20"/>
    <n v="20"/>
    <n v="0"/>
    <s v="MN"/>
    <x v="0"/>
    <n v="101"/>
    <n v="301"/>
    <x v="2"/>
    <s v="LIB"/>
    <n v="20"/>
    <x v="32"/>
    <n v="0.4"/>
    <n v="3235"/>
  </r>
  <r>
    <x v="40"/>
    <x v="40"/>
    <n v="20"/>
    <n v="20"/>
    <n v="0"/>
    <s v="MN"/>
    <x v="0"/>
    <n v="101"/>
    <n v="401"/>
    <x v="3"/>
    <s v="WTP"/>
    <n v="20"/>
    <x v="196"/>
    <n v="1.17"/>
    <n v="3235"/>
  </r>
  <r>
    <x v="40"/>
    <x v="40"/>
    <n v="20"/>
    <n v="20"/>
    <n v="0"/>
    <s v="MN"/>
    <x v="0"/>
    <n v="101"/>
    <n v="501"/>
    <x v="4"/>
    <s v="G"/>
    <n v="20"/>
    <x v="49"/>
    <n v="0.19"/>
    <n v="3235"/>
  </r>
  <r>
    <x v="40"/>
    <x v="40"/>
    <n v="20"/>
    <n v="20"/>
    <n v="0"/>
    <s v="MN"/>
    <x v="0"/>
    <n v="101"/>
    <n v="601"/>
    <x v="5"/>
    <s v="SLP"/>
    <n v="20"/>
    <x v="23"/>
    <n v="0.06"/>
    <n v="3235"/>
  </r>
  <r>
    <x v="40"/>
    <x v="40"/>
    <n v="20"/>
    <n v="20"/>
    <n v="0"/>
    <s v="MN"/>
    <x v="0"/>
    <n v="101"/>
    <n v="701"/>
    <x v="6"/>
    <s v="SWP"/>
    <n v="20"/>
    <x v="5"/>
    <n v="0"/>
    <n v="3235"/>
  </r>
  <r>
    <x v="40"/>
    <x v="40"/>
    <n v="20"/>
    <n v="20"/>
    <n v="0"/>
    <s v="MN"/>
    <x v="0"/>
    <n v="101"/>
    <n v="801"/>
    <x v="7"/>
    <s v="JFA"/>
    <n v="20"/>
    <x v="5"/>
    <n v="0"/>
    <n v="3235"/>
  </r>
  <r>
    <x v="40"/>
    <x v="40"/>
    <n v="20"/>
    <n v="20"/>
    <n v="0"/>
    <s v="MN"/>
    <x v="0"/>
    <n v="101"/>
    <n v="901"/>
    <x v="8"/>
    <s v="IND"/>
    <n v="20"/>
    <x v="33"/>
    <n v="0.15"/>
    <n v="3235"/>
  </r>
  <r>
    <x v="40"/>
    <x v="40"/>
    <n v="20"/>
    <n v="20"/>
    <n v="0"/>
    <s v="MN"/>
    <x v="0"/>
    <n v="101"/>
    <n v="9901"/>
    <x v="9"/>
    <s v="WI"/>
    <n v="20"/>
    <x v="105"/>
    <n v="0.28000000000000003"/>
    <n v="3235"/>
  </r>
  <r>
    <x v="41"/>
    <x v="41"/>
    <n v="33"/>
    <n v="33"/>
    <n v="0"/>
    <s v="MN"/>
    <x v="0"/>
    <n v="101"/>
    <n v="101"/>
    <x v="0"/>
    <s v="R"/>
    <n v="33"/>
    <x v="207"/>
    <n v="64.67"/>
    <n v="12990"/>
  </r>
  <r>
    <x v="41"/>
    <x v="41"/>
    <n v="33"/>
    <n v="33"/>
    <n v="0"/>
    <s v="MN"/>
    <x v="0"/>
    <n v="101"/>
    <n v="201"/>
    <x v="1"/>
    <s v="DFL"/>
    <n v="33"/>
    <x v="208"/>
    <n v="32.979999999999997"/>
    <n v="12990"/>
  </r>
  <r>
    <x v="41"/>
    <x v="41"/>
    <n v="33"/>
    <n v="33"/>
    <n v="0"/>
    <s v="MN"/>
    <x v="0"/>
    <n v="101"/>
    <n v="301"/>
    <x v="2"/>
    <s v="LIB"/>
    <n v="33"/>
    <x v="209"/>
    <n v="0.49"/>
    <n v="12990"/>
  </r>
  <r>
    <x v="41"/>
    <x v="41"/>
    <n v="33"/>
    <n v="33"/>
    <n v="0"/>
    <s v="MN"/>
    <x v="0"/>
    <n v="101"/>
    <n v="401"/>
    <x v="3"/>
    <s v="WTP"/>
    <n v="33"/>
    <x v="210"/>
    <n v="1.1499999999999999"/>
    <n v="12990"/>
  </r>
  <r>
    <x v="41"/>
    <x v="41"/>
    <n v="33"/>
    <n v="33"/>
    <n v="0"/>
    <s v="MN"/>
    <x v="0"/>
    <n v="101"/>
    <n v="501"/>
    <x v="4"/>
    <s v="G"/>
    <n v="33"/>
    <x v="4"/>
    <n v="0.19"/>
    <n v="12990"/>
  </r>
  <r>
    <x v="41"/>
    <x v="41"/>
    <n v="33"/>
    <n v="33"/>
    <n v="0"/>
    <s v="MN"/>
    <x v="0"/>
    <n v="101"/>
    <n v="601"/>
    <x v="5"/>
    <s v="SLP"/>
    <n v="33"/>
    <x v="43"/>
    <n v="0.02"/>
    <n v="12990"/>
  </r>
  <r>
    <x v="41"/>
    <x v="41"/>
    <n v="33"/>
    <n v="33"/>
    <n v="0"/>
    <s v="MN"/>
    <x v="0"/>
    <n v="101"/>
    <n v="701"/>
    <x v="6"/>
    <s v="SWP"/>
    <n v="33"/>
    <x v="6"/>
    <n v="0.01"/>
    <n v="12990"/>
  </r>
  <r>
    <x v="41"/>
    <x v="41"/>
    <n v="33"/>
    <n v="33"/>
    <n v="0"/>
    <s v="MN"/>
    <x v="0"/>
    <n v="101"/>
    <n v="801"/>
    <x v="7"/>
    <s v="JFA"/>
    <n v="33"/>
    <x v="62"/>
    <n v="0.05"/>
    <n v="12990"/>
  </r>
  <r>
    <x v="41"/>
    <x v="41"/>
    <n v="33"/>
    <n v="33"/>
    <n v="0"/>
    <s v="MN"/>
    <x v="0"/>
    <n v="101"/>
    <n v="901"/>
    <x v="8"/>
    <s v="IND"/>
    <n v="33"/>
    <x v="32"/>
    <n v="0.1"/>
    <n v="12990"/>
  </r>
  <r>
    <x v="41"/>
    <x v="41"/>
    <n v="33"/>
    <n v="33"/>
    <n v="0"/>
    <s v="MN"/>
    <x v="0"/>
    <n v="101"/>
    <n v="9901"/>
    <x v="9"/>
    <s v="WI"/>
    <n v="33"/>
    <x v="50"/>
    <n v="0.34"/>
    <n v="12990"/>
  </r>
  <r>
    <x v="42"/>
    <x v="42"/>
    <n v="29"/>
    <n v="29"/>
    <n v="0"/>
    <s v="MN"/>
    <x v="0"/>
    <n v="101"/>
    <n v="101"/>
    <x v="0"/>
    <s v="R"/>
    <n v="29"/>
    <x v="211"/>
    <n v="67.900000000000006"/>
    <n v="21199"/>
  </r>
  <r>
    <x v="42"/>
    <x v="42"/>
    <n v="29"/>
    <n v="29"/>
    <n v="0"/>
    <s v="MN"/>
    <x v="0"/>
    <n v="101"/>
    <n v="201"/>
    <x v="1"/>
    <s v="DFL"/>
    <n v="29"/>
    <x v="212"/>
    <n v="30.07"/>
    <n v="21199"/>
  </r>
  <r>
    <x v="42"/>
    <x v="42"/>
    <n v="29"/>
    <n v="29"/>
    <n v="0"/>
    <s v="MN"/>
    <x v="0"/>
    <n v="101"/>
    <n v="301"/>
    <x v="2"/>
    <s v="LIB"/>
    <n v="29"/>
    <x v="213"/>
    <n v="0.4"/>
    <n v="21199"/>
  </r>
  <r>
    <x v="42"/>
    <x v="42"/>
    <n v="29"/>
    <n v="29"/>
    <n v="0"/>
    <s v="MN"/>
    <x v="0"/>
    <n v="101"/>
    <n v="401"/>
    <x v="3"/>
    <s v="WTP"/>
    <n v="29"/>
    <x v="214"/>
    <n v="0.85"/>
    <n v="21199"/>
  </r>
  <r>
    <x v="42"/>
    <x v="42"/>
    <n v="29"/>
    <n v="29"/>
    <n v="0"/>
    <s v="MN"/>
    <x v="0"/>
    <n v="101"/>
    <n v="501"/>
    <x v="4"/>
    <s v="G"/>
    <n v="29"/>
    <x v="215"/>
    <n v="0.2"/>
    <n v="21199"/>
  </r>
  <r>
    <x v="42"/>
    <x v="42"/>
    <n v="29"/>
    <n v="29"/>
    <n v="0"/>
    <s v="MN"/>
    <x v="0"/>
    <n v="101"/>
    <n v="601"/>
    <x v="5"/>
    <s v="SLP"/>
    <n v="29"/>
    <x v="105"/>
    <n v="0.04"/>
    <n v="21199"/>
  </r>
  <r>
    <x v="42"/>
    <x v="42"/>
    <n v="29"/>
    <n v="29"/>
    <n v="0"/>
    <s v="MN"/>
    <x v="0"/>
    <n v="101"/>
    <n v="701"/>
    <x v="6"/>
    <s v="SWP"/>
    <n v="29"/>
    <x v="43"/>
    <n v="0.01"/>
    <n v="21199"/>
  </r>
  <r>
    <x v="42"/>
    <x v="42"/>
    <n v="29"/>
    <n v="29"/>
    <n v="0"/>
    <s v="MN"/>
    <x v="0"/>
    <n v="101"/>
    <n v="801"/>
    <x v="7"/>
    <s v="JFA"/>
    <n v="29"/>
    <x v="45"/>
    <n v="0.05"/>
    <n v="21199"/>
  </r>
  <r>
    <x v="42"/>
    <x v="42"/>
    <n v="29"/>
    <n v="29"/>
    <n v="0"/>
    <s v="MN"/>
    <x v="0"/>
    <n v="101"/>
    <n v="901"/>
    <x v="8"/>
    <s v="IND"/>
    <n v="29"/>
    <x v="147"/>
    <n v="0.17"/>
    <n v="21199"/>
  </r>
  <r>
    <x v="42"/>
    <x v="42"/>
    <n v="29"/>
    <n v="29"/>
    <n v="0"/>
    <s v="MN"/>
    <x v="0"/>
    <n v="101"/>
    <n v="9901"/>
    <x v="9"/>
    <s v="WI"/>
    <n v="29"/>
    <x v="182"/>
    <n v="0.32"/>
    <n v="21199"/>
  </r>
  <r>
    <x v="43"/>
    <x v="43"/>
    <n v="19"/>
    <n v="19"/>
    <n v="0"/>
    <s v="MN"/>
    <x v="0"/>
    <n v="101"/>
    <n v="101"/>
    <x v="0"/>
    <s v="R"/>
    <n v="19"/>
    <x v="216"/>
    <n v="53.37"/>
    <n v="2183"/>
  </r>
  <r>
    <x v="43"/>
    <x v="43"/>
    <n v="19"/>
    <n v="19"/>
    <n v="0"/>
    <s v="MN"/>
    <x v="0"/>
    <n v="101"/>
    <n v="201"/>
    <x v="1"/>
    <s v="DFL"/>
    <n v="19"/>
    <x v="217"/>
    <n v="44.66"/>
    <n v="2183"/>
  </r>
  <r>
    <x v="43"/>
    <x v="43"/>
    <n v="19"/>
    <n v="19"/>
    <n v="0"/>
    <s v="MN"/>
    <x v="0"/>
    <n v="101"/>
    <n v="301"/>
    <x v="2"/>
    <s v="LIB"/>
    <n v="19"/>
    <x v="6"/>
    <n v="0.05"/>
    <n v="2183"/>
  </r>
  <r>
    <x v="43"/>
    <x v="43"/>
    <n v="19"/>
    <n v="19"/>
    <n v="0"/>
    <s v="MN"/>
    <x v="0"/>
    <n v="101"/>
    <n v="401"/>
    <x v="3"/>
    <s v="WTP"/>
    <n v="19"/>
    <x v="8"/>
    <n v="1.24"/>
    <n v="2183"/>
  </r>
  <r>
    <x v="43"/>
    <x v="43"/>
    <n v="19"/>
    <n v="19"/>
    <n v="0"/>
    <s v="MN"/>
    <x v="0"/>
    <n v="101"/>
    <n v="501"/>
    <x v="4"/>
    <s v="G"/>
    <n v="19"/>
    <x v="43"/>
    <n v="0.14000000000000001"/>
    <n v="2183"/>
  </r>
  <r>
    <x v="43"/>
    <x v="43"/>
    <n v="19"/>
    <n v="19"/>
    <n v="0"/>
    <s v="MN"/>
    <x v="0"/>
    <n v="101"/>
    <n v="601"/>
    <x v="5"/>
    <s v="SLP"/>
    <n v="19"/>
    <x v="6"/>
    <n v="0.05"/>
    <n v="2183"/>
  </r>
  <r>
    <x v="43"/>
    <x v="43"/>
    <n v="19"/>
    <n v="19"/>
    <n v="0"/>
    <s v="MN"/>
    <x v="0"/>
    <n v="101"/>
    <n v="701"/>
    <x v="6"/>
    <s v="SWP"/>
    <n v="19"/>
    <x v="6"/>
    <n v="0.05"/>
    <n v="2183"/>
  </r>
  <r>
    <x v="43"/>
    <x v="43"/>
    <n v="19"/>
    <n v="19"/>
    <n v="0"/>
    <s v="MN"/>
    <x v="0"/>
    <n v="101"/>
    <n v="801"/>
    <x v="7"/>
    <s v="JFA"/>
    <n v="19"/>
    <x v="6"/>
    <n v="0.05"/>
    <n v="2183"/>
  </r>
  <r>
    <x v="43"/>
    <x v="43"/>
    <n v="19"/>
    <n v="19"/>
    <n v="0"/>
    <s v="MN"/>
    <x v="0"/>
    <n v="101"/>
    <n v="901"/>
    <x v="8"/>
    <s v="IND"/>
    <n v="19"/>
    <x v="23"/>
    <n v="0.09"/>
    <n v="2183"/>
  </r>
  <r>
    <x v="43"/>
    <x v="43"/>
    <n v="19"/>
    <n v="19"/>
    <n v="0"/>
    <s v="MN"/>
    <x v="0"/>
    <n v="101"/>
    <n v="9901"/>
    <x v="9"/>
    <s v="WI"/>
    <n v="19"/>
    <x v="62"/>
    <n v="0.32"/>
    <n v="2183"/>
  </r>
  <r>
    <x v="44"/>
    <x v="44"/>
    <n v="60"/>
    <n v="60"/>
    <n v="0"/>
    <s v="MN"/>
    <x v="0"/>
    <n v="101"/>
    <n v="101"/>
    <x v="0"/>
    <s v="R"/>
    <n v="60"/>
    <x v="218"/>
    <n v="75.010000000000005"/>
    <n v="5031"/>
  </r>
  <r>
    <x v="44"/>
    <x v="44"/>
    <n v="60"/>
    <n v="60"/>
    <n v="0"/>
    <s v="MN"/>
    <x v="0"/>
    <n v="101"/>
    <n v="201"/>
    <x v="1"/>
    <s v="DFL"/>
    <n v="60"/>
    <x v="219"/>
    <n v="23.39"/>
    <n v="5031"/>
  </r>
  <r>
    <x v="44"/>
    <x v="44"/>
    <n v="60"/>
    <n v="60"/>
    <n v="0"/>
    <s v="MN"/>
    <x v="0"/>
    <n v="101"/>
    <n v="301"/>
    <x v="2"/>
    <s v="LIB"/>
    <n v="60"/>
    <x v="7"/>
    <n v="0.3"/>
    <n v="5031"/>
  </r>
  <r>
    <x v="44"/>
    <x v="44"/>
    <n v="60"/>
    <n v="60"/>
    <n v="0"/>
    <s v="MN"/>
    <x v="0"/>
    <n v="101"/>
    <n v="401"/>
    <x v="3"/>
    <s v="WTP"/>
    <n v="60"/>
    <x v="85"/>
    <n v="0.93"/>
    <n v="5031"/>
  </r>
  <r>
    <x v="44"/>
    <x v="44"/>
    <n v="60"/>
    <n v="60"/>
    <n v="0"/>
    <s v="MN"/>
    <x v="0"/>
    <n v="101"/>
    <n v="501"/>
    <x v="4"/>
    <s v="G"/>
    <n v="60"/>
    <x v="49"/>
    <n v="0.12"/>
    <n v="5031"/>
  </r>
  <r>
    <x v="44"/>
    <x v="44"/>
    <n v="60"/>
    <n v="60"/>
    <n v="0"/>
    <s v="MN"/>
    <x v="0"/>
    <n v="101"/>
    <n v="601"/>
    <x v="5"/>
    <s v="SLP"/>
    <n v="60"/>
    <x v="6"/>
    <n v="0.02"/>
    <n v="5031"/>
  </r>
  <r>
    <x v="44"/>
    <x v="44"/>
    <n v="60"/>
    <n v="60"/>
    <n v="0"/>
    <s v="MN"/>
    <x v="0"/>
    <n v="101"/>
    <n v="701"/>
    <x v="6"/>
    <s v="SWP"/>
    <n v="60"/>
    <x v="5"/>
    <n v="0"/>
    <n v="5031"/>
  </r>
  <r>
    <x v="44"/>
    <x v="44"/>
    <n v="60"/>
    <n v="60"/>
    <n v="0"/>
    <s v="MN"/>
    <x v="0"/>
    <n v="101"/>
    <n v="801"/>
    <x v="7"/>
    <s v="JFA"/>
    <n v="60"/>
    <x v="5"/>
    <n v="0"/>
    <n v="5031"/>
  </r>
  <r>
    <x v="44"/>
    <x v="44"/>
    <n v="60"/>
    <n v="60"/>
    <n v="0"/>
    <s v="MN"/>
    <x v="0"/>
    <n v="101"/>
    <n v="901"/>
    <x v="8"/>
    <s v="IND"/>
    <n v="60"/>
    <x v="44"/>
    <n v="0.08"/>
    <n v="5031"/>
  </r>
  <r>
    <x v="44"/>
    <x v="44"/>
    <n v="60"/>
    <n v="60"/>
    <n v="0"/>
    <s v="MN"/>
    <x v="0"/>
    <n v="101"/>
    <n v="9901"/>
    <x v="9"/>
    <s v="WI"/>
    <n v="60"/>
    <x v="62"/>
    <n v="0.14000000000000001"/>
    <n v="5031"/>
  </r>
  <r>
    <x v="45"/>
    <x v="45"/>
    <n v="37"/>
    <n v="37"/>
    <n v="0"/>
    <s v="MN"/>
    <x v="0"/>
    <n v="101"/>
    <n v="101"/>
    <x v="0"/>
    <s v="R"/>
    <n v="37"/>
    <x v="220"/>
    <n v="68.930000000000007"/>
    <n v="10796"/>
  </r>
  <r>
    <x v="45"/>
    <x v="45"/>
    <n v="37"/>
    <n v="37"/>
    <n v="0"/>
    <s v="MN"/>
    <x v="0"/>
    <n v="101"/>
    <n v="201"/>
    <x v="1"/>
    <s v="DFL"/>
    <n v="37"/>
    <x v="221"/>
    <n v="29.37"/>
    <n v="10796"/>
  </r>
  <r>
    <x v="45"/>
    <x v="45"/>
    <n v="37"/>
    <n v="37"/>
    <n v="0"/>
    <s v="MN"/>
    <x v="0"/>
    <n v="101"/>
    <n v="301"/>
    <x v="2"/>
    <s v="LIB"/>
    <n v="37"/>
    <x v="35"/>
    <n v="0.26"/>
    <n v="10796"/>
  </r>
  <r>
    <x v="45"/>
    <x v="45"/>
    <n v="37"/>
    <n v="37"/>
    <n v="0"/>
    <s v="MN"/>
    <x v="0"/>
    <n v="101"/>
    <n v="401"/>
    <x v="3"/>
    <s v="WTP"/>
    <n v="37"/>
    <x v="173"/>
    <n v="0.88"/>
    <n v="10796"/>
  </r>
  <r>
    <x v="45"/>
    <x v="45"/>
    <n v="37"/>
    <n v="37"/>
    <n v="0"/>
    <s v="MN"/>
    <x v="0"/>
    <n v="101"/>
    <n v="501"/>
    <x v="4"/>
    <s v="G"/>
    <n v="37"/>
    <x v="7"/>
    <n v="0.14000000000000001"/>
    <n v="10796"/>
  </r>
  <r>
    <x v="45"/>
    <x v="45"/>
    <n v="37"/>
    <n v="37"/>
    <n v="0"/>
    <s v="MN"/>
    <x v="0"/>
    <n v="101"/>
    <n v="601"/>
    <x v="5"/>
    <s v="SLP"/>
    <n v="37"/>
    <x v="5"/>
    <n v="0"/>
    <n v="10796"/>
  </r>
  <r>
    <x v="45"/>
    <x v="45"/>
    <n v="37"/>
    <n v="37"/>
    <n v="0"/>
    <s v="MN"/>
    <x v="0"/>
    <n v="101"/>
    <n v="701"/>
    <x v="6"/>
    <s v="SWP"/>
    <n v="37"/>
    <x v="5"/>
    <n v="0"/>
    <n v="10796"/>
  </r>
  <r>
    <x v="45"/>
    <x v="45"/>
    <n v="37"/>
    <n v="37"/>
    <n v="0"/>
    <s v="MN"/>
    <x v="0"/>
    <n v="101"/>
    <n v="801"/>
    <x v="7"/>
    <s v="JFA"/>
    <n v="37"/>
    <x v="43"/>
    <n v="0.03"/>
    <n v="10796"/>
  </r>
  <r>
    <x v="45"/>
    <x v="45"/>
    <n v="37"/>
    <n v="37"/>
    <n v="0"/>
    <s v="MN"/>
    <x v="0"/>
    <n v="101"/>
    <n v="901"/>
    <x v="8"/>
    <s v="IND"/>
    <n v="37"/>
    <x v="84"/>
    <n v="0.1"/>
    <n v="10796"/>
  </r>
  <r>
    <x v="45"/>
    <x v="45"/>
    <n v="37"/>
    <n v="37"/>
    <n v="0"/>
    <s v="MN"/>
    <x v="0"/>
    <n v="101"/>
    <n v="9901"/>
    <x v="9"/>
    <s v="WI"/>
    <n v="37"/>
    <x v="2"/>
    <n v="0.28999999999999998"/>
    <n v="10796"/>
  </r>
  <r>
    <x v="46"/>
    <x v="46"/>
    <n v="30"/>
    <n v="30"/>
    <n v="0"/>
    <s v="MN"/>
    <x v="0"/>
    <n v="101"/>
    <n v="101"/>
    <x v="0"/>
    <s v="R"/>
    <n v="30"/>
    <x v="222"/>
    <n v="70.430000000000007"/>
    <n v="13694"/>
  </r>
  <r>
    <x v="46"/>
    <x v="46"/>
    <n v="30"/>
    <n v="30"/>
    <n v="0"/>
    <s v="MN"/>
    <x v="0"/>
    <n v="101"/>
    <n v="201"/>
    <x v="1"/>
    <s v="DFL"/>
    <n v="30"/>
    <x v="223"/>
    <n v="27.76"/>
    <n v="13694"/>
  </r>
  <r>
    <x v="46"/>
    <x v="46"/>
    <n v="30"/>
    <n v="30"/>
    <n v="0"/>
    <s v="MN"/>
    <x v="0"/>
    <n v="101"/>
    <n v="301"/>
    <x v="2"/>
    <s v="LIB"/>
    <n v="30"/>
    <x v="224"/>
    <n v="0.36"/>
    <n v="13694"/>
  </r>
  <r>
    <x v="46"/>
    <x v="46"/>
    <n v="30"/>
    <n v="30"/>
    <n v="0"/>
    <s v="MN"/>
    <x v="0"/>
    <n v="101"/>
    <n v="401"/>
    <x v="3"/>
    <s v="WTP"/>
    <n v="30"/>
    <x v="225"/>
    <n v="0.83"/>
    <n v="13694"/>
  </r>
  <r>
    <x v="46"/>
    <x v="46"/>
    <n v="30"/>
    <n v="30"/>
    <n v="0"/>
    <s v="MN"/>
    <x v="0"/>
    <n v="101"/>
    <n v="501"/>
    <x v="4"/>
    <s v="G"/>
    <n v="30"/>
    <x v="76"/>
    <n v="0.17"/>
    <n v="13694"/>
  </r>
  <r>
    <x v="46"/>
    <x v="46"/>
    <n v="30"/>
    <n v="30"/>
    <n v="0"/>
    <s v="MN"/>
    <x v="0"/>
    <n v="101"/>
    <n v="601"/>
    <x v="5"/>
    <s v="SLP"/>
    <n v="30"/>
    <x v="33"/>
    <n v="0.04"/>
    <n v="13694"/>
  </r>
  <r>
    <x v="46"/>
    <x v="46"/>
    <n v="30"/>
    <n v="30"/>
    <n v="0"/>
    <s v="MN"/>
    <x v="0"/>
    <n v="101"/>
    <n v="701"/>
    <x v="6"/>
    <s v="SWP"/>
    <n v="30"/>
    <x v="23"/>
    <n v="0.01"/>
    <n v="13694"/>
  </r>
  <r>
    <x v="46"/>
    <x v="46"/>
    <n v="30"/>
    <n v="30"/>
    <n v="0"/>
    <s v="MN"/>
    <x v="0"/>
    <n v="101"/>
    <n v="801"/>
    <x v="7"/>
    <s v="JFA"/>
    <n v="30"/>
    <x v="5"/>
    <n v="0"/>
    <n v="13694"/>
  </r>
  <r>
    <x v="46"/>
    <x v="46"/>
    <n v="30"/>
    <n v="30"/>
    <n v="0"/>
    <s v="MN"/>
    <x v="0"/>
    <n v="101"/>
    <n v="901"/>
    <x v="8"/>
    <s v="IND"/>
    <n v="30"/>
    <x v="24"/>
    <n v="0.06"/>
    <n v="13694"/>
  </r>
  <r>
    <x v="46"/>
    <x v="46"/>
    <n v="30"/>
    <n v="30"/>
    <n v="0"/>
    <s v="MN"/>
    <x v="0"/>
    <n v="101"/>
    <n v="9901"/>
    <x v="9"/>
    <s v="WI"/>
    <n v="30"/>
    <x v="85"/>
    <n v="0.34"/>
    <n v="13694"/>
  </r>
  <r>
    <x v="47"/>
    <x v="47"/>
    <n v="25"/>
    <n v="25"/>
    <n v="0"/>
    <s v="MN"/>
    <x v="0"/>
    <n v="101"/>
    <n v="101"/>
    <x v="0"/>
    <s v="R"/>
    <n v="25"/>
    <x v="226"/>
    <n v="69.59"/>
    <n v="15190"/>
  </r>
  <r>
    <x v="47"/>
    <x v="47"/>
    <n v="25"/>
    <n v="25"/>
    <n v="0"/>
    <s v="MN"/>
    <x v="0"/>
    <n v="101"/>
    <n v="201"/>
    <x v="1"/>
    <s v="DFL"/>
    <n v="25"/>
    <x v="227"/>
    <n v="28.8"/>
    <n v="15190"/>
  </r>
  <r>
    <x v="47"/>
    <x v="47"/>
    <n v="25"/>
    <n v="25"/>
    <n v="0"/>
    <s v="MN"/>
    <x v="0"/>
    <n v="101"/>
    <n v="301"/>
    <x v="2"/>
    <s v="LIB"/>
    <n v="25"/>
    <x v="89"/>
    <n v="0.38"/>
    <n v="15190"/>
  </r>
  <r>
    <x v="47"/>
    <x v="47"/>
    <n v="25"/>
    <n v="25"/>
    <n v="0"/>
    <s v="MN"/>
    <x v="0"/>
    <n v="101"/>
    <n v="401"/>
    <x v="3"/>
    <s v="WTP"/>
    <n v="25"/>
    <x v="167"/>
    <n v="0.71"/>
    <n v="15190"/>
  </r>
  <r>
    <x v="47"/>
    <x v="47"/>
    <n v="25"/>
    <n v="25"/>
    <n v="0"/>
    <s v="MN"/>
    <x v="0"/>
    <n v="101"/>
    <n v="501"/>
    <x v="4"/>
    <s v="G"/>
    <n v="25"/>
    <x v="101"/>
    <n v="0.17"/>
    <n v="15190"/>
  </r>
  <r>
    <x v="47"/>
    <x v="47"/>
    <n v="25"/>
    <n v="25"/>
    <n v="0"/>
    <s v="MN"/>
    <x v="0"/>
    <n v="101"/>
    <n v="601"/>
    <x v="5"/>
    <s v="SLP"/>
    <n v="25"/>
    <x v="24"/>
    <n v="0.05"/>
    <n v="15190"/>
  </r>
  <r>
    <x v="47"/>
    <x v="47"/>
    <n v="25"/>
    <n v="25"/>
    <n v="0"/>
    <s v="MN"/>
    <x v="0"/>
    <n v="101"/>
    <n v="701"/>
    <x v="6"/>
    <s v="SWP"/>
    <n v="25"/>
    <x v="23"/>
    <n v="0.01"/>
    <n v="15190"/>
  </r>
  <r>
    <x v="47"/>
    <x v="47"/>
    <n v="25"/>
    <n v="25"/>
    <n v="0"/>
    <s v="MN"/>
    <x v="0"/>
    <n v="101"/>
    <n v="801"/>
    <x v="7"/>
    <s v="JFA"/>
    <n v="25"/>
    <x v="33"/>
    <n v="0.03"/>
    <n v="15190"/>
  </r>
  <r>
    <x v="47"/>
    <x v="47"/>
    <n v="25"/>
    <n v="25"/>
    <n v="0"/>
    <s v="MN"/>
    <x v="0"/>
    <n v="101"/>
    <n v="901"/>
    <x v="8"/>
    <s v="IND"/>
    <n v="25"/>
    <x v="32"/>
    <n v="0.09"/>
    <n v="15190"/>
  </r>
  <r>
    <x v="47"/>
    <x v="47"/>
    <n v="25"/>
    <n v="25"/>
    <n v="0"/>
    <s v="MN"/>
    <x v="0"/>
    <n v="101"/>
    <n v="9901"/>
    <x v="9"/>
    <s v="WI"/>
    <n v="25"/>
    <x v="8"/>
    <n v="0.18"/>
    <n v="15190"/>
  </r>
  <r>
    <x v="48"/>
    <x v="48"/>
    <n v="48"/>
    <n v="48"/>
    <n v="0"/>
    <s v="MN"/>
    <x v="0"/>
    <n v="101"/>
    <n v="101"/>
    <x v="0"/>
    <s v="R"/>
    <n v="48"/>
    <x v="228"/>
    <n v="77.12"/>
    <n v="20313"/>
  </r>
  <r>
    <x v="48"/>
    <x v="48"/>
    <n v="48"/>
    <n v="48"/>
    <n v="0"/>
    <s v="MN"/>
    <x v="0"/>
    <n v="101"/>
    <n v="201"/>
    <x v="1"/>
    <s v="DFL"/>
    <n v="48"/>
    <x v="229"/>
    <n v="21.2"/>
    <n v="20313"/>
  </r>
  <r>
    <x v="48"/>
    <x v="48"/>
    <n v="48"/>
    <n v="48"/>
    <n v="0"/>
    <s v="MN"/>
    <x v="0"/>
    <n v="101"/>
    <n v="301"/>
    <x v="2"/>
    <s v="LIB"/>
    <n v="48"/>
    <x v="209"/>
    <n v="0.32"/>
    <n v="20313"/>
  </r>
  <r>
    <x v="48"/>
    <x v="48"/>
    <n v="48"/>
    <n v="48"/>
    <n v="0"/>
    <s v="MN"/>
    <x v="0"/>
    <n v="101"/>
    <n v="401"/>
    <x v="3"/>
    <s v="WTP"/>
    <n v="48"/>
    <x v="230"/>
    <n v="0.84"/>
    <n v="20313"/>
  </r>
  <r>
    <x v="48"/>
    <x v="48"/>
    <n v="48"/>
    <n v="48"/>
    <n v="0"/>
    <s v="MN"/>
    <x v="0"/>
    <n v="101"/>
    <n v="501"/>
    <x v="4"/>
    <s v="G"/>
    <n v="48"/>
    <x v="231"/>
    <n v="0.18"/>
    <n v="20313"/>
  </r>
  <r>
    <x v="48"/>
    <x v="48"/>
    <n v="48"/>
    <n v="48"/>
    <n v="0"/>
    <s v="MN"/>
    <x v="0"/>
    <n v="101"/>
    <n v="601"/>
    <x v="5"/>
    <s v="SLP"/>
    <n v="48"/>
    <x v="33"/>
    <n v="0.02"/>
    <n v="20313"/>
  </r>
  <r>
    <x v="48"/>
    <x v="48"/>
    <n v="48"/>
    <n v="48"/>
    <n v="0"/>
    <s v="MN"/>
    <x v="0"/>
    <n v="101"/>
    <n v="701"/>
    <x v="6"/>
    <s v="SWP"/>
    <n v="48"/>
    <x v="23"/>
    <n v="0.01"/>
    <n v="20313"/>
  </r>
  <r>
    <x v="48"/>
    <x v="48"/>
    <n v="48"/>
    <n v="48"/>
    <n v="0"/>
    <s v="MN"/>
    <x v="0"/>
    <n v="101"/>
    <n v="801"/>
    <x v="7"/>
    <s v="JFA"/>
    <n v="48"/>
    <x v="49"/>
    <n v="0.03"/>
    <n v="20313"/>
  </r>
  <r>
    <x v="48"/>
    <x v="48"/>
    <n v="48"/>
    <n v="48"/>
    <n v="0"/>
    <s v="MN"/>
    <x v="0"/>
    <n v="101"/>
    <n v="901"/>
    <x v="8"/>
    <s v="IND"/>
    <n v="48"/>
    <x v="7"/>
    <n v="7.0000000000000007E-2"/>
    <n v="20313"/>
  </r>
  <r>
    <x v="48"/>
    <x v="48"/>
    <n v="48"/>
    <n v="48"/>
    <n v="0"/>
    <s v="MN"/>
    <x v="0"/>
    <n v="101"/>
    <n v="9901"/>
    <x v="9"/>
    <s v="WI"/>
    <n v="48"/>
    <x v="232"/>
    <n v="0.2"/>
    <n v="20313"/>
  </r>
  <r>
    <x v="49"/>
    <x v="49"/>
    <n v="39"/>
    <n v="39"/>
    <n v="0"/>
    <s v="MN"/>
    <x v="0"/>
    <n v="101"/>
    <n v="101"/>
    <x v="0"/>
    <s v="R"/>
    <n v="39"/>
    <x v="233"/>
    <n v="54.28"/>
    <n v="18969"/>
  </r>
  <r>
    <x v="49"/>
    <x v="49"/>
    <n v="39"/>
    <n v="39"/>
    <n v="0"/>
    <s v="MN"/>
    <x v="0"/>
    <n v="101"/>
    <n v="201"/>
    <x v="1"/>
    <s v="DFL"/>
    <n v="39"/>
    <x v="234"/>
    <n v="43.82"/>
    <n v="18969"/>
  </r>
  <r>
    <x v="49"/>
    <x v="49"/>
    <n v="39"/>
    <n v="39"/>
    <n v="0"/>
    <s v="MN"/>
    <x v="0"/>
    <n v="101"/>
    <n v="301"/>
    <x v="2"/>
    <s v="LIB"/>
    <n v="39"/>
    <x v="82"/>
    <n v="0.28000000000000003"/>
    <n v="18969"/>
  </r>
  <r>
    <x v="49"/>
    <x v="49"/>
    <n v="39"/>
    <n v="39"/>
    <n v="0"/>
    <s v="MN"/>
    <x v="0"/>
    <n v="101"/>
    <n v="401"/>
    <x v="3"/>
    <s v="WTP"/>
    <n v="39"/>
    <x v="92"/>
    <n v="0.98"/>
    <n v="18969"/>
  </r>
  <r>
    <x v="49"/>
    <x v="49"/>
    <n v="39"/>
    <n v="39"/>
    <n v="0"/>
    <s v="MN"/>
    <x v="0"/>
    <n v="101"/>
    <n v="501"/>
    <x v="4"/>
    <s v="G"/>
    <n v="39"/>
    <x v="235"/>
    <n v="0.21"/>
    <n v="18969"/>
  </r>
  <r>
    <x v="49"/>
    <x v="49"/>
    <n v="39"/>
    <n v="39"/>
    <n v="0"/>
    <s v="MN"/>
    <x v="0"/>
    <n v="101"/>
    <n v="601"/>
    <x v="5"/>
    <s v="SLP"/>
    <n v="39"/>
    <x v="105"/>
    <n v="0.05"/>
    <n v="18969"/>
  </r>
  <r>
    <x v="49"/>
    <x v="49"/>
    <n v="39"/>
    <n v="39"/>
    <n v="0"/>
    <s v="MN"/>
    <x v="0"/>
    <n v="101"/>
    <n v="701"/>
    <x v="6"/>
    <s v="SWP"/>
    <n v="39"/>
    <x v="23"/>
    <n v="0.01"/>
    <n v="18969"/>
  </r>
  <r>
    <x v="49"/>
    <x v="49"/>
    <n v="39"/>
    <n v="39"/>
    <n v="0"/>
    <s v="MN"/>
    <x v="0"/>
    <n v="101"/>
    <n v="801"/>
    <x v="7"/>
    <s v="JFA"/>
    <n v="39"/>
    <x v="33"/>
    <n v="0.03"/>
    <n v="18969"/>
  </r>
  <r>
    <x v="49"/>
    <x v="49"/>
    <n v="39"/>
    <n v="39"/>
    <n v="0"/>
    <s v="MN"/>
    <x v="0"/>
    <n v="101"/>
    <n v="901"/>
    <x v="8"/>
    <s v="IND"/>
    <n v="39"/>
    <x v="76"/>
    <n v="0.12"/>
    <n v="18969"/>
  </r>
  <r>
    <x v="49"/>
    <x v="49"/>
    <n v="39"/>
    <n v="39"/>
    <n v="0"/>
    <s v="MN"/>
    <x v="0"/>
    <n v="101"/>
    <n v="9901"/>
    <x v="9"/>
    <s v="WI"/>
    <n v="39"/>
    <x v="26"/>
    <n v="0.23"/>
    <n v="18969"/>
  </r>
  <r>
    <x v="50"/>
    <x v="50"/>
    <n v="29"/>
    <n v="29"/>
    <n v="0"/>
    <s v="MN"/>
    <x v="0"/>
    <n v="101"/>
    <n v="101"/>
    <x v="0"/>
    <s v="R"/>
    <n v="29"/>
    <x v="236"/>
    <n v="70.16"/>
    <n v="4769"/>
  </r>
  <r>
    <x v="50"/>
    <x v="50"/>
    <n v="29"/>
    <n v="29"/>
    <n v="0"/>
    <s v="MN"/>
    <x v="0"/>
    <n v="101"/>
    <n v="201"/>
    <x v="1"/>
    <s v="DFL"/>
    <n v="29"/>
    <x v="237"/>
    <n v="27.87"/>
    <n v="4769"/>
  </r>
  <r>
    <x v="50"/>
    <x v="50"/>
    <n v="29"/>
    <n v="29"/>
    <n v="0"/>
    <s v="MN"/>
    <x v="0"/>
    <n v="101"/>
    <n v="301"/>
    <x v="2"/>
    <s v="LIB"/>
    <n v="29"/>
    <x v="7"/>
    <n v="0.31"/>
    <n v="4769"/>
  </r>
  <r>
    <x v="50"/>
    <x v="50"/>
    <n v="29"/>
    <n v="29"/>
    <n v="0"/>
    <s v="MN"/>
    <x v="0"/>
    <n v="101"/>
    <n v="401"/>
    <x v="3"/>
    <s v="WTP"/>
    <n v="29"/>
    <x v="82"/>
    <n v="1.1299999999999999"/>
    <n v="4769"/>
  </r>
  <r>
    <x v="50"/>
    <x v="50"/>
    <n v="29"/>
    <n v="29"/>
    <n v="0"/>
    <s v="MN"/>
    <x v="0"/>
    <n v="101"/>
    <n v="501"/>
    <x v="4"/>
    <s v="G"/>
    <n v="29"/>
    <x v="33"/>
    <n v="0.1"/>
    <n v="4769"/>
  </r>
  <r>
    <x v="50"/>
    <x v="50"/>
    <n v="29"/>
    <n v="29"/>
    <n v="0"/>
    <s v="MN"/>
    <x v="0"/>
    <n v="101"/>
    <n v="601"/>
    <x v="5"/>
    <s v="SLP"/>
    <n v="29"/>
    <x v="23"/>
    <n v="0.04"/>
    <n v="4769"/>
  </r>
  <r>
    <x v="50"/>
    <x v="50"/>
    <n v="29"/>
    <n v="29"/>
    <n v="0"/>
    <s v="MN"/>
    <x v="0"/>
    <n v="101"/>
    <n v="701"/>
    <x v="6"/>
    <s v="SWP"/>
    <n v="29"/>
    <x v="5"/>
    <n v="0"/>
    <n v="4769"/>
  </r>
  <r>
    <x v="50"/>
    <x v="50"/>
    <n v="29"/>
    <n v="29"/>
    <n v="0"/>
    <s v="MN"/>
    <x v="0"/>
    <n v="101"/>
    <n v="801"/>
    <x v="7"/>
    <s v="JFA"/>
    <n v="29"/>
    <x v="5"/>
    <n v="0"/>
    <n v="4769"/>
  </r>
  <r>
    <x v="50"/>
    <x v="50"/>
    <n v="29"/>
    <n v="29"/>
    <n v="0"/>
    <s v="MN"/>
    <x v="0"/>
    <n v="101"/>
    <n v="901"/>
    <x v="8"/>
    <s v="IND"/>
    <n v="29"/>
    <x v="44"/>
    <n v="0.08"/>
    <n v="4769"/>
  </r>
  <r>
    <x v="50"/>
    <x v="50"/>
    <n v="29"/>
    <n v="29"/>
    <n v="0"/>
    <s v="MN"/>
    <x v="0"/>
    <n v="101"/>
    <n v="9901"/>
    <x v="9"/>
    <s v="WI"/>
    <n v="29"/>
    <x v="42"/>
    <n v="0.28999999999999998"/>
    <n v="4769"/>
  </r>
  <r>
    <x v="51"/>
    <x v="51"/>
    <n v="26"/>
    <n v="26"/>
    <n v="0"/>
    <s v="MN"/>
    <x v="0"/>
    <n v="101"/>
    <n v="101"/>
    <x v="0"/>
    <s v="R"/>
    <n v="26"/>
    <x v="238"/>
    <n v="49.13"/>
    <n v="19417"/>
  </r>
  <r>
    <x v="51"/>
    <x v="51"/>
    <n v="26"/>
    <n v="26"/>
    <n v="0"/>
    <s v="MN"/>
    <x v="0"/>
    <n v="101"/>
    <n v="201"/>
    <x v="1"/>
    <s v="DFL"/>
    <n v="26"/>
    <x v="239"/>
    <n v="48.62"/>
    <n v="19417"/>
  </r>
  <r>
    <x v="51"/>
    <x v="51"/>
    <n v="26"/>
    <n v="26"/>
    <n v="0"/>
    <s v="MN"/>
    <x v="0"/>
    <n v="101"/>
    <n v="301"/>
    <x v="2"/>
    <s v="LIB"/>
    <n v="26"/>
    <x v="240"/>
    <n v="0.42"/>
    <n v="19417"/>
  </r>
  <r>
    <x v="51"/>
    <x v="51"/>
    <n v="26"/>
    <n v="26"/>
    <n v="0"/>
    <s v="MN"/>
    <x v="0"/>
    <n v="101"/>
    <n v="401"/>
    <x v="3"/>
    <s v="WTP"/>
    <n v="26"/>
    <x v="134"/>
    <n v="0.99"/>
    <n v="19417"/>
  </r>
  <r>
    <x v="51"/>
    <x v="51"/>
    <n v="26"/>
    <n v="26"/>
    <n v="0"/>
    <s v="MN"/>
    <x v="0"/>
    <n v="101"/>
    <n v="501"/>
    <x v="4"/>
    <s v="G"/>
    <n v="26"/>
    <x v="241"/>
    <n v="0.25"/>
    <n v="19417"/>
  </r>
  <r>
    <x v="51"/>
    <x v="51"/>
    <n v="26"/>
    <n v="26"/>
    <n v="0"/>
    <s v="MN"/>
    <x v="0"/>
    <n v="101"/>
    <n v="601"/>
    <x v="5"/>
    <s v="SLP"/>
    <n v="26"/>
    <x v="32"/>
    <n v="7.0000000000000007E-2"/>
    <n v="19417"/>
  </r>
  <r>
    <x v="51"/>
    <x v="51"/>
    <n v="26"/>
    <n v="26"/>
    <n v="0"/>
    <s v="MN"/>
    <x v="0"/>
    <n v="101"/>
    <n v="701"/>
    <x v="6"/>
    <s v="SWP"/>
    <n v="26"/>
    <x v="23"/>
    <n v="0.01"/>
    <n v="19417"/>
  </r>
  <r>
    <x v="51"/>
    <x v="51"/>
    <n v="26"/>
    <n v="26"/>
    <n v="0"/>
    <s v="MN"/>
    <x v="0"/>
    <n v="101"/>
    <n v="801"/>
    <x v="7"/>
    <s v="JFA"/>
    <n v="26"/>
    <x v="25"/>
    <n v="0.09"/>
    <n v="19417"/>
  </r>
  <r>
    <x v="51"/>
    <x v="51"/>
    <n v="26"/>
    <n v="26"/>
    <n v="0"/>
    <s v="MN"/>
    <x v="0"/>
    <n v="101"/>
    <n v="901"/>
    <x v="8"/>
    <s v="IND"/>
    <n v="26"/>
    <x v="25"/>
    <n v="0.09"/>
    <n v="19417"/>
  </r>
  <r>
    <x v="51"/>
    <x v="51"/>
    <n v="26"/>
    <n v="26"/>
    <n v="0"/>
    <s v="MN"/>
    <x v="0"/>
    <n v="101"/>
    <n v="9901"/>
    <x v="9"/>
    <s v="WI"/>
    <n v="26"/>
    <x v="187"/>
    <n v="0.32"/>
    <n v="19417"/>
  </r>
  <r>
    <x v="52"/>
    <x v="52"/>
    <n v="40"/>
    <n v="40"/>
    <n v="0"/>
    <s v="MN"/>
    <x v="0"/>
    <n v="101"/>
    <n v="101"/>
    <x v="0"/>
    <s v="R"/>
    <n v="40"/>
    <x v="242"/>
    <n v="66.959999999999994"/>
    <n v="8275"/>
  </r>
  <r>
    <x v="52"/>
    <x v="52"/>
    <n v="40"/>
    <n v="40"/>
    <n v="0"/>
    <s v="MN"/>
    <x v="0"/>
    <n v="101"/>
    <n v="201"/>
    <x v="1"/>
    <s v="DFL"/>
    <n v="40"/>
    <x v="243"/>
    <n v="31.41"/>
    <n v="8275"/>
  </r>
  <r>
    <x v="52"/>
    <x v="52"/>
    <n v="40"/>
    <n v="40"/>
    <n v="0"/>
    <s v="MN"/>
    <x v="0"/>
    <n v="101"/>
    <n v="301"/>
    <x v="2"/>
    <s v="LIB"/>
    <n v="40"/>
    <x v="7"/>
    <n v="0.18"/>
    <n v="8275"/>
  </r>
  <r>
    <x v="52"/>
    <x v="52"/>
    <n v="40"/>
    <n v="40"/>
    <n v="0"/>
    <s v="MN"/>
    <x v="0"/>
    <n v="101"/>
    <n v="401"/>
    <x v="3"/>
    <s v="WTP"/>
    <n v="40"/>
    <x v="3"/>
    <n v="0.99"/>
    <n v="8275"/>
  </r>
  <r>
    <x v="52"/>
    <x v="52"/>
    <n v="40"/>
    <n v="40"/>
    <n v="0"/>
    <s v="MN"/>
    <x v="0"/>
    <n v="101"/>
    <n v="501"/>
    <x v="4"/>
    <s v="G"/>
    <n v="40"/>
    <x v="105"/>
    <n v="0.11"/>
    <n v="8275"/>
  </r>
  <r>
    <x v="52"/>
    <x v="52"/>
    <n v="40"/>
    <n v="40"/>
    <n v="0"/>
    <s v="MN"/>
    <x v="0"/>
    <n v="101"/>
    <n v="601"/>
    <x v="5"/>
    <s v="SLP"/>
    <n v="40"/>
    <x v="6"/>
    <n v="0.01"/>
    <n v="8275"/>
  </r>
  <r>
    <x v="52"/>
    <x v="52"/>
    <n v="40"/>
    <n v="40"/>
    <n v="0"/>
    <s v="MN"/>
    <x v="0"/>
    <n v="101"/>
    <n v="701"/>
    <x v="6"/>
    <s v="SWP"/>
    <n v="40"/>
    <x v="23"/>
    <n v="0.02"/>
    <n v="8275"/>
  </r>
  <r>
    <x v="52"/>
    <x v="52"/>
    <n v="40"/>
    <n v="40"/>
    <n v="0"/>
    <s v="MN"/>
    <x v="0"/>
    <n v="101"/>
    <n v="801"/>
    <x v="7"/>
    <s v="JFA"/>
    <n v="40"/>
    <x v="43"/>
    <n v="0.04"/>
    <n v="8275"/>
  </r>
  <r>
    <x v="52"/>
    <x v="52"/>
    <n v="40"/>
    <n v="40"/>
    <n v="0"/>
    <s v="MN"/>
    <x v="0"/>
    <n v="101"/>
    <n v="901"/>
    <x v="8"/>
    <s v="IND"/>
    <n v="40"/>
    <x v="49"/>
    <n v="7.0000000000000007E-2"/>
    <n v="8275"/>
  </r>
  <r>
    <x v="52"/>
    <x v="52"/>
    <n v="40"/>
    <n v="40"/>
    <n v="0"/>
    <s v="MN"/>
    <x v="0"/>
    <n v="101"/>
    <n v="9901"/>
    <x v="9"/>
    <s v="WI"/>
    <n v="40"/>
    <x v="201"/>
    <n v="0.21"/>
    <n v="8275"/>
  </r>
  <r>
    <x v="53"/>
    <x v="53"/>
    <n v="33"/>
    <n v="33"/>
    <n v="0"/>
    <s v="MN"/>
    <x v="0"/>
    <n v="101"/>
    <n v="101"/>
    <x v="0"/>
    <s v="R"/>
    <n v="33"/>
    <x v="244"/>
    <n v="59.59"/>
    <n v="3294"/>
  </r>
  <r>
    <x v="53"/>
    <x v="53"/>
    <n v="33"/>
    <n v="33"/>
    <n v="0"/>
    <s v="MN"/>
    <x v="0"/>
    <n v="101"/>
    <n v="201"/>
    <x v="1"/>
    <s v="DFL"/>
    <n v="33"/>
    <x v="245"/>
    <n v="37.43"/>
    <n v="3294"/>
  </r>
  <r>
    <x v="53"/>
    <x v="53"/>
    <n v="33"/>
    <n v="33"/>
    <n v="0"/>
    <s v="MN"/>
    <x v="0"/>
    <n v="101"/>
    <n v="301"/>
    <x v="2"/>
    <s v="LIB"/>
    <n v="33"/>
    <x v="25"/>
    <n v="0.55000000000000004"/>
    <n v="3294"/>
  </r>
  <r>
    <x v="53"/>
    <x v="53"/>
    <n v="33"/>
    <n v="33"/>
    <n v="0"/>
    <s v="MN"/>
    <x v="0"/>
    <n v="101"/>
    <n v="401"/>
    <x v="3"/>
    <s v="WTP"/>
    <n v="33"/>
    <x v="129"/>
    <n v="1.52"/>
    <n v="3294"/>
  </r>
  <r>
    <x v="53"/>
    <x v="53"/>
    <n v="33"/>
    <n v="33"/>
    <n v="0"/>
    <s v="MN"/>
    <x v="0"/>
    <n v="101"/>
    <n v="501"/>
    <x v="4"/>
    <s v="G"/>
    <n v="33"/>
    <x v="45"/>
    <n v="0.3"/>
    <n v="3294"/>
  </r>
  <r>
    <x v="53"/>
    <x v="53"/>
    <n v="33"/>
    <n v="33"/>
    <n v="0"/>
    <s v="MN"/>
    <x v="0"/>
    <n v="101"/>
    <n v="601"/>
    <x v="5"/>
    <s v="SLP"/>
    <n v="33"/>
    <x v="5"/>
    <n v="0"/>
    <n v="3294"/>
  </r>
  <r>
    <x v="53"/>
    <x v="53"/>
    <n v="33"/>
    <n v="33"/>
    <n v="0"/>
    <s v="MN"/>
    <x v="0"/>
    <n v="101"/>
    <n v="701"/>
    <x v="6"/>
    <s v="SWP"/>
    <n v="33"/>
    <x v="43"/>
    <n v="0.09"/>
    <n v="3294"/>
  </r>
  <r>
    <x v="53"/>
    <x v="53"/>
    <n v="33"/>
    <n v="33"/>
    <n v="0"/>
    <s v="MN"/>
    <x v="0"/>
    <n v="101"/>
    <n v="801"/>
    <x v="7"/>
    <s v="JFA"/>
    <n v="33"/>
    <x v="6"/>
    <n v="0.03"/>
    <n v="3294"/>
  </r>
  <r>
    <x v="53"/>
    <x v="53"/>
    <n v="33"/>
    <n v="33"/>
    <n v="0"/>
    <s v="MN"/>
    <x v="0"/>
    <n v="101"/>
    <n v="901"/>
    <x v="8"/>
    <s v="IND"/>
    <n v="33"/>
    <x v="62"/>
    <n v="0.21"/>
    <n v="3294"/>
  </r>
  <r>
    <x v="53"/>
    <x v="53"/>
    <n v="33"/>
    <n v="33"/>
    <n v="0"/>
    <s v="MN"/>
    <x v="0"/>
    <n v="101"/>
    <n v="9901"/>
    <x v="9"/>
    <s v="WI"/>
    <n v="33"/>
    <x v="105"/>
    <n v="0.27"/>
    <n v="3294"/>
  </r>
  <r>
    <x v="54"/>
    <x v="54"/>
    <n v="110"/>
    <n v="110"/>
    <n v="0"/>
    <s v="MN"/>
    <x v="0"/>
    <n v="101"/>
    <n v="101"/>
    <x v="0"/>
    <s v="R"/>
    <n v="110"/>
    <x v="246"/>
    <n v="43.41"/>
    <n v="90924"/>
  </r>
  <r>
    <x v="54"/>
    <x v="54"/>
    <n v="110"/>
    <n v="110"/>
    <n v="0"/>
    <s v="MN"/>
    <x v="0"/>
    <n v="101"/>
    <n v="201"/>
    <x v="1"/>
    <s v="DFL"/>
    <n v="110"/>
    <x v="247"/>
    <n v="54.02"/>
    <n v="90924"/>
  </r>
  <r>
    <x v="54"/>
    <x v="54"/>
    <n v="110"/>
    <n v="110"/>
    <n v="0"/>
    <s v="MN"/>
    <x v="0"/>
    <n v="101"/>
    <n v="301"/>
    <x v="2"/>
    <s v="LIB"/>
    <n v="110"/>
    <x v="248"/>
    <n v="0.54"/>
    <n v="90924"/>
  </r>
  <r>
    <x v="54"/>
    <x v="54"/>
    <n v="110"/>
    <n v="110"/>
    <n v="0"/>
    <s v="MN"/>
    <x v="0"/>
    <n v="101"/>
    <n v="401"/>
    <x v="3"/>
    <s v="WTP"/>
    <n v="110"/>
    <x v="249"/>
    <n v="0.77"/>
    <n v="90924"/>
  </r>
  <r>
    <x v="54"/>
    <x v="54"/>
    <n v="110"/>
    <n v="110"/>
    <n v="0"/>
    <s v="MN"/>
    <x v="0"/>
    <n v="101"/>
    <n v="501"/>
    <x v="4"/>
    <s v="G"/>
    <n v="110"/>
    <x v="250"/>
    <n v="0.56999999999999995"/>
    <n v="90924"/>
  </r>
  <r>
    <x v="54"/>
    <x v="54"/>
    <n v="110"/>
    <n v="110"/>
    <n v="0"/>
    <s v="MN"/>
    <x v="0"/>
    <n v="101"/>
    <n v="601"/>
    <x v="5"/>
    <s v="SLP"/>
    <n v="110"/>
    <x v="89"/>
    <n v="0.06"/>
    <n v="90924"/>
  </r>
  <r>
    <x v="54"/>
    <x v="54"/>
    <n v="110"/>
    <n v="110"/>
    <n v="0"/>
    <s v="MN"/>
    <x v="0"/>
    <n v="101"/>
    <n v="701"/>
    <x v="6"/>
    <s v="SWP"/>
    <n v="110"/>
    <x v="32"/>
    <n v="0.01"/>
    <n v="90924"/>
  </r>
  <r>
    <x v="54"/>
    <x v="54"/>
    <n v="110"/>
    <n v="110"/>
    <n v="0"/>
    <s v="MN"/>
    <x v="0"/>
    <n v="101"/>
    <n v="801"/>
    <x v="7"/>
    <s v="JFA"/>
    <n v="110"/>
    <x v="251"/>
    <n v="0.1"/>
    <n v="90924"/>
  </r>
  <r>
    <x v="54"/>
    <x v="54"/>
    <n v="110"/>
    <n v="110"/>
    <n v="0"/>
    <s v="MN"/>
    <x v="0"/>
    <n v="101"/>
    <n v="901"/>
    <x v="8"/>
    <s v="IND"/>
    <n v="110"/>
    <x v="46"/>
    <n v="7.0000000000000007E-2"/>
    <n v="90924"/>
  </r>
  <r>
    <x v="54"/>
    <x v="54"/>
    <n v="110"/>
    <n v="110"/>
    <n v="0"/>
    <s v="MN"/>
    <x v="0"/>
    <n v="101"/>
    <n v="9901"/>
    <x v="9"/>
    <s v="WI"/>
    <n v="110"/>
    <x v="252"/>
    <n v="0.44"/>
    <n v="90924"/>
  </r>
  <r>
    <x v="55"/>
    <x v="55"/>
    <n v="91"/>
    <n v="91"/>
    <n v="0"/>
    <s v="MN"/>
    <x v="0"/>
    <n v="101"/>
    <n v="101"/>
    <x v="0"/>
    <s v="R"/>
    <n v="91"/>
    <x v="253"/>
    <n v="66.08"/>
    <n v="36736"/>
  </r>
  <r>
    <x v="55"/>
    <x v="55"/>
    <n v="91"/>
    <n v="91"/>
    <n v="0"/>
    <s v="MN"/>
    <x v="0"/>
    <n v="101"/>
    <n v="201"/>
    <x v="1"/>
    <s v="DFL"/>
    <n v="91"/>
    <x v="254"/>
    <n v="31.99"/>
    <n v="36736"/>
  </r>
  <r>
    <x v="55"/>
    <x v="55"/>
    <n v="91"/>
    <n v="91"/>
    <n v="0"/>
    <s v="MN"/>
    <x v="0"/>
    <n v="101"/>
    <n v="301"/>
    <x v="2"/>
    <s v="LIB"/>
    <n v="91"/>
    <x v="255"/>
    <n v="0.4"/>
    <n v="36736"/>
  </r>
  <r>
    <x v="55"/>
    <x v="55"/>
    <n v="91"/>
    <n v="91"/>
    <n v="0"/>
    <s v="MN"/>
    <x v="0"/>
    <n v="101"/>
    <n v="401"/>
    <x v="3"/>
    <s v="WTP"/>
    <n v="91"/>
    <x v="256"/>
    <n v="0.84"/>
    <n v="36736"/>
  </r>
  <r>
    <x v="55"/>
    <x v="55"/>
    <n v="91"/>
    <n v="91"/>
    <n v="0"/>
    <s v="MN"/>
    <x v="0"/>
    <n v="101"/>
    <n v="501"/>
    <x v="4"/>
    <s v="G"/>
    <n v="91"/>
    <x v="148"/>
    <n v="0.19"/>
    <n v="36736"/>
  </r>
  <r>
    <x v="55"/>
    <x v="55"/>
    <n v="91"/>
    <n v="91"/>
    <n v="0"/>
    <s v="MN"/>
    <x v="0"/>
    <n v="101"/>
    <n v="601"/>
    <x v="5"/>
    <s v="SLP"/>
    <n v="91"/>
    <x v="45"/>
    <n v="0.03"/>
    <n v="36736"/>
  </r>
  <r>
    <x v="55"/>
    <x v="55"/>
    <n v="91"/>
    <n v="91"/>
    <n v="0"/>
    <s v="MN"/>
    <x v="0"/>
    <n v="101"/>
    <n v="701"/>
    <x v="6"/>
    <s v="SWP"/>
    <n v="91"/>
    <x v="49"/>
    <n v="0.02"/>
    <n v="36736"/>
  </r>
  <r>
    <x v="55"/>
    <x v="55"/>
    <n v="91"/>
    <n v="91"/>
    <n v="0"/>
    <s v="MN"/>
    <x v="0"/>
    <n v="101"/>
    <n v="801"/>
    <x v="7"/>
    <s v="JFA"/>
    <n v="91"/>
    <x v="32"/>
    <n v="0.04"/>
    <n v="36736"/>
  </r>
  <r>
    <x v="55"/>
    <x v="55"/>
    <n v="91"/>
    <n v="91"/>
    <n v="0"/>
    <s v="MN"/>
    <x v="0"/>
    <n v="101"/>
    <n v="901"/>
    <x v="8"/>
    <s v="IND"/>
    <n v="91"/>
    <x v="8"/>
    <n v="7.0000000000000007E-2"/>
    <n v="36736"/>
  </r>
  <r>
    <x v="55"/>
    <x v="55"/>
    <n v="91"/>
    <n v="91"/>
    <n v="0"/>
    <s v="MN"/>
    <x v="0"/>
    <n v="101"/>
    <n v="9901"/>
    <x v="9"/>
    <s v="WI"/>
    <n v="91"/>
    <x v="257"/>
    <n v="0.35"/>
    <n v="36736"/>
  </r>
  <r>
    <x v="56"/>
    <x v="56"/>
    <n v="31"/>
    <n v="31"/>
    <n v="0"/>
    <s v="MN"/>
    <x v="0"/>
    <n v="101"/>
    <n v="101"/>
    <x v="0"/>
    <s v="R"/>
    <n v="31"/>
    <x v="258"/>
    <n v="64.44"/>
    <n v="7381"/>
  </r>
  <r>
    <x v="56"/>
    <x v="56"/>
    <n v="31"/>
    <n v="31"/>
    <n v="0"/>
    <s v="MN"/>
    <x v="0"/>
    <n v="101"/>
    <n v="201"/>
    <x v="1"/>
    <s v="DFL"/>
    <n v="31"/>
    <x v="259"/>
    <n v="33.04"/>
    <n v="7381"/>
  </r>
  <r>
    <x v="56"/>
    <x v="56"/>
    <n v="31"/>
    <n v="31"/>
    <n v="0"/>
    <s v="MN"/>
    <x v="0"/>
    <n v="101"/>
    <n v="301"/>
    <x v="2"/>
    <s v="LIB"/>
    <n v="31"/>
    <x v="235"/>
    <n v="0.53"/>
    <n v="7381"/>
  </r>
  <r>
    <x v="56"/>
    <x v="56"/>
    <n v="31"/>
    <n v="31"/>
    <n v="0"/>
    <s v="MN"/>
    <x v="0"/>
    <n v="101"/>
    <n v="401"/>
    <x v="3"/>
    <s v="WTP"/>
    <n v="31"/>
    <x v="260"/>
    <n v="1.25"/>
    <n v="7381"/>
  </r>
  <r>
    <x v="56"/>
    <x v="56"/>
    <n v="31"/>
    <n v="31"/>
    <n v="0"/>
    <s v="MN"/>
    <x v="0"/>
    <n v="101"/>
    <n v="501"/>
    <x v="4"/>
    <s v="G"/>
    <n v="31"/>
    <x v="105"/>
    <n v="0.12"/>
    <n v="7381"/>
  </r>
  <r>
    <x v="56"/>
    <x v="56"/>
    <n v="31"/>
    <n v="31"/>
    <n v="0"/>
    <s v="MN"/>
    <x v="0"/>
    <n v="101"/>
    <n v="601"/>
    <x v="5"/>
    <s v="SLP"/>
    <n v="31"/>
    <x v="33"/>
    <n v="7.0000000000000007E-2"/>
    <n v="7381"/>
  </r>
  <r>
    <x v="56"/>
    <x v="56"/>
    <n v="31"/>
    <n v="31"/>
    <n v="0"/>
    <s v="MN"/>
    <x v="0"/>
    <n v="101"/>
    <n v="701"/>
    <x v="6"/>
    <s v="SWP"/>
    <n v="31"/>
    <x v="6"/>
    <n v="0.01"/>
    <n v="7381"/>
  </r>
  <r>
    <x v="56"/>
    <x v="56"/>
    <n v="31"/>
    <n v="31"/>
    <n v="0"/>
    <s v="MN"/>
    <x v="0"/>
    <n v="101"/>
    <n v="801"/>
    <x v="7"/>
    <s v="JFA"/>
    <n v="31"/>
    <x v="49"/>
    <n v="0.08"/>
    <n v="7381"/>
  </r>
  <r>
    <x v="56"/>
    <x v="56"/>
    <n v="31"/>
    <n v="31"/>
    <n v="0"/>
    <s v="MN"/>
    <x v="0"/>
    <n v="101"/>
    <n v="901"/>
    <x v="8"/>
    <s v="IND"/>
    <n v="31"/>
    <x v="42"/>
    <n v="0.19"/>
    <n v="7381"/>
  </r>
  <r>
    <x v="56"/>
    <x v="56"/>
    <n v="31"/>
    <n v="31"/>
    <n v="0"/>
    <s v="MN"/>
    <x v="0"/>
    <n v="101"/>
    <n v="9901"/>
    <x v="9"/>
    <s v="WI"/>
    <n v="31"/>
    <x v="193"/>
    <n v="0.27"/>
    <n v="7381"/>
  </r>
  <r>
    <x v="57"/>
    <x v="57"/>
    <n v="47"/>
    <n v="47"/>
    <n v="0"/>
    <s v="MN"/>
    <x v="0"/>
    <n v="101"/>
    <n v="101"/>
    <x v="0"/>
    <s v="R"/>
    <n v="47"/>
    <x v="261"/>
    <n v="66.67"/>
    <n v="16911"/>
  </r>
  <r>
    <x v="57"/>
    <x v="57"/>
    <n v="47"/>
    <n v="47"/>
    <n v="0"/>
    <s v="MN"/>
    <x v="0"/>
    <n v="101"/>
    <n v="201"/>
    <x v="1"/>
    <s v="DFL"/>
    <n v="47"/>
    <x v="262"/>
    <n v="31.57"/>
    <n v="16911"/>
  </r>
  <r>
    <x v="57"/>
    <x v="57"/>
    <n v="47"/>
    <n v="47"/>
    <n v="0"/>
    <s v="MN"/>
    <x v="0"/>
    <n v="101"/>
    <n v="301"/>
    <x v="2"/>
    <s v="LIB"/>
    <n v="47"/>
    <x v="31"/>
    <n v="0.37"/>
    <n v="16911"/>
  </r>
  <r>
    <x v="57"/>
    <x v="57"/>
    <n v="47"/>
    <n v="47"/>
    <n v="0"/>
    <s v="MN"/>
    <x v="0"/>
    <n v="101"/>
    <n v="401"/>
    <x v="3"/>
    <s v="WTP"/>
    <n v="47"/>
    <x v="263"/>
    <n v="0.84"/>
    <n v="16911"/>
  </r>
  <r>
    <x v="57"/>
    <x v="57"/>
    <n v="47"/>
    <n v="47"/>
    <n v="0"/>
    <s v="MN"/>
    <x v="0"/>
    <n v="101"/>
    <n v="501"/>
    <x v="4"/>
    <s v="G"/>
    <n v="47"/>
    <x v="131"/>
    <n v="0.21"/>
    <n v="16911"/>
  </r>
  <r>
    <x v="57"/>
    <x v="57"/>
    <n v="47"/>
    <n v="47"/>
    <n v="0"/>
    <s v="MN"/>
    <x v="0"/>
    <n v="101"/>
    <n v="601"/>
    <x v="5"/>
    <s v="SLP"/>
    <n v="47"/>
    <x v="24"/>
    <n v="0.05"/>
    <n v="16911"/>
  </r>
  <r>
    <x v="57"/>
    <x v="57"/>
    <n v="47"/>
    <n v="47"/>
    <n v="0"/>
    <s v="MN"/>
    <x v="0"/>
    <n v="101"/>
    <n v="701"/>
    <x v="6"/>
    <s v="SWP"/>
    <n v="47"/>
    <x v="5"/>
    <n v="0"/>
    <n v="16911"/>
  </r>
  <r>
    <x v="57"/>
    <x v="57"/>
    <n v="47"/>
    <n v="47"/>
    <n v="0"/>
    <s v="MN"/>
    <x v="0"/>
    <n v="101"/>
    <n v="801"/>
    <x v="7"/>
    <s v="JFA"/>
    <n v="47"/>
    <x v="44"/>
    <n v="0.02"/>
    <n v="16911"/>
  </r>
  <r>
    <x v="57"/>
    <x v="57"/>
    <n v="47"/>
    <n v="47"/>
    <n v="0"/>
    <s v="MN"/>
    <x v="0"/>
    <n v="101"/>
    <n v="901"/>
    <x v="8"/>
    <s v="IND"/>
    <n v="47"/>
    <x v="84"/>
    <n v="7.0000000000000007E-2"/>
    <n v="16911"/>
  </r>
  <r>
    <x v="57"/>
    <x v="57"/>
    <n v="47"/>
    <n v="47"/>
    <n v="0"/>
    <s v="MN"/>
    <x v="0"/>
    <n v="101"/>
    <n v="9901"/>
    <x v="9"/>
    <s v="WI"/>
    <n v="47"/>
    <x v="147"/>
    <n v="0.21"/>
    <n v="16911"/>
  </r>
  <r>
    <x v="58"/>
    <x v="58"/>
    <n v="22"/>
    <n v="22"/>
    <n v="0"/>
    <s v="MN"/>
    <x v="0"/>
    <n v="101"/>
    <n v="101"/>
    <x v="0"/>
    <s v="R"/>
    <n v="22"/>
    <x v="264"/>
    <n v="73.12"/>
    <n v="4837"/>
  </r>
  <r>
    <x v="58"/>
    <x v="58"/>
    <n v="22"/>
    <n v="22"/>
    <n v="0"/>
    <s v="MN"/>
    <x v="0"/>
    <n v="101"/>
    <n v="201"/>
    <x v="1"/>
    <s v="DFL"/>
    <n v="22"/>
    <x v="126"/>
    <n v="25.12"/>
    <n v="4837"/>
  </r>
  <r>
    <x v="58"/>
    <x v="58"/>
    <n v="22"/>
    <n v="22"/>
    <n v="0"/>
    <s v="MN"/>
    <x v="0"/>
    <n v="101"/>
    <n v="301"/>
    <x v="2"/>
    <s v="LIB"/>
    <n v="22"/>
    <x v="32"/>
    <n v="0.27"/>
    <n v="4837"/>
  </r>
  <r>
    <x v="58"/>
    <x v="58"/>
    <n v="22"/>
    <n v="22"/>
    <n v="0"/>
    <s v="MN"/>
    <x v="0"/>
    <n v="101"/>
    <n v="401"/>
    <x v="3"/>
    <s v="WTP"/>
    <n v="22"/>
    <x v="78"/>
    <n v="1.1000000000000001"/>
    <n v="4837"/>
  </r>
  <r>
    <x v="58"/>
    <x v="58"/>
    <n v="22"/>
    <n v="22"/>
    <n v="0"/>
    <s v="MN"/>
    <x v="0"/>
    <n v="101"/>
    <n v="501"/>
    <x v="4"/>
    <s v="G"/>
    <n v="22"/>
    <x v="44"/>
    <n v="0.08"/>
    <n v="4837"/>
  </r>
  <r>
    <x v="58"/>
    <x v="58"/>
    <n v="22"/>
    <n v="22"/>
    <n v="0"/>
    <s v="MN"/>
    <x v="0"/>
    <n v="101"/>
    <n v="601"/>
    <x v="5"/>
    <s v="SLP"/>
    <n v="22"/>
    <x v="23"/>
    <n v="0.04"/>
    <n v="4837"/>
  </r>
  <r>
    <x v="58"/>
    <x v="58"/>
    <n v="22"/>
    <n v="22"/>
    <n v="0"/>
    <s v="MN"/>
    <x v="0"/>
    <n v="101"/>
    <n v="701"/>
    <x v="6"/>
    <s v="SWP"/>
    <n v="22"/>
    <x v="5"/>
    <n v="0"/>
    <n v="4837"/>
  </r>
  <r>
    <x v="58"/>
    <x v="58"/>
    <n v="22"/>
    <n v="22"/>
    <n v="0"/>
    <s v="MN"/>
    <x v="0"/>
    <n v="101"/>
    <n v="801"/>
    <x v="7"/>
    <s v="JFA"/>
    <n v="22"/>
    <x v="23"/>
    <n v="0.04"/>
    <n v="4837"/>
  </r>
  <r>
    <x v="58"/>
    <x v="58"/>
    <n v="22"/>
    <n v="22"/>
    <n v="0"/>
    <s v="MN"/>
    <x v="0"/>
    <n v="101"/>
    <n v="901"/>
    <x v="8"/>
    <s v="IND"/>
    <n v="22"/>
    <x v="23"/>
    <n v="0.04"/>
    <n v="4837"/>
  </r>
  <r>
    <x v="58"/>
    <x v="58"/>
    <n v="22"/>
    <n v="22"/>
    <n v="0"/>
    <s v="MN"/>
    <x v="0"/>
    <n v="101"/>
    <n v="9901"/>
    <x v="9"/>
    <s v="WI"/>
    <n v="22"/>
    <x v="105"/>
    <n v="0.19"/>
    <n v="4837"/>
  </r>
  <r>
    <x v="59"/>
    <x v="59"/>
    <n v="82"/>
    <n v="82"/>
    <n v="0"/>
    <s v="MN"/>
    <x v="0"/>
    <n v="101"/>
    <n v="101"/>
    <x v="0"/>
    <s v="R"/>
    <n v="82"/>
    <x v="265"/>
    <n v="65.91"/>
    <n v="15419"/>
  </r>
  <r>
    <x v="59"/>
    <x v="59"/>
    <n v="82"/>
    <n v="82"/>
    <n v="0"/>
    <s v="MN"/>
    <x v="0"/>
    <n v="101"/>
    <n v="201"/>
    <x v="1"/>
    <s v="DFL"/>
    <n v="82"/>
    <x v="266"/>
    <n v="32.21"/>
    <n v="15419"/>
  </r>
  <r>
    <x v="59"/>
    <x v="59"/>
    <n v="82"/>
    <n v="82"/>
    <n v="0"/>
    <s v="MN"/>
    <x v="0"/>
    <n v="101"/>
    <n v="301"/>
    <x v="2"/>
    <s v="LIB"/>
    <n v="82"/>
    <x v="69"/>
    <n v="0.34"/>
    <n v="15419"/>
  </r>
  <r>
    <x v="59"/>
    <x v="59"/>
    <n v="82"/>
    <n v="82"/>
    <n v="0"/>
    <s v="MN"/>
    <x v="0"/>
    <n v="101"/>
    <n v="401"/>
    <x v="3"/>
    <s v="WTP"/>
    <n v="82"/>
    <x v="157"/>
    <n v="0.93"/>
    <n v="15419"/>
  </r>
  <r>
    <x v="59"/>
    <x v="59"/>
    <n v="82"/>
    <n v="82"/>
    <n v="0"/>
    <s v="MN"/>
    <x v="0"/>
    <n v="101"/>
    <n v="501"/>
    <x v="4"/>
    <s v="G"/>
    <n v="82"/>
    <x v="8"/>
    <n v="0.18"/>
    <n v="15419"/>
  </r>
  <r>
    <x v="59"/>
    <x v="59"/>
    <n v="82"/>
    <n v="82"/>
    <n v="0"/>
    <s v="MN"/>
    <x v="0"/>
    <n v="101"/>
    <n v="601"/>
    <x v="5"/>
    <s v="SLP"/>
    <n v="82"/>
    <x v="45"/>
    <n v="0.06"/>
    <n v="15419"/>
  </r>
  <r>
    <x v="59"/>
    <x v="59"/>
    <n v="82"/>
    <n v="82"/>
    <n v="0"/>
    <s v="MN"/>
    <x v="0"/>
    <n v="101"/>
    <n v="701"/>
    <x v="6"/>
    <s v="SWP"/>
    <n v="82"/>
    <x v="23"/>
    <n v="0.01"/>
    <n v="15419"/>
  </r>
  <r>
    <x v="59"/>
    <x v="59"/>
    <n v="82"/>
    <n v="82"/>
    <n v="0"/>
    <s v="MN"/>
    <x v="0"/>
    <n v="101"/>
    <n v="801"/>
    <x v="7"/>
    <s v="JFA"/>
    <n v="82"/>
    <x v="45"/>
    <n v="0.06"/>
    <n v="15419"/>
  </r>
  <r>
    <x v="59"/>
    <x v="59"/>
    <n v="82"/>
    <n v="82"/>
    <n v="0"/>
    <s v="MN"/>
    <x v="0"/>
    <n v="101"/>
    <n v="901"/>
    <x v="8"/>
    <s v="IND"/>
    <n v="82"/>
    <x v="42"/>
    <n v="0.09"/>
    <n v="15419"/>
  </r>
  <r>
    <x v="59"/>
    <x v="59"/>
    <n v="82"/>
    <n v="82"/>
    <n v="0"/>
    <s v="MN"/>
    <x v="0"/>
    <n v="101"/>
    <n v="9901"/>
    <x v="9"/>
    <s v="WI"/>
    <n v="82"/>
    <x v="109"/>
    <n v="0.21"/>
    <n v="15419"/>
  </r>
  <r>
    <x v="60"/>
    <x v="60"/>
    <n v="31"/>
    <n v="31"/>
    <n v="0"/>
    <s v="MN"/>
    <x v="0"/>
    <n v="101"/>
    <n v="101"/>
    <x v="0"/>
    <s v="R"/>
    <n v="31"/>
    <x v="267"/>
    <n v="64.8"/>
    <n v="7218"/>
  </r>
  <r>
    <x v="60"/>
    <x v="60"/>
    <n v="31"/>
    <n v="31"/>
    <n v="0"/>
    <s v="MN"/>
    <x v="0"/>
    <n v="101"/>
    <n v="201"/>
    <x v="1"/>
    <s v="DFL"/>
    <n v="31"/>
    <x v="268"/>
    <n v="33.22"/>
    <n v="7218"/>
  </r>
  <r>
    <x v="60"/>
    <x v="60"/>
    <n v="31"/>
    <n v="31"/>
    <n v="0"/>
    <s v="MN"/>
    <x v="0"/>
    <n v="101"/>
    <n v="301"/>
    <x v="2"/>
    <s v="LIB"/>
    <n v="31"/>
    <x v="76"/>
    <n v="0.32"/>
    <n v="7218"/>
  </r>
  <r>
    <x v="60"/>
    <x v="60"/>
    <n v="31"/>
    <n v="31"/>
    <n v="0"/>
    <s v="MN"/>
    <x v="0"/>
    <n v="101"/>
    <n v="401"/>
    <x v="3"/>
    <s v="WTP"/>
    <n v="31"/>
    <x v="148"/>
    <n v="0.98"/>
    <n v="7218"/>
  </r>
  <r>
    <x v="60"/>
    <x v="60"/>
    <n v="31"/>
    <n v="31"/>
    <n v="0"/>
    <s v="MN"/>
    <x v="0"/>
    <n v="101"/>
    <n v="501"/>
    <x v="4"/>
    <s v="G"/>
    <n v="31"/>
    <x v="45"/>
    <n v="0.14000000000000001"/>
    <n v="7218"/>
  </r>
  <r>
    <x v="60"/>
    <x v="60"/>
    <n v="31"/>
    <n v="31"/>
    <n v="0"/>
    <s v="MN"/>
    <x v="0"/>
    <n v="101"/>
    <n v="601"/>
    <x v="5"/>
    <s v="SLP"/>
    <n v="31"/>
    <x v="5"/>
    <n v="0"/>
    <n v="7218"/>
  </r>
  <r>
    <x v="60"/>
    <x v="60"/>
    <n v="31"/>
    <n v="31"/>
    <n v="0"/>
    <s v="MN"/>
    <x v="0"/>
    <n v="101"/>
    <n v="701"/>
    <x v="6"/>
    <s v="SWP"/>
    <n v="31"/>
    <x v="6"/>
    <n v="0.01"/>
    <n v="7218"/>
  </r>
  <r>
    <x v="60"/>
    <x v="60"/>
    <n v="31"/>
    <n v="31"/>
    <n v="0"/>
    <s v="MN"/>
    <x v="0"/>
    <n v="101"/>
    <n v="801"/>
    <x v="7"/>
    <s v="JFA"/>
    <n v="31"/>
    <x v="49"/>
    <n v="0.08"/>
    <n v="7218"/>
  </r>
  <r>
    <x v="60"/>
    <x v="60"/>
    <n v="31"/>
    <n v="31"/>
    <n v="0"/>
    <s v="MN"/>
    <x v="0"/>
    <n v="101"/>
    <n v="901"/>
    <x v="8"/>
    <s v="IND"/>
    <n v="31"/>
    <x v="33"/>
    <n v="7.0000000000000007E-2"/>
    <n v="7218"/>
  </r>
  <r>
    <x v="60"/>
    <x v="60"/>
    <n v="31"/>
    <n v="31"/>
    <n v="0"/>
    <s v="MN"/>
    <x v="0"/>
    <n v="101"/>
    <n v="9901"/>
    <x v="9"/>
    <s v="WI"/>
    <n v="31"/>
    <x v="8"/>
    <n v="0.37"/>
    <n v="7218"/>
  </r>
  <r>
    <x v="61"/>
    <x v="61"/>
    <n v="162"/>
    <n v="162"/>
    <n v="0"/>
    <s v="MN"/>
    <x v="0"/>
    <n v="101"/>
    <n v="101"/>
    <x v="0"/>
    <s v="R"/>
    <n v="162"/>
    <x v="269"/>
    <n v="27.08"/>
    <n v="278025"/>
  </r>
  <r>
    <x v="61"/>
    <x v="61"/>
    <n v="162"/>
    <n v="162"/>
    <n v="0"/>
    <s v="MN"/>
    <x v="0"/>
    <n v="101"/>
    <n v="201"/>
    <x v="1"/>
    <s v="DFL"/>
    <n v="162"/>
    <x v="270"/>
    <n v="70.2"/>
    <n v="278025"/>
  </r>
  <r>
    <x v="61"/>
    <x v="61"/>
    <n v="162"/>
    <n v="162"/>
    <n v="0"/>
    <s v="MN"/>
    <x v="0"/>
    <n v="101"/>
    <n v="301"/>
    <x v="2"/>
    <s v="LIB"/>
    <n v="162"/>
    <x v="271"/>
    <n v="0.48"/>
    <n v="278025"/>
  </r>
  <r>
    <x v="61"/>
    <x v="61"/>
    <n v="162"/>
    <n v="162"/>
    <n v="0"/>
    <s v="MN"/>
    <x v="0"/>
    <n v="101"/>
    <n v="401"/>
    <x v="3"/>
    <s v="WTP"/>
    <n v="162"/>
    <x v="272"/>
    <n v="0.55000000000000004"/>
    <n v="278025"/>
  </r>
  <r>
    <x v="61"/>
    <x v="61"/>
    <n v="162"/>
    <n v="162"/>
    <n v="0"/>
    <s v="MN"/>
    <x v="0"/>
    <n v="101"/>
    <n v="501"/>
    <x v="4"/>
    <s v="G"/>
    <n v="162"/>
    <x v="273"/>
    <n v="0.77"/>
    <n v="278025"/>
  </r>
  <r>
    <x v="61"/>
    <x v="61"/>
    <n v="162"/>
    <n v="162"/>
    <n v="0"/>
    <s v="MN"/>
    <x v="0"/>
    <n v="101"/>
    <n v="601"/>
    <x v="5"/>
    <s v="SLP"/>
    <n v="162"/>
    <x v="274"/>
    <n v="0.2"/>
    <n v="278025"/>
  </r>
  <r>
    <x v="61"/>
    <x v="61"/>
    <n v="162"/>
    <n v="162"/>
    <n v="0"/>
    <s v="MN"/>
    <x v="0"/>
    <n v="101"/>
    <n v="701"/>
    <x v="6"/>
    <s v="SWP"/>
    <n v="162"/>
    <x v="67"/>
    <n v="0.03"/>
    <n v="278025"/>
  </r>
  <r>
    <x v="61"/>
    <x v="61"/>
    <n v="162"/>
    <n v="162"/>
    <n v="0"/>
    <s v="MN"/>
    <x v="0"/>
    <n v="101"/>
    <n v="801"/>
    <x v="7"/>
    <s v="JFA"/>
    <n v="162"/>
    <x v="275"/>
    <n v="0.17"/>
    <n v="278025"/>
  </r>
  <r>
    <x v="61"/>
    <x v="61"/>
    <n v="162"/>
    <n v="162"/>
    <n v="0"/>
    <s v="MN"/>
    <x v="0"/>
    <n v="101"/>
    <n v="901"/>
    <x v="8"/>
    <s v="IND"/>
    <n v="162"/>
    <x v="276"/>
    <n v="7.0000000000000007E-2"/>
    <n v="278025"/>
  </r>
  <r>
    <x v="61"/>
    <x v="61"/>
    <n v="162"/>
    <n v="162"/>
    <n v="0"/>
    <s v="MN"/>
    <x v="0"/>
    <n v="101"/>
    <n v="9901"/>
    <x v="9"/>
    <s v="WI"/>
    <n v="162"/>
    <x v="277"/>
    <n v="0.46"/>
    <n v="278025"/>
  </r>
  <r>
    <x v="62"/>
    <x v="62"/>
    <n v="21"/>
    <n v="21"/>
    <n v="0"/>
    <s v="MN"/>
    <x v="0"/>
    <n v="101"/>
    <n v="101"/>
    <x v="0"/>
    <s v="R"/>
    <n v="21"/>
    <x v="278"/>
    <n v="67.34"/>
    <n v="2116"/>
  </r>
  <r>
    <x v="62"/>
    <x v="62"/>
    <n v="21"/>
    <n v="21"/>
    <n v="0"/>
    <s v="MN"/>
    <x v="0"/>
    <n v="101"/>
    <n v="201"/>
    <x v="1"/>
    <s v="DFL"/>
    <n v="21"/>
    <x v="279"/>
    <n v="30.34"/>
    <n v="2116"/>
  </r>
  <r>
    <x v="62"/>
    <x v="62"/>
    <n v="21"/>
    <n v="21"/>
    <n v="0"/>
    <s v="MN"/>
    <x v="0"/>
    <n v="101"/>
    <n v="301"/>
    <x v="2"/>
    <s v="LIB"/>
    <n v="21"/>
    <x v="62"/>
    <n v="0.33"/>
    <n v="2116"/>
  </r>
  <r>
    <x v="62"/>
    <x v="62"/>
    <n v="21"/>
    <n v="21"/>
    <n v="0"/>
    <s v="MN"/>
    <x v="0"/>
    <n v="101"/>
    <n v="401"/>
    <x v="3"/>
    <s v="WTP"/>
    <n v="21"/>
    <x v="35"/>
    <n v="1.32"/>
    <n v="2116"/>
  </r>
  <r>
    <x v="62"/>
    <x v="62"/>
    <n v="21"/>
    <n v="21"/>
    <n v="0"/>
    <s v="MN"/>
    <x v="0"/>
    <n v="101"/>
    <n v="501"/>
    <x v="4"/>
    <s v="G"/>
    <n v="21"/>
    <x v="49"/>
    <n v="0.28000000000000003"/>
    <n v="2116"/>
  </r>
  <r>
    <x v="62"/>
    <x v="62"/>
    <n v="21"/>
    <n v="21"/>
    <n v="0"/>
    <s v="MN"/>
    <x v="0"/>
    <n v="101"/>
    <n v="601"/>
    <x v="5"/>
    <s v="SLP"/>
    <n v="21"/>
    <x v="5"/>
    <n v="0"/>
    <n v="2116"/>
  </r>
  <r>
    <x v="62"/>
    <x v="62"/>
    <n v="21"/>
    <n v="21"/>
    <n v="0"/>
    <s v="MN"/>
    <x v="0"/>
    <n v="101"/>
    <n v="701"/>
    <x v="6"/>
    <s v="SWP"/>
    <n v="21"/>
    <x v="6"/>
    <n v="0.05"/>
    <n v="2116"/>
  </r>
  <r>
    <x v="62"/>
    <x v="62"/>
    <n v="21"/>
    <n v="21"/>
    <n v="0"/>
    <s v="MN"/>
    <x v="0"/>
    <n v="101"/>
    <n v="801"/>
    <x v="7"/>
    <s v="JFA"/>
    <n v="21"/>
    <x v="5"/>
    <n v="0"/>
    <n v="2116"/>
  </r>
  <r>
    <x v="62"/>
    <x v="62"/>
    <n v="21"/>
    <n v="21"/>
    <n v="0"/>
    <s v="MN"/>
    <x v="0"/>
    <n v="101"/>
    <n v="901"/>
    <x v="8"/>
    <s v="IND"/>
    <n v="21"/>
    <x v="6"/>
    <n v="0.05"/>
    <n v="2116"/>
  </r>
  <r>
    <x v="62"/>
    <x v="62"/>
    <n v="21"/>
    <n v="21"/>
    <n v="0"/>
    <s v="MN"/>
    <x v="0"/>
    <n v="101"/>
    <n v="9901"/>
    <x v="9"/>
    <s v="WI"/>
    <n v="21"/>
    <x v="49"/>
    <n v="0.28000000000000003"/>
    <n v="2116"/>
  </r>
  <r>
    <x v="63"/>
    <x v="63"/>
    <n v="42"/>
    <n v="42"/>
    <n v="0"/>
    <s v="MN"/>
    <x v="0"/>
    <n v="101"/>
    <n v="101"/>
    <x v="0"/>
    <s v="R"/>
    <n v="42"/>
    <x v="280"/>
    <n v="70.8"/>
    <n v="8326"/>
  </r>
  <r>
    <x v="63"/>
    <x v="63"/>
    <n v="42"/>
    <n v="42"/>
    <n v="0"/>
    <s v="MN"/>
    <x v="0"/>
    <n v="101"/>
    <n v="201"/>
    <x v="1"/>
    <s v="DFL"/>
    <n v="42"/>
    <x v="281"/>
    <n v="27.62"/>
    <n v="8326"/>
  </r>
  <r>
    <x v="63"/>
    <x v="63"/>
    <n v="42"/>
    <n v="42"/>
    <n v="0"/>
    <s v="MN"/>
    <x v="0"/>
    <n v="101"/>
    <n v="301"/>
    <x v="2"/>
    <s v="LIB"/>
    <n v="42"/>
    <x v="57"/>
    <n v="0.28999999999999998"/>
    <n v="8326"/>
  </r>
  <r>
    <x v="63"/>
    <x v="63"/>
    <n v="42"/>
    <n v="42"/>
    <n v="0"/>
    <s v="MN"/>
    <x v="0"/>
    <n v="101"/>
    <n v="401"/>
    <x v="3"/>
    <s v="WTP"/>
    <n v="42"/>
    <x v="179"/>
    <n v="0.78"/>
    <n v="8326"/>
  </r>
  <r>
    <x v="63"/>
    <x v="63"/>
    <n v="42"/>
    <n v="42"/>
    <n v="0"/>
    <s v="MN"/>
    <x v="0"/>
    <n v="101"/>
    <n v="501"/>
    <x v="4"/>
    <s v="G"/>
    <n v="42"/>
    <x v="24"/>
    <n v="0.1"/>
    <n v="8326"/>
  </r>
  <r>
    <x v="63"/>
    <x v="63"/>
    <n v="42"/>
    <n v="42"/>
    <n v="0"/>
    <s v="MN"/>
    <x v="0"/>
    <n v="101"/>
    <n v="601"/>
    <x v="5"/>
    <s v="SLP"/>
    <n v="42"/>
    <x v="6"/>
    <n v="0.01"/>
    <n v="8326"/>
  </r>
  <r>
    <x v="63"/>
    <x v="63"/>
    <n v="42"/>
    <n v="42"/>
    <n v="0"/>
    <s v="MN"/>
    <x v="0"/>
    <n v="101"/>
    <n v="701"/>
    <x v="6"/>
    <s v="SWP"/>
    <n v="42"/>
    <x v="5"/>
    <n v="0"/>
    <n v="8326"/>
  </r>
  <r>
    <x v="63"/>
    <x v="63"/>
    <n v="42"/>
    <n v="42"/>
    <n v="0"/>
    <s v="MN"/>
    <x v="0"/>
    <n v="101"/>
    <n v="801"/>
    <x v="7"/>
    <s v="JFA"/>
    <n v="42"/>
    <x v="43"/>
    <n v="0.04"/>
    <n v="8326"/>
  </r>
  <r>
    <x v="63"/>
    <x v="63"/>
    <n v="42"/>
    <n v="42"/>
    <n v="0"/>
    <s v="MN"/>
    <x v="0"/>
    <n v="101"/>
    <n v="901"/>
    <x v="8"/>
    <s v="IND"/>
    <n v="42"/>
    <x v="43"/>
    <n v="0.04"/>
    <n v="8326"/>
  </r>
  <r>
    <x v="63"/>
    <x v="63"/>
    <n v="42"/>
    <n v="42"/>
    <n v="0"/>
    <s v="MN"/>
    <x v="0"/>
    <n v="101"/>
    <n v="9901"/>
    <x v="9"/>
    <s v="WI"/>
    <n v="42"/>
    <x v="8"/>
    <n v="0.32"/>
    <n v="8326"/>
  </r>
  <r>
    <x v="64"/>
    <x v="64"/>
    <n v="37"/>
    <n v="37"/>
    <n v="0"/>
    <s v="MN"/>
    <x v="0"/>
    <n v="101"/>
    <n v="101"/>
    <x v="0"/>
    <s v="R"/>
    <n v="37"/>
    <x v="282"/>
    <n v="69.62"/>
    <n v="8058"/>
  </r>
  <r>
    <x v="64"/>
    <x v="64"/>
    <n v="37"/>
    <n v="37"/>
    <n v="0"/>
    <s v="MN"/>
    <x v="0"/>
    <n v="101"/>
    <n v="201"/>
    <x v="1"/>
    <s v="DFL"/>
    <n v="37"/>
    <x v="283"/>
    <n v="28.29"/>
    <n v="8058"/>
  </r>
  <r>
    <x v="64"/>
    <x v="64"/>
    <n v="37"/>
    <n v="37"/>
    <n v="0"/>
    <s v="MN"/>
    <x v="0"/>
    <n v="101"/>
    <n v="301"/>
    <x v="2"/>
    <s v="LIB"/>
    <n v="37"/>
    <x v="77"/>
    <n v="0.37"/>
    <n v="8058"/>
  </r>
  <r>
    <x v="64"/>
    <x v="64"/>
    <n v="37"/>
    <n v="37"/>
    <n v="0"/>
    <s v="MN"/>
    <x v="0"/>
    <n v="101"/>
    <n v="401"/>
    <x v="3"/>
    <s v="WTP"/>
    <n v="37"/>
    <x v="135"/>
    <n v="1.08"/>
    <n v="8058"/>
  </r>
  <r>
    <x v="64"/>
    <x v="64"/>
    <n v="37"/>
    <n v="37"/>
    <n v="0"/>
    <s v="MN"/>
    <x v="0"/>
    <n v="101"/>
    <n v="501"/>
    <x v="4"/>
    <s v="G"/>
    <n v="37"/>
    <x v="88"/>
    <n v="0.2"/>
    <n v="8058"/>
  </r>
  <r>
    <x v="64"/>
    <x v="64"/>
    <n v="37"/>
    <n v="37"/>
    <n v="0"/>
    <s v="MN"/>
    <x v="0"/>
    <n v="101"/>
    <n v="601"/>
    <x v="5"/>
    <s v="SLP"/>
    <n v="37"/>
    <x v="44"/>
    <n v="0.05"/>
    <n v="8058"/>
  </r>
  <r>
    <x v="64"/>
    <x v="64"/>
    <n v="37"/>
    <n v="37"/>
    <n v="0"/>
    <s v="MN"/>
    <x v="0"/>
    <n v="101"/>
    <n v="701"/>
    <x v="6"/>
    <s v="SWP"/>
    <n v="37"/>
    <x v="5"/>
    <n v="0"/>
    <n v="8058"/>
  </r>
  <r>
    <x v="64"/>
    <x v="64"/>
    <n v="37"/>
    <n v="37"/>
    <n v="0"/>
    <s v="MN"/>
    <x v="0"/>
    <n v="101"/>
    <n v="801"/>
    <x v="7"/>
    <s v="JFA"/>
    <n v="37"/>
    <x v="43"/>
    <n v="0.04"/>
    <n v="8058"/>
  </r>
  <r>
    <x v="64"/>
    <x v="64"/>
    <n v="37"/>
    <n v="37"/>
    <n v="0"/>
    <s v="MN"/>
    <x v="0"/>
    <n v="101"/>
    <n v="901"/>
    <x v="8"/>
    <s v="IND"/>
    <n v="37"/>
    <x v="108"/>
    <n v="0.15"/>
    <n v="8058"/>
  </r>
  <r>
    <x v="64"/>
    <x v="64"/>
    <n v="37"/>
    <n v="37"/>
    <n v="0"/>
    <s v="MN"/>
    <x v="0"/>
    <n v="101"/>
    <n v="9901"/>
    <x v="9"/>
    <s v="WI"/>
    <n v="37"/>
    <x v="88"/>
    <n v="0.2"/>
    <n v="8058"/>
  </r>
  <r>
    <x v="65"/>
    <x v="65"/>
    <n v="31"/>
    <n v="31"/>
    <n v="0"/>
    <s v="MN"/>
    <x v="0"/>
    <n v="101"/>
    <n v="101"/>
    <x v="0"/>
    <s v="R"/>
    <n v="31"/>
    <x v="284"/>
    <n v="50.16"/>
    <n v="36412"/>
  </r>
  <r>
    <x v="65"/>
    <x v="65"/>
    <n v="31"/>
    <n v="31"/>
    <n v="0"/>
    <s v="MN"/>
    <x v="0"/>
    <n v="101"/>
    <n v="201"/>
    <x v="1"/>
    <s v="DFL"/>
    <n v="31"/>
    <x v="285"/>
    <n v="47.66"/>
    <n v="36412"/>
  </r>
  <r>
    <x v="65"/>
    <x v="65"/>
    <n v="31"/>
    <n v="31"/>
    <n v="0"/>
    <s v="MN"/>
    <x v="0"/>
    <n v="101"/>
    <n v="301"/>
    <x v="2"/>
    <s v="LIB"/>
    <n v="31"/>
    <x v="286"/>
    <n v="0.43"/>
    <n v="36412"/>
  </r>
  <r>
    <x v="65"/>
    <x v="65"/>
    <n v="31"/>
    <n v="31"/>
    <n v="0"/>
    <s v="MN"/>
    <x v="0"/>
    <n v="101"/>
    <n v="401"/>
    <x v="3"/>
    <s v="WTP"/>
    <n v="31"/>
    <x v="287"/>
    <n v="0.79"/>
    <n v="36412"/>
  </r>
  <r>
    <x v="65"/>
    <x v="65"/>
    <n v="31"/>
    <n v="31"/>
    <n v="0"/>
    <s v="MN"/>
    <x v="0"/>
    <n v="101"/>
    <n v="501"/>
    <x v="4"/>
    <s v="G"/>
    <n v="31"/>
    <x v="288"/>
    <n v="0.38"/>
    <n v="36412"/>
  </r>
  <r>
    <x v="65"/>
    <x v="65"/>
    <n v="31"/>
    <n v="31"/>
    <n v="0"/>
    <s v="MN"/>
    <x v="0"/>
    <n v="101"/>
    <n v="601"/>
    <x v="5"/>
    <s v="SLP"/>
    <n v="31"/>
    <x v="4"/>
    <n v="7.0000000000000007E-2"/>
    <n v="36412"/>
  </r>
  <r>
    <x v="65"/>
    <x v="65"/>
    <n v="31"/>
    <n v="31"/>
    <n v="0"/>
    <s v="MN"/>
    <x v="0"/>
    <n v="101"/>
    <n v="701"/>
    <x v="6"/>
    <s v="SWP"/>
    <n v="31"/>
    <x v="44"/>
    <n v="0.01"/>
    <n v="36412"/>
  </r>
  <r>
    <x v="65"/>
    <x v="65"/>
    <n v="31"/>
    <n v="31"/>
    <n v="0"/>
    <s v="MN"/>
    <x v="0"/>
    <n v="101"/>
    <n v="801"/>
    <x v="7"/>
    <s v="JFA"/>
    <n v="31"/>
    <x v="63"/>
    <n v="0.06"/>
    <n v="36412"/>
  </r>
  <r>
    <x v="65"/>
    <x v="65"/>
    <n v="31"/>
    <n v="31"/>
    <n v="0"/>
    <s v="MN"/>
    <x v="0"/>
    <n v="101"/>
    <n v="901"/>
    <x v="8"/>
    <s v="IND"/>
    <n v="31"/>
    <x v="83"/>
    <n v="0.09"/>
    <n v="36412"/>
  </r>
  <r>
    <x v="65"/>
    <x v="65"/>
    <n v="31"/>
    <n v="31"/>
    <n v="0"/>
    <s v="MN"/>
    <x v="0"/>
    <n v="101"/>
    <n v="9901"/>
    <x v="9"/>
    <s v="WI"/>
    <n v="31"/>
    <x v="257"/>
    <n v="0.35"/>
    <n v="36412"/>
  </r>
  <r>
    <x v="66"/>
    <x v="66"/>
    <n v="24"/>
    <n v="24"/>
    <n v="0"/>
    <s v="MN"/>
    <x v="0"/>
    <n v="101"/>
    <n v="101"/>
    <x v="0"/>
    <s v="R"/>
    <n v="24"/>
    <x v="289"/>
    <n v="68.680000000000007"/>
    <n v="5373"/>
  </r>
  <r>
    <x v="66"/>
    <x v="66"/>
    <n v="24"/>
    <n v="24"/>
    <n v="0"/>
    <s v="MN"/>
    <x v="0"/>
    <n v="101"/>
    <n v="201"/>
    <x v="1"/>
    <s v="DFL"/>
    <n v="24"/>
    <x v="290"/>
    <n v="29.5"/>
    <n v="5373"/>
  </r>
  <r>
    <x v="66"/>
    <x v="66"/>
    <n v="24"/>
    <n v="24"/>
    <n v="0"/>
    <s v="MN"/>
    <x v="0"/>
    <n v="101"/>
    <n v="301"/>
    <x v="2"/>
    <s v="LIB"/>
    <n v="24"/>
    <x v="15"/>
    <n v="0.41"/>
    <n v="5373"/>
  </r>
  <r>
    <x v="66"/>
    <x v="66"/>
    <n v="24"/>
    <n v="24"/>
    <n v="0"/>
    <s v="MN"/>
    <x v="0"/>
    <n v="101"/>
    <n v="401"/>
    <x v="3"/>
    <s v="WTP"/>
    <n v="24"/>
    <x v="143"/>
    <n v="0.86"/>
    <n v="5373"/>
  </r>
  <r>
    <x v="66"/>
    <x v="66"/>
    <n v="24"/>
    <n v="24"/>
    <n v="0"/>
    <s v="MN"/>
    <x v="0"/>
    <n v="101"/>
    <n v="501"/>
    <x v="4"/>
    <s v="G"/>
    <n v="24"/>
    <x v="105"/>
    <n v="0.17"/>
    <n v="5373"/>
  </r>
  <r>
    <x v="66"/>
    <x v="66"/>
    <n v="24"/>
    <n v="24"/>
    <n v="0"/>
    <s v="MN"/>
    <x v="0"/>
    <n v="101"/>
    <n v="601"/>
    <x v="5"/>
    <s v="SLP"/>
    <n v="24"/>
    <x v="6"/>
    <n v="0.02"/>
    <n v="5373"/>
  </r>
  <r>
    <x v="66"/>
    <x v="66"/>
    <n v="24"/>
    <n v="24"/>
    <n v="0"/>
    <s v="MN"/>
    <x v="0"/>
    <n v="101"/>
    <n v="701"/>
    <x v="6"/>
    <s v="SWP"/>
    <n v="24"/>
    <x v="23"/>
    <n v="0.04"/>
    <n v="5373"/>
  </r>
  <r>
    <x v="66"/>
    <x v="66"/>
    <n v="24"/>
    <n v="24"/>
    <n v="0"/>
    <s v="MN"/>
    <x v="0"/>
    <n v="101"/>
    <n v="801"/>
    <x v="7"/>
    <s v="JFA"/>
    <n v="24"/>
    <x v="23"/>
    <n v="0.04"/>
    <n v="5373"/>
  </r>
  <r>
    <x v="66"/>
    <x v="66"/>
    <n v="24"/>
    <n v="24"/>
    <n v="0"/>
    <s v="MN"/>
    <x v="0"/>
    <n v="101"/>
    <n v="901"/>
    <x v="8"/>
    <s v="IND"/>
    <n v="24"/>
    <x v="44"/>
    <n v="7.0000000000000007E-2"/>
    <n v="5373"/>
  </r>
  <r>
    <x v="66"/>
    <x v="66"/>
    <n v="24"/>
    <n v="24"/>
    <n v="0"/>
    <s v="MN"/>
    <x v="0"/>
    <n v="101"/>
    <n v="9901"/>
    <x v="9"/>
    <s v="WI"/>
    <n v="24"/>
    <x v="108"/>
    <n v="0.22"/>
    <n v="5373"/>
  </r>
  <r>
    <x v="67"/>
    <x v="67"/>
    <n v="44"/>
    <n v="44"/>
    <n v="0"/>
    <s v="MN"/>
    <x v="0"/>
    <n v="101"/>
    <n v="101"/>
    <x v="0"/>
    <s v="R"/>
    <n v="44"/>
    <x v="291"/>
    <n v="73.88"/>
    <n v="8499"/>
  </r>
  <r>
    <x v="67"/>
    <x v="67"/>
    <n v="44"/>
    <n v="44"/>
    <n v="0"/>
    <s v="MN"/>
    <x v="0"/>
    <n v="101"/>
    <n v="201"/>
    <x v="1"/>
    <s v="DFL"/>
    <n v="44"/>
    <x v="292"/>
    <n v="24.63"/>
    <n v="8499"/>
  </r>
  <r>
    <x v="67"/>
    <x v="67"/>
    <n v="44"/>
    <n v="44"/>
    <n v="0"/>
    <s v="MN"/>
    <x v="0"/>
    <n v="101"/>
    <n v="301"/>
    <x v="2"/>
    <s v="LIB"/>
    <n v="44"/>
    <x v="88"/>
    <n v="0.19"/>
    <n v="8499"/>
  </r>
  <r>
    <x v="67"/>
    <x v="67"/>
    <n v="44"/>
    <n v="44"/>
    <n v="0"/>
    <s v="MN"/>
    <x v="0"/>
    <n v="101"/>
    <n v="401"/>
    <x v="3"/>
    <s v="WTP"/>
    <n v="44"/>
    <x v="293"/>
    <n v="0.78"/>
    <n v="8499"/>
  </r>
  <r>
    <x v="67"/>
    <x v="67"/>
    <n v="44"/>
    <n v="44"/>
    <n v="0"/>
    <s v="MN"/>
    <x v="0"/>
    <n v="101"/>
    <n v="501"/>
    <x v="4"/>
    <s v="G"/>
    <n v="44"/>
    <x v="7"/>
    <n v="0.18"/>
    <n v="8499"/>
  </r>
  <r>
    <x v="67"/>
    <x v="67"/>
    <n v="44"/>
    <n v="44"/>
    <n v="0"/>
    <s v="MN"/>
    <x v="0"/>
    <n v="101"/>
    <n v="601"/>
    <x v="5"/>
    <s v="SLP"/>
    <n v="44"/>
    <x v="6"/>
    <n v="0.01"/>
    <n v="8499"/>
  </r>
  <r>
    <x v="67"/>
    <x v="67"/>
    <n v="44"/>
    <n v="44"/>
    <n v="0"/>
    <s v="MN"/>
    <x v="0"/>
    <n v="101"/>
    <n v="701"/>
    <x v="6"/>
    <s v="SWP"/>
    <n v="44"/>
    <x v="23"/>
    <n v="0.02"/>
    <n v="8499"/>
  </r>
  <r>
    <x v="67"/>
    <x v="67"/>
    <n v="44"/>
    <n v="44"/>
    <n v="0"/>
    <s v="MN"/>
    <x v="0"/>
    <n v="101"/>
    <n v="801"/>
    <x v="7"/>
    <s v="JFA"/>
    <n v="44"/>
    <x v="44"/>
    <n v="0.05"/>
    <n v="8499"/>
  </r>
  <r>
    <x v="67"/>
    <x v="67"/>
    <n v="44"/>
    <n v="44"/>
    <n v="0"/>
    <s v="MN"/>
    <x v="0"/>
    <n v="101"/>
    <n v="901"/>
    <x v="8"/>
    <s v="IND"/>
    <n v="44"/>
    <x v="45"/>
    <n v="0.12"/>
    <n v="8499"/>
  </r>
  <r>
    <x v="67"/>
    <x v="67"/>
    <n v="44"/>
    <n v="44"/>
    <n v="0"/>
    <s v="MN"/>
    <x v="0"/>
    <n v="101"/>
    <n v="9901"/>
    <x v="9"/>
    <s v="WI"/>
    <n v="44"/>
    <x v="32"/>
    <n v="0.15"/>
    <n v="8499"/>
  </r>
  <r>
    <x v="68"/>
    <x v="68"/>
    <n v="168"/>
    <n v="168"/>
    <n v="0"/>
    <s v="MN"/>
    <x v="0"/>
    <n v="101"/>
    <n v="101"/>
    <x v="0"/>
    <s v="R"/>
    <n v="168"/>
    <x v="294"/>
    <n v="42.07"/>
    <n v="119009"/>
  </r>
  <r>
    <x v="68"/>
    <x v="68"/>
    <n v="168"/>
    <n v="168"/>
    <n v="0"/>
    <s v="MN"/>
    <x v="0"/>
    <n v="101"/>
    <n v="201"/>
    <x v="1"/>
    <s v="DFL"/>
    <n v="168"/>
    <x v="295"/>
    <n v="55.74"/>
    <n v="119009"/>
  </r>
  <r>
    <x v="68"/>
    <x v="68"/>
    <n v="168"/>
    <n v="168"/>
    <n v="0"/>
    <s v="MN"/>
    <x v="0"/>
    <n v="101"/>
    <n v="301"/>
    <x v="2"/>
    <s v="LIB"/>
    <n v="168"/>
    <x v="296"/>
    <n v="0.43"/>
    <n v="119009"/>
  </r>
  <r>
    <x v="68"/>
    <x v="68"/>
    <n v="168"/>
    <n v="168"/>
    <n v="0"/>
    <s v="MN"/>
    <x v="0"/>
    <n v="101"/>
    <n v="401"/>
    <x v="3"/>
    <s v="WTP"/>
    <n v="168"/>
    <x v="217"/>
    <n v="0.82"/>
    <n v="119009"/>
  </r>
  <r>
    <x v="68"/>
    <x v="68"/>
    <n v="168"/>
    <n v="168"/>
    <n v="0"/>
    <s v="MN"/>
    <x v="0"/>
    <n v="101"/>
    <n v="501"/>
    <x v="4"/>
    <s v="G"/>
    <n v="168"/>
    <x v="297"/>
    <n v="0.36"/>
    <n v="119009"/>
  </r>
  <r>
    <x v="68"/>
    <x v="68"/>
    <n v="168"/>
    <n v="168"/>
    <n v="0"/>
    <s v="MN"/>
    <x v="0"/>
    <n v="101"/>
    <n v="601"/>
    <x v="5"/>
    <s v="SLP"/>
    <n v="168"/>
    <x v="298"/>
    <n v="7.0000000000000007E-2"/>
    <n v="119009"/>
  </r>
  <r>
    <x v="68"/>
    <x v="68"/>
    <n v="168"/>
    <n v="168"/>
    <n v="0"/>
    <s v="MN"/>
    <x v="0"/>
    <n v="101"/>
    <n v="701"/>
    <x v="6"/>
    <s v="SWP"/>
    <n v="168"/>
    <x v="25"/>
    <n v="0.02"/>
    <n v="119009"/>
  </r>
  <r>
    <x v="68"/>
    <x v="68"/>
    <n v="168"/>
    <n v="168"/>
    <n v="0"/>
    <s v="MN"/>
    <x v="0"/>
    <n v="101"/>
    <n v="801"/>
    <x v="7"/>
    <s v="JFA"/>
    <n v="168"/>
    <x v="148"/>
    <n v="0.06"/>
    <n v="119009"/>
  </r>
  <r>
    <x v="68"/>
    <x v="68"/>
    <n v="168"/>
    <n v="168"/>
    <n v="0"/>
    <s v="MN"/>
    <x v="0"/>
    <n v="101"/>
    <n v="901"/>
    <x v="8"/>
    <s v="IND"/>
    <n v="168"/>
    <x v="299"/>
    <n v="0.09"/>
    <n v="119009"/>
  </r>
  <r>
    <x v="68"/>
    <x v="68"/>
    <n v="168"/>
    <n v="168"/>
    <n v="0"/>
    <s v="MN"/>
    <x v="0"/>
    <n v="101"/>
    <n v="9901"/>
    <x v="9"/>
    <s v="WI"/>
    <n v="168"/>
    <x v="300"/>
    <n v="0.35"/>
    <n v="119009"/>
  </r>
  <r>
    <x v="69"/>
    <x v="69"/>
    <n v="54"/>
    <n v="54"/>
    <n v="0"/>
    <s v="MN"/>
    <x v="0"/>
    <n v="101"/>
    <n v="101"/>
    <x v="0"/>
    <s v="R"/>
    <n v="54"/>
    <x v="301"/>
    <n v="53.07"/>
    <n v="90141"/>
  </r>
  <r>
    <x v="69"/>
    <x v="69"/>
    <n v="54"/>
    <n v="54"/>
    <n v="0"/>
    <s v="MN"/>
    <x v="0"/>
    <n v="101"/>
    <n v="201"/>
    <x v="1"/>
    <s v="DFL"/>
    <n v="54"/>
    <x v="302"/>
    <n v="44.61"/>
    <n v="90141"/>
  </r>
  <r>
    <x v="69"/>
    <x v="69"/>
    <n v="54"/>
    <n v="54"/>
    <n v="0"/>
    <s v="MN"/>
    <x v="0"/>
    <n v="101"/>
    <n v="301"/>
    <x v="2"/>
    <s v="LIB"/>
    <n v="54"/>
    <x v="248"/>
    <n v="0.55000000000000004"/>
    <n v="90141"/>
  </r>
  <r>
    <x v="69"/>
    <x v="69"/>
    <n v="54"/>
    <n v="54"/>
    <n v="0"/>
    <s v="MN"/>
    <x v="0"/>
    <n v="101"/>
    <n v="401"/>
    <x v="3"/>
    <s v="WTP"/>
    <n v="54"/>
    <x v="303"/>
    <n v="0.75"/>
    <n v="90141"/>
  </r>
  <r>
    <x v="69"/>
    <x v="69"/>
    <n v="54"/>
    <n v="54"/>
    <n v="0"/>
    <s v="MN"/>
    <x v="0"/>
    <n v="101"/>
    <n v="501"/>
    <x v="4"/>
    <s v="G"/>
    <n v="54"/>
    <x v="252"/>
    <n v="0.44"/>
    <n v="90141"/>
  </r>
  <r>
    <x v="69"/>
    <x v="69"/>
    <n v="54"/>
    <n v="54"/>
    <n v="0"/>
    <s v="MN"/>
    <x v="0"/>
    <n v="101"/>
    <n v="601"/>
    <x v="5"/>
    <s v="SLP"/>
    <n v="54"/>
    <x v="35"/>
    <n v="0.03"/>
    <n v="90141"/>
  </r>
  <r>
    <x v="69"/>
    <x v="69"/>
    <n v="54"/>
    <n v="54"/>
    <n v="0"/>
    <s v="MN"/>
    <x v="0"/>
    <n v="101"/>
    <n v="701"/>
    <x v="6"/>
    <s v="SWP"/>
    <n v="54"/>
    <x v="33"/>
    <n v="0.01"/>
    <n v="90141"/>
  </r>
  <r>
    <x v="69"/>
    <x v="69"/>
    <n v="54"/>
    <n v="54"/>
    <n v="0"/>
    <s v="MN"/>
    <x v="0"/>
    <n v="101"/>
    <n v="801"/>
    <x v="7"/>
    <s v="JFA"/>
    <n v="54"/>
    <x v="304"/>
    <n v="0.08"/>
    <n v="90141"/>
  </r>
  <r>
    <x v="69"/>
    <x v="69"/>
    <n v="54"/>
    <n v="54"/>
    <n v="0"/>
    <s v="MN"/>
    <x v="0"/>
    <n v="101"/>
    <n v="901"/>
    <x v="8"/>
    <s v="IND"/>
    <n v="54"/>
    <x v="240"/>
    <n v="0.09"/>
    <n v="90141"/>
  </r>
  <r>
    <x v="69"/>
    <x v="69"/>
    <n v="54"/>
    <n v="54"/>
    <n v="0"/>
    <s v="MN"/>
    <x v="0"/>
    <n v="101"/>
    <n v="9901"/>
    <x v="9"/>
    <s v="WI"/>
    <n v="54"/>
    <x v="305"/>
    <n v="0.37"/>
    <n v="90141"/>
  </r>
  <r>
    <x v="70"/>
    <x v="70"/>
    <n v="35"/>
    <n v="35"/>
    <n v="0"/>
    <s v="MN"/>
    <x v="0"/>
    <n v="101"/>
    <n v="101"/>
    <x v="0"/>
    <s v="R"/>
    <n v="35"/>
    <x v="306"/>
    <n v="66.41"/>
    <n v="57960"/>
  </r>
  <r>
    <x v="70"/>
    <x v="70"/>
    <n v="35"/>
    <n v="35"/>
    <n v="0"/>
    <s v="MN"/>
    <x v="0"/>
    <n v="101"/>
    <n v="201"/>
    <x v="1"/>
    <s v="DFL"/>
    <n v="35"/>
    <x v="307"/>
    <n v="31.62"/>
    <n v="57960"/>
  </r>
  <r>
    <x v="70"/>
    <x v="70"/>
    <n v="35"/>
    <n v="35"/>
    <n v="0"/>
    <s v="MN"/>
    <x v="0"/>
    <n v="101"/>
    <n v="301"/>
    <x v="2"/>
    <s v="LIB"/>
    <n v="35"/>
    <x v="308"/>
    <n v="0.52"/>
    <n v="57960"/>
  </r>
  <r>
    <x v="70"/>
    <x v="70"/>
    <n v="35"/>
    <n v="35"/>
    <n v="0"/>
    <s v="MN"/>
    <x v="0"/>
    <n v="101"/>
    <n v="401"/>
    <x v="3"/>
    <s v="WTP"/>
    <n v="35"/>
    <x v="309"/>
    <n v="0.67"/>
    <n v="57960"/>
  </r>
  <r>
    <x v="70"/>
    <x v="70"/>
    <n v="35"/>
    <n v="35"/>
    <n v="0"/>
    <s v="MN"/>
    <x v="0"/>
    <n v="101"/>
    <n v="501"/>
    <x v="4"/>
    <s v="G"/>
    <n v="35"/>
    <x v="288"/>
    <n v="0.24"/>
    <n v="57960"/>
  </r>
  <r>
    <x v="70"/>
    <x v="70"/>
    <n v="35"/>
    <n v="35"/>
    <n v="0"/>
    <s v="MN"/>
    <x v="0"/>
    <n v="101"/>
    <n v="601"/>
    <x v="5"/>
    <s v="SLP"/>
    <n v="35"/>
    <x v="4"/>
    <n v="0.04"/>
    <n v="57960"/>
  </r>
  <r>
    <x v="70"/>
    <x v="70"/>
    <n v="35"/>
    <n v="35"/>
    <n v="0"/>
    <s v="MN"/>
    <x v="0"/>
    <n v="101"/>
    <n v="701"/>
    <x v="6"/>
    <s v="SWP"/>
    <n v="35"/>
    <x v="84"/>
    <n v="0.02"/>
    <n v="57960"/>
  </r>
  <r>
    <x v="70"/>
    <x v="70"/>
    <n v="35"/>
    <n v="35"/>
    <n v="0"/>
    <s v="MN"/>
    <x v="0"/>
    <n v="101"/>
    <n v="801"/>
    <x v="7"/>
    <s v="JFA"/>
    <n v="35"/>
    <x v="231"/>
    <n v="0.06"/>
    <n v="57960"/>
  </r>
  <r>
    <x v="70"/>
    <x v="70"/>
    <n v="35"/>
    <n v="35"/>
    <n v="0"/>
    <s v="MN"/>
    <x v="0"/>
    <n v="101"/>
    <n v="901"/>
    <x v="8"/>
    <s v="IND"/>
    <n v="35"/>
    <x v="69"/>
    <n v="0.09"/>
    <n v="57960"/>
  </r>
  <r>
    <x v="70"/>
    <x v="70"/>
    <n v="35"/>
    <n v="35"/>
    <n v="0"/>
    <s v="MN"/>
    <x v="0"/>
    <n v="101"/>
    <n v="9901"/>
    <x v="9"/>
    <s v="WI"/>
    <n v="35"/>
    <x v="310"/>
    <n v="0.32"/>
    <n v="57960"/>
  </r>
  <r>
    <x v="71"/>
    <x v="71"/>
    <n v="25"/>
    <n v="25"/>
    <n v="0"/>
    <s v="MN"/>
    <x v="0"/>
    <n v="101"/>
    <n v="101"/>
    <x v="0"/>
    <s v="R"/>
    <n v="25"/>
    <x v="311"/>
    <n v="70.45"/>
    <n v="8537"/>
  </r>
  <r>
    <x v="71"/>
    <x v="71"/>
    <n v="25"/>
    <n v="25"/>
    <n v="0"/>
    <s v="MN"/>
    <x v="0"/>
    <n v="101"/>
    <n v="201"/>
    <x v="1"/>
    <s v="DFL"/>
    <n v="25"/>
    <x v="312"/>
    <n v="27.54"/>
    <n v="8537"/>
  </r>
  <r>
    <x v="71"/>
    <x v="71"/>
    <n v="25"/>
    <n v="25"/>
    <n v="0"/>
    <s v="MN"/>
    <x v="0"/>
    <n v="101"/>
    <n v="301"/>
    <x v="2"/>
    <s v="LIB"/>
    <n v="25"/>
    <x v="94"/>
    <n v="0.39"/>
    <n v="8537"/>
  </r>
  <r>
    <x v="71"/>
    <x v="71"/>
    <n v="25"/>
    <n v="25"/>
    <n v="0"/>
    <s v="MN"/>
    <x v="0"/>
    <n v="101"/>
    <n v="401"/>
    <x v="3"/>
    <s v="WTP"/>
    <n v="25"/>
    <x v="313"/>
    <n v="0.91"/>
    <n v="8537"/>
  </r>
  <r>
    <x v="71"/>
    <x v="71"/>
    <n v="25"/>
    <n v="25"/>
    <n v="0"/>
    <s v="MN"/>
    <x v="0"/>
    <n v="101"/>
    <n v="501"/>
    <x v="4"/>
    <s v="G"/>
    <n v="25"/>
    <x v="25"/>
    <n v="0.21"/>
    <n v="8537"/>
  </r>
  <r>
    <x v="71"/>
    <x v="71"/>
    <n v="25"/>
    <n v="25"/>
    <n v="0"/>
    <s v="MN"/>
    <x v="0"/>
    <n v="101"/>
    <n v="601"/>
    <x v="5"/>
    <s v="SLP"/>
    <n v="25"/>
    <x v="44"/>
    <n v="0.05"/>
    <n v="8537"/>
  </r>
  <r>
    <x v="71"/>
    <x v="71"/>
    <n v="25"/>
    <n v="25"/>
    <n v="0"/>
    <s v="MN"/>
    <x v="0"/>
    <n v="101"/>
    <n v="701"/>
    <x v="6"/>
    <s v="SWP"/>
    <n v="25"/>
    <x v="43"/>
    <n v="0.04"/>
    <n v="8537"/>
  </r>
  <r>
    <x v="71"/>
    <x v="71"/>
    <n v="25"/>
    <n v="25"/>
    <n v="0"/>
    <s v="MN"/>
    <x v="0"/>
    <n v="101"/>
    <n v="801"/>
    <x v="7"/>
    <s v="JFA"/>
    <n v="25"/>
    <x v="43"/>
    <n v="0.04"/>
    <n v="8537"/>
  </r>
  <r>
    <x v="71"/>
    <x v="71"/>
    <n v="25"/>
    <n v="25"/>
    <n v="0"/>
    <s v="MN"/>
    <x v="0"/>
    <n v="101"/>
    <n v="901"/>
    <x v="8"/>
    <s v="IND"/>
    <n v="25"/>
    <x v="24"/>
    <n v="0.09"/>
    <n v="8537"/>
  </r>
  <r>
    <x v="71"/>
    <x v="71"/>
    <n v="25"/>
    <n v="25"/>
    <n v="0"/>
    <s v="MN"/>
    <x v="0"/>
    <n v="101"/>
    <n v="9901"/>
    <x v="9"/>
    <s v="WI"/>
    <n v="25"/>
    <x v="4"/>
    <n v="0.28999999999999998"/>
    <n v="8537"/>
  </r>
  <r>
    <x v="72"/>
    <x v="72"/>
    <n v="98"/>
    <n v="98"/>
    <n v="0"/>
    <s v="MN"/>
    <x v="0"/>
    <n v="101"/>
    <n v="101"/>
    <x v="0"/>
    <s v="R"/>
    <n v="98"/>
    <x v="314"/>
    <n v="62.25"/>
    <n v="86632"/>
  </r>
  <r>
    <x v="72"/>
    <x v="72"/>
    <n v="98"/>
    <n v="98"/>
    <n v="0"/>
    <s v="MN"/>
    <x v="0"/>
    <n v="101"/>
    <n v="201"/>
    <x v="1"/>
    <s v="DFL"/>
    <n v="98"/>
    <x v="315"/>
    <n v="35.590000000000003"/>
    <n v="86632"/>
  </r>
  <r>
    <x v="72"/>
    <x v="72"/>
    <n v="98"/>
    <n v="98"/>
    <n v="0"/>
    <s v="MN"/>
    <x v="0"/>
    <n v="101"/>
    <n v="301"/>
    <x v="2"/>
    <s v="LIB"/>
    <n v="98"/>
    <x v="316"/>
    <n v="0.39"/>
    <n v="86632"/>
  </r>
  <r>
    <x v="72"/>
    <x v="72"/>
    <n v="98"/>
    <n v="98"/>
    <n v="0"/>
    <s v="MN"/>
    <x v="0"/>
    <n v="101"/>
    <n v="401"/>
    <x v="3"/>
    <s v="WTP"/>
    <n v="98"/>
    <x v="317"/>
    <n v="0.81"/>
    <n v="86632"/>
  </r>
  <r>
    <x v="72"/>
    <x v="72"/>
    <n v="98"/>
    <n v="98"/>
    <n v="0"/>
    <s v="MN"/>
    <x v="0"/>
    <n v="101"/>
    <n v="501"/>
    <x v="4"/>
    <s v="G"/>
    <n v="98"/>
    <x v="318"/>
    <n v="0.41"/>
    <n v="86632"/>
  </r>
  <r>
    <x v="72"/>
    <x v="72"/>
    <n v="98"/>
    <n v="98"/>
    <n v="0"/>
    <s v="MN"/>
    <x v="0"/>
    <n v="101"/>
    <n v="601"/>
    <x v="5"/>
    <s v="SLP"/>
    <n v="98"/>
    <x v="232"/>
    <n v="0.05"/>
    <n v="86632"/>
  </r>
  <r>
    <x v="72"/>
    <x v="72"/>
    <n v="98"/>
    <n v="98"/>
    <n v="0"/>
    <s v="MN"/>
    <x v="0"/>
    <n v="101"/>
    <n v="701"/>
    <x v="6"/>
    <s v="SWP"/>
    <n v="98"/>
    <x v="32"/>
    <n v="0.02"/>
    <n v="86632"/>
  </r>
  <r>
    <x v="72"/>
    <x v="72"/>
    <n v="98"/>
    <n v="98"/>
    <n v="0"/>
    <s v="MN"/>
    <x v="0"/>
    <n v="101"/>
    <n v="801"/>
    <x v="7"/>
    <s v="JFA"/>
    <n v="98"/>
    <x v="3"/>
    <n v="0.09"/>
    <n v="86632"/>
  </r>
  <r>
    <x v="72"/>
    <x v="72"/>
    <n v="98"/>
    <n v="98"/>
    <n v="0"/>
    <s v="MN"/>
    <x v="0"/>
    <n v="101"/>
    <n v="901"/>
    <x v="8"/>
    <s v="IND"/>
    <n v="98"/>
    <x v="36"/>
    <n v="0.08"/>
    <n v="86632"/>
  </r>
  <r>
    <x v="72"/>
    <x v="72"/>
    <n v="98"/>
    <n v="98"/>
    <n v="0"/>
    <s v="MN"/>
    <x v="0"/>
    <n v="101"/>
    <n v="9901"/>
    <x v="9"/>
    <s v="WI"/>
    <n v="98"/>
    <x v="319"/>
    <n v="0.31"/>
    <n v="86632"/>
  </r>
  <r>
    <x v="73"/>
    <x v="73"/>
    <n v="26"/>
    <n v="26"/>
    <n v="0"/>
    <s v="MN"/>
    <x v="0"/>
    <n v="101"/>
    <n v="101"/>
    <x v="0"/>
    <s v="R"/>
    <n v="26"/>
    <x v="320"/>
    <n v="61.05"/>
    <n v="20872"/>
  </r>
  <r>
    <x v="73"/>
    <x v="73"/>
    <n v="26"/>
    <n v="26"/>
    <n v="0"/>
    <s v="MN"/>
    <x v="0"/>
    <n v="101"/>
    <n v="201"/>
    <x v="1"/>
    <s v="DFL"/>
    <n v="26"/>
    <x v="321"/>
    <n v="36.65"/>
    <n v="20872"/>
  </r>
  <r>
    <x v="73"/>
    <x v="73"/>
    <n v="26"/>
    <n v="26"/>
    <n v="0"/>
    <s v="MN"/>
    <x v="0"/>
    <n v="101"/>
    <n v="301"/>
    <x v="2"/>
    <s v="LIB"/>
    <n v="26"/>
    <x v="170"/>
    <n v="0.43"/>
    <n v="20872"/>
  </r>
  <r>
    <x v="73"/>
    <x v="73"/>
    <n v="26"/>
    <n v="26"/>
    <n v="0"/>
    <s v="MN"/>
    <x v="0"/>
    <n v="101"/>
    <n v="401"/>
    <x v="3"/>
    <s v="WTP"/>
    <n v="26"/>
    <x v="322"/>
    <n v="1"/>
    <n v="20872"/>
  </r>
  <r>
    <x v="73"/>
    <x v="73"/>
    <n v="26"/>
    <n v="26"/>
    <n v="0"/>
    <s v="MN"/>
    <x v="0"/>
    <n v="101"/>
    <n v="501"/>
    <x v="4"/>
    <s v="G"/>
    <n v="26"/>
    <x v="31"/>
    <n v="0.3"/>
    <n v="20872"/>
  </r>
  <r>
    <x v="73"/>
    <x v="73"/>
    <n v="26"/>
    <n v="26"/>
    <n v="0"/>
    <s v="MN"/>
    <x v="0"/>
    <n v="101"/>
    <n v="601"/>
    <x v="5"/>
    <s v="SLP"/>
    <n v="26"/>
    <x v="84"/>
    <n v="0.05"/>
    <n v="20872"/>
  </r>
  <r>
    <x v="73"/>
    <x v="73"/>
    <n v="26"/>
    <n v="26"/>
    <n v="0"/>
    <s v="MN"/>
    <x v="0"/>
    <n v="101"/>
    <n v="701"/>
    <x v="6"/>
    <s v="SWP"/>
    <n v="26"/>
    <x v="6"/>
    <n v="0"/>
    <n v="20872"/>
  </r>
  <r>
    <x v="73"/>
    <x v="73"/>
    <n v="26"/>
    <n v="26"/>
    <n v="0"/>
    <s v="MN"/>
    <x v="0"/>
    <n v="101"/>
    <n v="801"/>
    <x v="7"/>
    <s v="JFA"/>
    <n v="26"/>
    <x v="8"/>
    <n v="0.13"/>
    <n v="20872"/>
  </r>
  <r>
    <x v="73"/>
    <x v="73"/>
    <n v="26"/>
    <n v="26"/>
    <n v="0"/>
    <s v="MN"/>
    <x v="0"/>
    <n v="101"/>
    <n v="901"/>
    <x v="8"/>
    <s v="IND"/>
    <n v="26"/>
    <x v="34"/>
    <n v="0.09"/>
    <n v="20872"/>
  </r>
  <r>
    <x v="73"/>
    <x v="73"/>
    <n v="26"/>
    <n v="26"/>
    <n v="0"/>
    <s v="MN"/>
    <x v="0"/>
    <n v="101"/>
    <n v="9901"/>
    <x v="9"/>
    <s v="WI"/>
    <n v="26"/>
    <x v="187"/>
    <n v="0.3"/>
    <n v="20872"/>
  </r>
  <r>
    <x v="74"/>
    <x v="74"/>
    <n v="24"/>
    <n v="24"/>
    <n v="0"/>
    <s v="MN"/>
    <x v="0"/>
    <n v="101"/>
    <n v="101"/>
    <x v="0"/>
    <s v="R"/>
    <n v="24"/>
    <x v="323"/>
    <n v="62.52"/>
    <n v="5139"/>
  </r>
  <r>
    <x v="74"/>
    <x v="74"/>
    <n v="24"/>
    <n v="24"/>
    <n v="0"/>
    <s v="MN"/>
    <x v="0"/>
    <n v="101"/>
    <n v="201"/>
    <x v="1"/>
    <s v="DFL"/>
    <n v="24"/>
    <x v="324"/>
    <n v="35.549999999999997"/>
    <n v="5139"/>
  </r>
  <r>
    <x v="74"/>
    <x v="74"/>
    <n v="24"/>
    <n v="24"/>
    <n v="0"/>
    <s v="MN"/>
    <x v="0"/>
    <n v="101"/>
    <n v="301"/>
    <x v="2"/>
    <s v="LIB"/>
    <n v="24"/>
    <x v="193"/>
    <n v="0.39"/>
    <n v="5139"/>
  </r>
  <r>
    <x v="74"/>
    <x v="74"/>
    <n v="24"/>
    <n v="24"/>
    <n v="0"/>
    <s v="MN"/>
    <x v="0"/>
    <n v="101"/>
    <n v="401"/>
    <x v="3"/>
    <s v="WTP"/>
    <n v="24"/>
    <x v="26"/>
    <n v="0.84"/>
    <n v="5139"/>
  </r>
  <r>
    <x v="74"/>
    <x v="74"/>
    <n v="24"/>
    <n v="24"/>
    <n v="0"/>
    <s v="MN"/>
    <x v="0"/>
    <n v="101"/>
    <n v="501"/>
    <x v="4"/>
    <s v="G"/>
    <n v="24"/>
    <x v="105"/>
    <n v="0.18"/>
    <n v="5139"/>
  </r>
  <r>
    <x v="74"/>
    <x v="74"/>
    <n v="24"/>
    <n v="24"/>
    <n v="0"/>
    <s v="MN"/>
    <x v="0"/>
    <n v="101"/>
    <n v="601"/>
    <x v="5"/>
    <s v="SLP"/>
    <n v="24"/>
    <x v="5"/>
    <n v="0"/>
    <n v="5139"/>
  </r>
  <r>
    <x v="74"/>
    <x v="74"/>
    <n v="24"/>
    <n v="24"/>
    <n v="0"/>
    <s v="MN"/>
    <x v="0"/>
    <n v="101"/>
    <n v="701"/>
    <x v="6"/>
    <s v="SWP"/>
    <n v="24"/>
    <x v="5"/>
    <n v="0"/>
    <n v="5139"/>
  </r>
  <r>
    <x v="74"/>
    <x v="74"/>
    <n v="24"/>
    <n v="24"/>
    <n v="0"/>
    <s v="MN"/>
    <x v="0"/>
    <n v="101"/>
    <n v="801"/>
    <x v="7"/>
    <s v="JFA"/>
    <n v="24"/>
    <x v="44"/>
    <n v="0.08"/>
    <n v="5139"/>
  </r>
  <r>
    <x v="74"/>
    <x v="74"/>
    <n v="24"/>
    <n v="24"/>
    <n v="0"/>
    <s v="MN"/>
    <x v="0"/>
    <n v="101"/>
    <n v="901"/>
    <x v="8"/>
    <s v="IND"/>
    <n v="24"/>
    <x v="49"/>
    <n v="0.12"/>
    <n v="5139"/>
  </r>
  <r>
    <x v="74"/>
    <x v="74"/>
    <n v="24"/>
    <n v="24"/>
    <n v="0"/>
    <s v="MN"/>
    <x v="0"/>
    <n v="101"/>
    <n v="9901"/>
    <x v="9"/>
    <s v="WI"/>
    <n v="24"/>
    <x v="201"/>
    <n v="0.33"/>
    <n v="5139"/>
  </r>
  <r>
    <x v="75"/>
    <x v="75"/>
    <n v="30"/>
    <n v="30"/>
    <n v="0"/>
    <s v="MN"/>
    <x v="0"/>
    <n v="101"/>
    <n v="101"/>
    <x v="0"/>
    <s v="R"/>
    <n v="30"/>
    <x v="325"/>
    <n v="66.09"/>
    <n v="5054"/>
  </r>
  <r>
    <x v="75"/>
    <x v="75"/>
    <n v="30"/>
    <n v="30"/>
    <n v="0"/>
    <s v="MN"/>
    <x v="0"/>
    <n v="101"/>
    <n v="201"/>
    <x v="1"/>
    <s v="DFL"/>
    <n v="30"/>
    <x v="326"/>
    <n v="32.01"/>
    <n v="5054"/>
  </r>
  <r>
    <x v="75"/>
    <x v="75"/>
    <n v="30"/>
    <n v="30"/>
    <n v="0"/>
    <s v="MN"/>
    <x v="0"/>
    <n v="101"/>
    <n v="301"/>
    <x v="2"/>
    <s v="LIB"/>
    <n v="30"/>
    <x v="25"/>
    <n v="0.36"/>
    <n v="5054"/>
  </r>
  <r>
    <x v="75"/>
    <x v="75"/>
    <n v="30"/>
    <n v="30"/>
    <n v="0"/>
    <s v="MN"/>
    <x v="0"/>
    <n v="101"/>
    <n v="401"/>
    <x v="3"/>
    <s v="WTP"/>
    <n v="30"/>
    <x v="129"/>
    <n v="0.99"/>
    <n v="5054"/>
  </r>
  <r>
    <x v="75"/>
    <x v="75"/>
    <n v="30"/>
    <n v="30"/>
    <n v="0"/>
    <s v="MN"/>
    <x v="0"/>
    <n v="101"/>
    <n v="501"/>
    <x v="4"/>
    <s v="G"/>
    <n v="30"/>
    <x v="33"/>
    <n v="0.1"/>
    <n v="5054"/>
  </r>
  <r>
    <x v="75"/>
    <x v="75"/>
    <n v="30"/>
    <n v="30"/>
    <n v="0"/>
    <s v="MN"/>
    <x v="0"/>
    <n v="101"/>
    <n v="601"/>
    <x v="5"/>
    <s v="SLP"/>
    <n v="30"/>
    <x v="6"/>
    <n v="0.02"/>
    <n v="5054"/>
  </r>
  <r>
    <x v="75"/>
    <x v="75"/>
    <n v="30"/>
    <n v="30"/>
    <n v="0"/>
    <s v="MN"/>
    <x v="0"/>
    <n v="101"/>
    <n v="701"/>
    <x v="6"/>
    <s v="SWP"/>
    <n v="30"/>
    <x v="5"/>
    <n v="0"/>
    <n v="5054"/>
  </r>
  <r>
    <x v="75"/>
    <x v="75"/>
    <n v="30"/>
    <n v="30"/>
    <n v="0"/>
    <s v="MN"/>
    <x v="0"/>
    <n v="101"/>
    <n v="801"/>
    <x v="7"/>
    <s v="JFA"/>
    <n v="30"/>
    <x v="44"/>
    <n v="0.08"/>
    <n v="5054"/>
  </r>
  <r>
    <x v="75"/>
    <x v="75"/>
    <n v="30"/>
    <n v="30"/>
    <n v="0"/>
    <s v="MN"/>
    <x v="0"/>
    <n v="101"/>
    <n v="901"/>
    <x v="8"/>
    <s v="IND"/>
    <n v="30"/>
    <x v="33"/>
    <n v="0.1"/>
    <n v="5054"/>
  </r>
  <r>
    <x v="75"/>
    <x v="75"/>
    <n v="30"/>
    <n v="30"/>
    <n v="0"/>
    <s v="MN"/>
    <x v="0"/>
    <n v="101"/>
    <n v="9901"/>
    <x v="9"/>
    <s v="WI"/>
    <n v="30"/>
    <x v="32"/>
    <n v="0.26"/>
    <n v="5054"/>
  </r>
  <r>
    <x v="76"/>
    <x v="76"/>
    <n v="40"/>
    <n v="40"/>
    <n v="0"/>
    <s v="MN"/>
    <x v="0"/>
    <n v="101"/>
    <n v="101"/>
    <x v="0"/>
    <s v="R"/>
    <n v="40"/>
    <x v="327"/>
    <n v="75.75"/>
    <n v="13718"/>
  </r>
  <r>
    <x v="76"/>
    <x v="76"/>
    <n v="40"/>
    <n v="40"/>
    <n v="0"/>
    <s v="MN"/>
    <x v="0"/>
    <n v="101"/>
    <n v="201"/>
    <x v="1"/>
    <s v="DFL"/>
    <n v="40"/>
    <x v="328"/>
    <n v="22.39"/>
    <n v="13718"/>
  </r>
  <r>
    <x v="76"/>
    <x v="76"/>
    <n v="40"/>
    <n v="40"/>
    <n v="0"/>
    <s v="MN"/>
    <x v="0"/>
    <n v="101"/>
    <n v="301"/>
    <x v="2"/>
    <s v="LIB"/>
    <n v="40"/>
    <x v="143"/>
    <n v="0.34"/>
    <n v="13718"/>
  </r>
  <r>
    <x v="76"/>
    <x v="76"/>
    <n v="40"/>
    <n v="40"/>
    <n v="0"/>
    <s v="MN"/>
    <x v="0"/>
    <n v="101"/>
    <n v="401"/>
    <x v="3"/>
    <s v="WTP"/>
    <n v="40"/>
    <x v="100"/>
    <n v="0.84"/>
    <n v="13718"/>
  </r>
  <r>
    <x v="76"/>
    <x v="76"/>
    <n v="40"/>
    <n v="40"/>
    <n v="0"/>
    <s v="MN"/>
    <x v="0"/>
    <n v="101"/>
    <n v="501"/>
    <x v="4"/>
    <s v="G"/>
    <n v="40"/>
    <x v="35"/>
    <n v="0.2"/>
    <n v="13718"/>
  </r>
  <r>
    <x v="76"/>
    <x v="76"/>
    <n v="40"/>
    <n v="40"/>
    <n v="0"/>
    <s v="MN"/>
    <x v="0"/>
    <n v="101"/>
    <n v="601"/>
    <x v="5"/>
    <s v="SLP"/>
    <n v="40"/>
    <x v="23"/>
    <n v="0.01"/>
    <n v="13718"/>
  </r>
  <r>
    <x v="76"/>
    <x v="76"/>
    <n v="40"/>
    <n v="40"/>
    <n v="0"/>
    <s v="MN"/>
    <x v="0"/>
    <n v="101"/>
    <n v="701"/>
    <x v="6"/>
    <s v="SWP"/>
    <n v="40"/>
    <x v="6"/>
    <n v="0.01"/>
    <n v="13718"/>
  </r>
  <r>
    <x v="76"/>
    <x v="76"/>
    <n v="40"/>
    <n v="40"/>
    <n v="0"/>
    <s v="MN"/>
    <x v="0"/>
    <n v="101"/>
    <n v="801"/>
    <x v="7"/>
    <s v="JFA"/>
    <n v="40"/>
    <x v="62"/>
    <n v="0.05"/>
    <n v="13718"/>
  </r>
  <r>
    <x v="76"/>
    <x v="76"/>
    <n v="40"/>
    <n v="40"/>
    <n v="0"/>
    <s v="MN"/>
    <x v="0"/>
    <n v="101"/>
    <n v="901"/>
    <x v="8"/>
    <s v="IND"/>
    <n v="40"/>
    <x v="105"/>
    <n v="7.0000000000000007E-2"/>
    <n v="13718"/>
  </r>
  <r>
    <x v="76"/>
    <x v="76"/>
    <n v="40"/>
    <n v="40"/>
    <n v="0"/>
    <s v="MN"/>
    <x v="0"/>
    <n v="101"/>
    <n v="9901"/>
    <x v="9"/>
    <s v="WI"/>
    <n v="40"/>
    <x v="143"/>
    <n v="0.34"/>
    <n v="13718"/>
  </r>
  <r>
    <x v="77"/>
    <x v="77"/>
    <n v="20"/>
    <n v="20"/>
    <n v="0"/>
    <s v="MN"/>
    <x v="0"/>
    <n v="101"/>
    <n v="101"/>
    <x v="0"/>
    <s v="R"/>
    <n v="20"/>
    <x v="216"/>
    <n v="64.650000000000006"/>
    <n v="1802"/>
  </r>
  <r>
    <x v="77"/>
    <x v="77"/>
    <n v="20"/>
    <n v="20"/>
    <n v="0"/>
    <s v="MN"/>
    <x v="0"/>
    <n v="101"/>
    <n v="201"/>
    <x v="1"/>
    <s v="DFL"/>
    <n v="20"/>
    <x v="329"/>
    <n v="33.130000000000003"/>
    <n v="1802"/>
  </r>
  <r>
    <x v="77"/>
    <x v="77"/>
    <n v="20"/>
    <n v="20"/>
    <n v="0"/>
    <s v="MN"/>
    <x v="0"/>
    <n v="101"/>
    <n v="301"/>
    <x v="2"/>
    <s v="LIB"/>
    <n v="20"/>
    <x v="33"/>
    <n v="0.28000000000000003"/>
    <n v="1802"/>
  </r>
  <r>
    <x v="77"/>
    <x v="77"/>
    <n v="20"/>
    <n v="20"/>
    <n v="0"/>
    <s v="MN"/>
    <x v="0"/>
    <n v="101"/>
    <n v="401"/>
    <x v="3"/>
    <s v="WTP"/>
    <n v="20"/>
    <x v="4"/>
    <n v="1.39"/>
    <n v="1802"/>
  </r>
  <r>
    <x v="77"/>
    <x v="77"/>
    <n v="20"/>
    <n v="20"/>
    <n v="0"/>
    <s v="MN"/>
    <x v="0"/>
    <n v="101"/>
    <n v="501"/>
    <x v="4"/>
    <s v="G"/>
    <n v="20"/>
    <x v="44"/>
    <n v="0.22"/>
    <n v="1802"/>
  </r>
  <r>
    <x v="77"/>
    <x v="77"/>
    <n v="20"/>
    <n v="20"/>
    <n v="0"/>
    <s v="MN"/>
    <x v="0"/>
    <n v="101"/>
    <n v="601"/>
    <x v="5"/>
    <s v="SLP"/>
    <n v="20"/>
    <x v="23"/>
    <n v="0.11"/>
    <n v="1802"/>
  </r>
  <r>
    <x v="77"/>
    <x v="77"/>
    <n v="20"/>
    <n v="20"/>
    <n v="0"/>
    <s v="MN"/>
    <x v="0"/>
    <n v="101"/>
    <n v="701"/>
    <x v="6"/>
    <s v="SWP"/>
    <n v="20"/>
    <x v="6"/>
    <n v="0.06"/>
    <n v="1802"/>
  </r>
  <r>
    <x v="77"/>
    <x v="77"/>
    <n v="20"/>
    <n v="20"/>
    <n v="0"/>
    <s v="MN"/>
    <x v="0"/>
    <n v="101"/>
    <n v="801"/>
    <x v="7"/>
    <s v="JFA"/>
    <n v="20"/>
    <x v="5"/>
    <n v="0"/>
    <n v="1802"/>
  </r>
  <r>
    <x v="77"/>
    <x v="77"/>
    <n v="20"/>
    <n v="20"/>
    <n v="0"/>
    <s v="MN"/>
    <x v="0"/>
    <n v="101"/>
    <n v="901"/>
    <x v="8"/>
    <s v="IND"/>
    <n v="20"/>
    <x v="23"/>
    <n v="0.11"/>
    <n v="1802"/>
  </r>
  <r>
    <x v="77"/>
    <x v="77"/>
    <n v="20"/>
    <n v="20"/>
    <n v="0"/>
    <s v="MN"/>
    <x v="0"/>
    <n v="101"/>
    <n v="9901"/>
    <x v="9"/>
    <s v="WI"/>
    <n v="20"/>
    <x v="6"/>
    <n v="0.06"/>
    <n v="1802"/>
  </r>
  <r>
    <x v="78"/>
    <x v="78"/>
    <n v="33"/>
    <n v="33"/>
    <n v="0"/>
    <s v="MN"/>
    <x v="0"/>
    <n v="101"/>
    <n v="101"/>
    <x v="0"/>
    <s v="R"/>
    <n v="33"/>
    <x v="330"/>
    <n v="63.09"/>
    <n v="13509"/>
  </r>
  <r>
    <x v="78"/>
    <x v="78"/>
    <n v="33"/>
    <n v="33"/>
    <n v="0"/>
    <s v="MN"/>
    <x v="0"/>
    <n v="101"/>
    <n v="201"/>
    <x v="1"/>
    <s v="DFL"/>
    <n v="33"/>
    <x v="331"/>
    <n v="34.950000000000003"/>
    <n v="13509"/>
  </r>
  <r>
    <x v="78"/>
    <x v="78"/>
    <n v="33"/>
    <n v="33"/>
    <n v="0"/>
    <s v="MN"/>
    <x v="0"/>
    <n v="101"/>
    <n v="301"/>
    <x v="2"/>
    <s v="LIB"/>
    <n v="33"/>
    <x v="89"/>
    <n v="0.42"/>
    <n v="13509"/>
  </r>
  <r>
    <x v="78"/>
    <x v="78"/>
    <n v="33"/>
    <n v="33"/>
    <n v="0"/>
    <s v="MN"/>
    <x v="0"/>
    <n v="101"/>
    <n v="401"/>
    <x v="3"/>
    <s v="WTP"/>
    <n v="33"/>
    <x v="257"/>
    <n v="0.95"/>
    <n v="13509"/>
  </r>
  <r>
    <x v="78"/>
    <x v="78"/>
    <n v="33"/>
    <n v="33"/>
    <n v="0"/>
    <s v="MN"/>
    <x v="0"/>
    <n v="101"/>
    <n v="501"/>
    <x v="4"/>
    <s v="G"/>
    <n v="33"/>
    <x v="109"/>
    <n v="0.24"/>
    <n v="13509"/>
  </r>
  <r>
    <x v="78"/>
    <x v="78"/>
    <n v="33"/>
    <n v="33"/>
    <n v="0"/>
    <s v="MN"/>
    <x v="0"/>
    <n v="101"/>
    <n v="601"/>
    <x v="5"/>
    <s v="SLP"/>
    <n v="33"/>
    <x v="44"/>
    <n v="0.03"/>
    <n v="13509"/>
  </r>
  <r>
    <x v="78"/>
    <x v="78"/>
    <n v="33"/>
    <n v="33"/>
    <n v="0"/>
    <s v="MN"/>
    <x v="0"/>
    <n v="101"/>
    <n v="701"/>
    <x v="6"/>
    <s v="SWP"/>
    <n v="33"/>
    <x v="5"/>
    <n v="0"/>
    <n v="13509"/>
  </r>
  <r>
    <x v="78"/>
    <x v="78"/>
    <n v="33"/>
    <n v="33"/>
    <n v="0"/>
    <s v="MN"/>
    <x v="0"/>
    <n v="101"/>
    <n v="801"/>
    <x v="7"/>
    <s v="JFA"/>
    <n v="33"/>
    <x v="43"/>
    <n v="0.02"/>
    <n v="13509"/>
  </r>
  <r>
    <x v="78"/>
    <x v="78"/>
    <n v="33"/>
    <n v="33"/>
    <n v="0"/>
    <s v="MN"/>
    <x v="0"/>
    <n v="101"/>
    <n v="901"/>
    <x v="8"/>
    <s v="IND"/>
    <n v="33"/>
    <x v="32"/>
    <n v="0.1"/>
    <n v="13509"/>
  </r>
  <r>
    <x v="78"/>
    <x v="78"/>
    <n v="33"/>
    <n v="33"/>
    <n v="0"/>
    <s v="MN"/>
    <x v="0"/>
    <n v="101"/>
    <n v="9901"/>
    <x v="9"/>
    <s v="WI"/>
    <n v="33"/>
    <x v="35"/>
    <n v="0.21"/>
    <n v="13509"/>
  </r>
  <r>
    <x v="79"/>
    <x v="79"/>
    <n v="24"/>
    <n v="24"/>
    <n v="0"/>
    <s v="MN"/>
    <x v="0"/>
    <n v="101"/>
    <n v="101"/>
    <x v="0"/>
    <s v="R"/>
    <n v="24"/>
    <x v="332"/>
    <n v="74.91"/>
    <n v="8047"/>
  </r>
  <r>
    <x v="79"/>
    <x v="79"/>
    <n v="24"/>
    <n v="24"/>
    <n v="0"/>
    <s v="MN"/>
    <x v="0"/>
    <n v="101"/>
    <n v="201"/>
    <x v="1"/>
    <s v="DFL"/>
    <n v="24"/>
    <x v="333"/>
    <n v="23.59"/>
    <n v="8047"/>
  </r>
  <r>
    <x v="79"/>
    <x v="79"/>
    <n v="24"/>
    <n v="24"/>
    <n v="0"/>
    <s v="MN"/>
    <x v="0"/>
    <n v="101"/>
    <n v="301"/>
    <x v="2"/>
    <s v="LIB"/>
    <n v="24"/>
    <x v="84"/>
    <n v="0.14000000000000001"/>
    <n v="8047"/>
  </r>
  <r>
    <x v="79"/>
    <x v="79"/>
    <n v="24"/>
    <n v="24"/>
    <n v="0"/>
    <s v="MN"/>
    <x v="0"/>
    <n v="101"/>
    <n v="401"/>
    <x v="3"/>
    <s v="WTP"/>
    <n v="24"/>
    <x v="179"/>
    <n v="0.81"/>
    <n v="8047"/>
  </r>
  <r>
    <x v="79"/>
    <x v="79"/>
    <n v="24"/>
    <n v="24"/>
    <n v="0"/>
    <s v="MN"/>
    <x v="0"/>
    <n v="101"/>
    <n v="501"/>
    <x v="4"/>
    <s v="G"/>
    <n v="24"/>
    <x v="24"/>
    <n v="0.1"/>
    <n v="8047"/>
  </r>
  <r>
    <x v="79"/>
    <x v="79"/>
    <n v="24"/>
    <n v="24"/>
    <n v="0"/>
    <s v="MN"/>
    <x v="0"/>
    <n v="101"/>
    <n v="601"/>
    <x v="5"/>
    <s v="SLP"/>
    <n v="24"/>
    <x v="6"/>
    <n v="0.01"/>
    <n v="8047"/>
  </r>
  <r>
    <x v="79"/>
    <x v="79"/>
    <n v="24"/>
    <n v="24"/>
    <n v="0"/>
    <s v="MN"/>
    <x v="0"/>
    <n v="101"/>
    <n v="701"/>
    <x v="6"/>
    <s v="SWP"/>
    <n v="24"/>
    <x v="6"/>
    <n v="0.01"/>
    <n v="8047"/>
  </r>
  <r>
    <x v="79"/>
    <x v="79"/>
    <n v="24"/>
    <n v="24"/>
    <n v="0"/>
    <s v="MN"/>
    <x v="0"/>
    <n v="101"/>
    <n v="801"/>
    <x v="7"/>
    <s v="JFA"/>
    <n v="24"/>
    <x v="44"/>
    <n v="0.05"/>
    <n v="8047"/>
  </r>
  <r>
    <x v="79"/>
    <x v="79"/>
    <n v="24"/>
    <n v="24"/>
    <n v="0"/>
    <s v="MN"/>
    <x v="0"/>
    <n v="101"/>
    <n v="901"/>
    <x v="8"/>
    <s v="IND"/>
    <n v="24"/>
    <x v="24"/>
    <n v="0.1"/>
    <n v="8047"/>
  </r>
  <r>
    <x v="79"/>
    <x v="79"/>
    <n v="24"/>
    <n v="24"/>
    <n v="0"/>
    <s v="MN"/>
    <x v="0"/>
    <n v="101"/>
    <n v="9901"/>
    <x v="9"/>
    <s v="WI"/>
    <n v="24"/>
    <x v="76"/>
    <n v="0.28999999999999998"/>
    <n v="8047"/>
  </r>
  <r>
    <x v="80"/>
    <x v="80"/>
    <n v="23"/>
    <n v="23"/>
    <n v="0"/>
    <s v="MN"/>
    <x v="0"/>
    <n v="101"/>
    <n v="101"/>
    <x v="0"/>
    <s v="R"/>
    <n v="23"/>
    <x v="334"/>
    <n v="65.180000000000007"/>
    <n v="10387"/>
  </r>
  <r>
    <x v="80"/>
    <x v="80"/>
    <n v="23"/>
    <n v="23"/>
    <n v="0"/>
    <s v="MN"/>
    <x v="0"/>
    <n v="101"/>
    <n v="201"/>
    <x v="1"/>
    <s v="DFL"/>
    <n v="23"/>
    <x v="335"/>
    <n v="32.75"/>
    <n v="10387"/>
  </r>
  <r>
    <x v="80"/>
    <x v="80"/>
    <n v="23"/>
    <n v="23"/>
    <n v="0"/>
    <s v="MN"/>
    <x v="0"/>
    <n v="101"/>
    <n v="301"/>
    <x v="2"/>
    <s v="LIB"/>
    <n v="23"/>
    <x v="69"/>
    <n v="0.5"/>
    <n v="10387"/>
  </r>
  <r>
    <x v="80"/>
    <x v="80"/>
    <n v="23"/>
    <n v="23"/>
    <n v="0"/>
    <s v="MN"/>
    <x v="0"/>
    <n v="101"/>
    <n v="401"/>
    <x v="3"/>
    <s v="WTP"/>
    <n v="23"/>
    <x v="336"/>
    <n v="0.9"/>
    <n v="10387"/>
  </r>
  <r>
    <x v="80"/>
    <x v="80"/>
    <n v="23"/>
    <n v="23"/>
    <n v="0"/>
    <s v="MN"/>
    <x v="0"/>
    <n v="101"/>
    <n v="501"/>
    <x v="4"/>
    <s v="G"/>
    <n v="23"/>
    <x v="35"/>
    <n v="0.27"/>
    <n v="10387"/>
  </r>
  <r>
    <x v="80"/>
    <x v="80"/>
    <n v="23"/>
    <n v="23"/>
    <n v="0"/>
    <s v="MN"/>
    <x v="0"/>
    <n v="101"/>
    <n v="601"/>
    <x v="5"/>
    <s v="SLP"/>
    <n v="23"/>
    <x v="44"/>
    <n v="0.04"/>
    <n v="10387"/>
  </r>
  <r>
    <x v="80"/>
    <x v="80"/>
    <n v="23"/>
    <n v="23"/>
    <n v="0"/>
    <s v="MN"/>
    <x v="0"/>
    <n v="101"/>
    <n v="701"/>
    <x v="6"/>
    <s v="SWP"/>
    <n v="23"/>
    <x v="5"/>
    <n v="0"/>
    <n v="10387"/>
  </r>
  <r>
    <x v="80"/>
    <x v="80"/>
    <n v="23"/>
    <n v="23"/>
    <n v="0"/>
    <s v="MN"/>
    <x v="0"/>
    <n v="101"/>
    <n v="801"/>
    <x v="7"/>
    <s v="JFA"/>
    <n v="23"/>
    <x v="43"/>
    <n v="0.03"/>
    <n v="10387"/>
  </r>
  <r>
    <x v="80"/>
    <x v="80"/>
    <n v="23"/>
    <n v="23"/>
    <n v="0"/>
    <s v="MN"/>
    <x v="0"/>
    <n v="101"/>
    <n v="901"/>
    <x v="8"/>
    <s v="IND"/>
    <n v="23"/>
    <x v="105"/>
    <n v="0.09"/>
    <n v="10387"/>
  </r>
  <r>
    <x v="80"/>
    <x v="80"/>
    <n v="23"/>
    <n v="23"/>
    <n v="0"/>
    <s v="MN"/>
    <x v="0"/>
    <n v="101"/>
    <n v="9901"/>
    <x v="9"/>
    <s v="WI"/>
    <n v="23"/>
    <x v="101"/>
    <n v="0.25"/>
    <n v="10387"/>
  </r>
  <r>
    <x v="81"/>
    <x v="81"/>
    <n v="84"/>
    <n v="84"/>
    <n v="0"/>
    <s v="MN"/>
    <x v="0"/>
    <n v="101"/>
    <n v="101"/>
    <x v="0"/>
    <s v="R"/>
    <n v="84"/>
    <x v="337"/>
    <n v="44.4"/>
    <n v="169536"/>
  </r>
  <r>
    <x v="81"/>
    <x v="81"/>
    <n v="84"/>
    <n v="84"/>
    <n v="0"/>
    <s v="MN"/>
    <x v="0"/>
    <n v="101"/>
    <n v="201"/>
    <x v="1"/>
    <s v="DFL"/>
    <n v="84"/>
    <x v="338"/>
    <n v="53.28"/>
    <n v="169536"/>
  </r>
  <r>
    <x v="81"/>
    <x v="81"/>
    <n v="84"/>
    <n v="84"/>
    <n v="0"/>
    <s v="MN"/>
    <x v="0"/>
    <n v="101"/>
    <n v="301"/>
    <x v="2"/>
    <s v="LIB"/>
    <n v="84"/>
    <x v="339"/>
    <n v="0.53"/>
    <n v="169536"/>
  </r>
  <r>
    <x v="81"/>
    <x v="81"/>
    <n v="84"/>
    <n v="84"/>
    <n v="0"/>
    <s v="MN"/>
    <x v="0"/>
    <n v="101"/>
    <n v="401"/>
    <x v="3"/>
    <s v="WTP"/>
    <n v="84"/>
    <x v="340"/>
    <n v="0.67"/>
    <n v="169536"/>
  </r>
  <r>
    <x v="81"/>
    <x v="81"/>
    <n v="84"/>
    <n v="84"/>
    <n v="0"/>
    <s v="MN"/>
    <x v="0"/>
    <n v="101"/>
    <n v="501"/>
    <x v="4"/>
    <s v="G"/>
    <n v="84"/>
    <x v="341"/>
    <n v="0.44"/>
    <n v="169536"/>
  </r>
  <r>
    <x v="81"/>
    <x v="81"/>
    <n v="84"/>
    <n v="84"/>
    <n v="0"/>
    <s v="MN"/>
    <x v="0"/>
    <n v="101"/>
    <n v="601"/>
    <x v="5"/>
    <s v="SLP"/>
    <n v="84"/>
    <x v="313"/>
    <n v="0.05"/>
    <n v="169536"/>
  </r>
  <r>
    <x v="81"/>
    <x v="81"/>
    <n v="84"/>
    <n v="84"/>
    <n v="0"/>
    <s v="MN"/>
    <x v="0"/>
    <n v="101"/>
    <n v="701"/>
    <x v="6"/>
    <s v="SWP"/>
    <n v="84"/>
    <x v="108"/>
    <n v="0.01"/>
    <n v="169536"/>
  </r>
  <r>
    <x v="81"/>
    <x v="81"/>
    <n v="84"/>
    <n v="84"/>
    <n v="0"/>
    <s v="MN"/>
    <x v="0"/>
    <n v="101"/>
    <n v="801"/>
    <x v="7"/>
    <s v="JFA"/>
    <n v="84"/>
    <x v="140"/>
    <n v="7.0000000000000007E-2"/>
    <n v="169536"/>
  </r>
  <r>
    <x v="81"/>
    <x v="81"/>
    <n v="84"/>
    <n v="84"/>
    <n v="0"/>
    <s v="MN"/>
    <x v="0"/>
    <n v="101"/>
    <n v="901"/>
    <x v="8"/>
    <s v="IND"/>
    <n v="84"/>
    <x v="342"/>
    <n v="0.1"/>
    <n v="169536"/>
  </r>
  <r>
    <x v="81"/>
    <x v="81"/>
    <n v="84"/>
    <n v="84"/>
    <n v="0"/>
    <s v="MN"/>
    <x v="0"/>
    <n v="101"/>
    <n v="9901"/>
    <x v="9"/>
    <s v="WI"/>
    <n v="84"/>
    <x v="343"/>
    <n v="0.47"/>
    <n v="169536"/>
  </r>
  <r>
    <x v="82"/>
    <x v="82"/>
    <n v="21"/>
    <n v="21"/>
    <n v="0"/>
    <s v="MN"/>
    <x v="0"/>
    <n v="101"/>
    <n v="101"/>
    <x v="0"/>
    <s v="R"/>
    <n v="21"/>
    <x v="344"/>
    <n v="62.58"/>
    <n v="4933"/>
  </r>
  <r>
    <x v="82"/>
    <x v="82"/>
    <n v="21"/>
    <n v="21"/>
    <n v="0"/>
    <s v="MN"/>
    <x v="0"/>
    <n v="101"/>
    <n v="201"/>
    <x v="1"/>
    <s v="DFL"/>
    <n v="21"/>
    <x v="345"/>
    <n v="34.93"/>
    <n v="4933"/>
  </r>
  <r>
    <x v="82"/>
    <x v="82"/>
    <n v="21"/>
    <n v="21"/>
    <n v="0"/>
    <s v="MN"/>
    <x v="0"/>
    <n v="101"/>
    <n v="301"/>
    <x v="2"/>
    <s v="LIB"/>
    <n v="21"/>
    <x v="63"/>
    <n v="0.43"/>
    <n v="4933"/>
  </r>
  <r>
    <x v="82"/>
    <x v="82"/>
    <n v="21"/>
    <n v="21"/>
    <n v="0"/>
    <s v="MN"/>
    <x v="0"/>
    <n v="101"/>
    <n v="401"/>
    <x v="3"/>
    <s v="WTP"/>
    <n v="21"/>
    <x v="89"/>
    <n v="1.1599999999999999"/>
    <n v="4933"/>
  </r>
  <r>
    <x v="82"/>
    <x v="82"/>
    <n v="21"/>
    <n v="21"/>
    <n v="0"/>
    <s v="MN"/>
    <x v="0"/>
    <n v="101"/>
    <n v="501"/>
    <x v="4"/>
    <s v="G"/>
    <n v="21"/>
    <x v="32"/>
    <n v="0.26"/>
    <n v="4933"/>
  </r>
  <r>
    <x v="82"/>
    <x v="82"/>
    <n v="21"/>
    <n v="21"/>
    <n v="0"/>
    <s v="MN"/>
    <x v="0"/>
    <n v="101"/>
    <n v="601"/>
    <x v="5"/>
    <s v="SLP"/>
    <n v="21"/>
    <x v="23"/>
    <n v="0.04"/>
    <n v="4933"/>
  </r>
  <r>
    <x v="82"/>
    <x v="82"/>
    <n v="21"/>
    <n v="21"/>
    <n v="0"/>
    <s v="MN"/>
    <x v="0"/>
    <n v="101"/>
    <n v="701"/>
    <x v="6"/>
    <s v="SWP"/>
    <n v="21"/>
    <x v="5"/>
    <n v="0"/>
    <n v="4933"/>
  </r>
  <r>
    <x v="82"/>
    <x v="82"/>
    <n v="21"/>
    <n v="21"/>
    <n v="0"/>
    <s v="MN"/>
    <x v="0"/>
    <n v="101"/>
    <n v="801"/>
    <x v="7"/>
    <s v="JFA"/>
    <n v="21"/>
    <x v="5"/>
    <n v="0"/>
    <n v="4933"/>
  </r>
  <r>
    <x v="82"/>
    <x v="82"/>
    <n v="21"/>
    <n v="21"/>
    <n v="0"/>
    <s v="MN"/>
    <x v="0"/>
    <n v="101"/>
    <n v="901"/>
    <x v="8"/>
    <s v="IND"/>
    <n v="21"/>
    <x v="62"/>
    <n v="0.14000000000000001"/>
    <n v="4933"/>
  </r>
  <r>
    <x v="82"/>
    <x v="82"/>
    <n v="21"/>
    <n v="21"/>
    <n v="0"/>
    <s v="MN"/>
    <x v="0"/>
    <n v="101"/>
    <n v="9901"/>
    <x v="9"/>
    <s v="WI"/>
    <n v="21"/>
    <x v="76"/>
    <n v="0.47"/>
    <n v="4933"/>
  </r>
  <r>
    <x v="83"/>
    <x v="83"/>
    <n v="32"/>
    <n v="32"/>
    <n v="0"/>
    <s v="MN"/>
    <x v="0"/>
    <n v="101"/>
    <n v="101"/>
    <x v="0"/>
    <s v="R"/>
    <n v="32"/>
    <x v="346"/>
    <n v="68.3"/>
    <n v="3353"/>
  </r>
  <r>
    <x v="83"/>
    <x v="83"/>
    <n v="32"/>
    <n v="32"/>
    <n v="0"/>
    <s v="MN"/>
    <x v="0"/>
    <n v="101"/>
    <n v="201"/>
    <x v="1"/>
    <s v="DFL"/>
    <n v="32"/>
    <x v="347"/>
    <n v="29.41"/>
    <n v="3353"/>
  </r>
  <r>
    <x v="83"/>
    <x v="83"/>
    <n v="32"/>
    <n v="32"/>
    <n v="0"/>
    <s v="MN"/>
    <x v="0"/>
    <n v="101"/>
    <n v="301"/>
    <x v="2"/>
    <s v="LIB"/>
    <n v="32"/>
    <x v="7"/>
    <n v="0.45"/>
    <n v="3353"/>
  </r>
  <r>
    <x v="83"/>
    <x v="83"/>
    <n v="32"/>
    <n v="32"/>
    <n v="0"/>
    <s v="MN"/>
    <x v="0"/>
    <n v="101"/>
    <n v="401"/>
    <x v="3"/>
    <s v="WTP"/>
    <n v="32"/>
    <x v="196"/>
    <n v="1.1299999999999999"/>
    <n v="3353"/>
  </r>
  <r>
    <x v="83"/>
    <x v="83"/>
    <n v="32"/>
    <n v="32"/>
    <n v="0"/>
    <s v="MN"/>
    <x v="0"/>
    <n v="101"/>
    <n v="501"/>
    <x v="4"/>
    <s v="G"/>
    <n v="32"/>
    <x v="23"/>
    <n v="0.06"/>
    <n v="3353"/>
  </r>
  <r>
    <x v="83"/>
    <x v="83"/>
    <n v="32"/>
    <n v="32"/>
    <n v="0"/>
    <s v="MN"/>
    <x v="0"/>
    <n v="101"/>
    <n v="601"/>
    <x v="5"/>
    <s v="SLP"/>
    <n v="32"/>
    <x v="43"/>
    <n v="0.09"/>
    <n v="3353"/>
  </r>
  <r>
    <x v="83"/>
    <x v="83"/>
    <n v="32"/>
    <n v="32"/>
    <n v="0"/>
    <s v="MN"/>
    <x v="0"/>
    <n v="101"/>
    <n v="701"/>
    <x v="6"/>
    <s v="SWP"/>
    <n v="32"/>
    <x v="5"/>
    <n v="0"/>
    <n v="3353"/>
  </r>
  <r>
    <x v="83"/>
    <x v="83"/>
    <n v="32"/>
    <n v="32"/>
    <n v="0"/>
    <s v="MN"/>
    <x v="0"/>
    <n v="101"/>
    <n v="801"/>
    <x v="7"/>
    <s v="JFA"/>
    <n v="32"/>
    <x v="6"/>
    <n v="0.03"/>
    <n v="3353"/>
  </r>
  <r>
    <x v="83"/>
    <x v="83"/>
    <n v="32"/>
    <n v="32"/>
    <n v="0"/>
    <s v="MN"/>
    <x v="0"/>
    <n v="101"/>
    <n v="901"/>
    <x v="8"/>
    <s v="IND"/>
    <n v="32"/>
    <x v="24"/>
    <n v="0.24"/>
    <n v="3353"/>
  </r>
  <r>
    <x v="83"/>
    <x v="83"/>
    <n v="32"/>
    <n v="32"/>
    <n v="0"/>
    <s v="MN"/>
    <x v="0"/>
    <n v="101"/>
    <n v="9901"/>
    <x v="9"/>
    <s v="WI"/>
    <n v="32"/>
    <x v="45"/>
    <n v="0.3"/>
    <n v="3353"/>
  </r>
  <r>
    <x v="84"/>
    <x v="84"/>
    <n v="49"/>
    <n v="49"/>
    <n v="0"/>
    <s v="MN"/>
    <x v="0"/>
    <n v="101"/>
    <n v="101"/>
    <x v="0"/>
    <s v="R"/>
    <n v="49"/>
    <x v="348"/>
    <n v="51.4"/>
    <n v="27797"/>
  </r>
  <r>
    <x v="84"/>
    <x v="84"/>
    <n v="49"/>
    <n v="49"/>
    <n v="0"/>
    <s v="MN"/>
    <x v="0"/>
    <n v="101"/>
    <n v="201"/>
    <x v="1"/>
    <s v="DFL"/>
    <n v="49"/>
    <x v="349"/>
    <n v="46.51"/>
    <n v="27797"/>
  </r>
  <r>
    <x v="84"/>
    <x v="84"/>
    <n v="49"/>
    <n v="49"/>
    <n v="0"/>
    <s v="MN"/>
    <x v="0"/>
    <n v="101"/>
    <n v="301"/>
    <x v="2"/>
    <s v="LIB"/>
    <n v="49"/>
    <x v="336"/>
    <n v="0.33"/>
    <n v="27797"/>
  </r>
  <r>
    <x v="84"/>
    <x v="84"/>
    <n v="49"/>
    <n v="49"/>
    <n v="0"/>
    <s v="MN"/>
    <x v="0"/>
    <n v="101"/>
    <n v="401"/>
    <x v="3"/>
    <s v="WTP"/>
    <n v="49"/>
    <x v="350"/>
    <n v="0.88"/>
    <n v="27797"/>
  </r>
  <r>
    <x v="84"/>
    <x v="84"/>
    <n v="49"/>
    <n v="49"/>
    <n v="0"/>
    <s v="MN"/>
    <x v="0"/>
    <n v="101"/>
    <n v="501"/>
    <x v="4"/>
    <s v="G"/>
    <n v="49"/>
    <x v="173"/>
    <n v="0.34"/>
    <n v="27797"/>
  </r>
  <r>
    <x v="84"/>
    <x v="84"/>
    <n v="49"/>
    <n v="49"/>
    <n v="0"/>
    <s v="MN"/>
    <x v="0"/>
    <n v="101"/>
    <n v="601"/>
    <x v="5"/>
    <s v="SLP"/>
    <n v="49"/>
    <x v="101"/>
    <n v="0.09"/>
    <n v="27797"/>
  </r>
  <r>
    <x v="84"/>
    <x v="84"/>
    <n v="49"/>
    <n v="49"/>
    <n v="0"/>
    <s v="MN"/>
    <x v="0"/>
    <n v="101"/>
    <n v="701"/>
    <x v="6"/>
    <s v="SWP"/>
    <n v="49"/>
    <x v="5"/>
    <n v="0"/>
    <n v="27797"/>
  </r>
  <r>
    <x v="84"/>
    <x v="84"/>
    <n v="49"/>
    <n v="49"/>
    <n v="0"/>
    <s v="MN"/>
    <x v="0"/>
    <n v="101"/>
    <n v="801"/>
    <x v="7"/>
    <s v="JFA"/>
    <n v="49"/>
    <x v="32"/>
    <n v="0.05"/>
    <n v="27797"/>
  </r>
  <r>
    <x v="84"/>
    <x v="84"/>
    <n v="49"/>
    <n v="49"/>
    <n v="0"/>
    <s v="MN"/>
    <x v="0"/>
    <n v="101"/>
    <n v="901"/>
    <x v="8"/>
    <s v="IND"/>
    <n v="49"/>
    <x v="2"/>
    <n v="0.11"/>
    <n v="27797"/>
  </r>
  <r>
    <x v="84"/>
    <x v="84"/>
    <n v="49"/>
    <n v="49"/>
    <n v="0"/>
    <s v="MN"/>
    <x v="0"/>
    <n v="101"/>
    <n v="9901"/>
    <x v="9"/>
    <s v="WI"/>
    <n v="49"/>
    <x v="351"/>
    <n v="0.27"/>
    <n v="27797"/>
  </r>
  <r>
    <x v="85"/>
    <x v="85"/>
    <n v="51"/>
    <n v="51"/>
    <n v="0"/>
    <s v="MN"/>
    <x v="0"/>
    <n v="101"/>
    <n v="101"/>
    <x v="0"/>
    <s v="R"/>
    <n v="51"/>
    <x v="352"/>
    <n v="63.54"/>
    <n v="90041"/>
  </r>
  <r>
    <x v="85"/>
    <x v="85"/>
    <n v="51"/>
    <n v="51"/>
    <n v="0"/>
    <s v="MN"/>
    <x v="0"/>
    <n v="101"/>
    <n v="201"/>
    <x v="1"/>
    <s v="DFL"/>
    <n v="51"/>
    <x v="353"/>
    <n v="34.299999999999997"/>
    <n v="90041"/>
  </r>
  <r>
    <x v="85"/>
    <x v="85"/>
    <n v="51"/>
    <n v="51"/>
    <n v="0"/>
    <s v="MN"/>
    <x v="0"/>
    <n v="101"/>
    <n v="301"/>
    <x v="2"/>
    <s v="LIB"/>
    <n v="51"/>
    <x v="354"/>
    <n v="0.53"/>
    <n v="90041"/>
  </r>
  <r>
    <x v="85"/>
    <x v="85"/>
    <n v="51"/>
    <n v="51"/>
    <n v="0"/>
    <s v="MN"/>
    <x v="0"/>
    <n v="101"/>
    <n v="401"/>
    <x v="3"/>
    <s v="WTP"/>
    <n v="51"/>
    <x v="355"/>
    <n v="0.85"/>
    <n v="90041"/>
  </r>
  <r>
    <x v="85"/>
    <x v="85"/>
    <n v="51"/>
    <n v="51"/>
    <n v="0"/>
    <s v="MN"/>
    <x v="0"/>
    <n v="101"/>
    <n v="501"/>
    <x v="4"/>
    <s v="G"/>
    <n v="51"/>
    <x v="356"/>
    <n v="0.25"/>
    <n v="90041"/>
  </r>
  <r>
    <x v="85"/>
    <x v="85"/>
    <n v="51"/>
    <n v="51"/>
    <n v="0"/>
    <s v="MN"/>
    <x v="0"/>
    <n v="101"/>
    <n v="601"/>
    <x v="5"/>
    <s v="SLP"/>
    <n v="51"/>
    <x v="8"/>
    <n v="0.03"/>
    <n v="90041"/>
  </r>
  <r>
    <x v="85"/>
    <x v="85"/>
    <n v="51"/>
    <n v="51"/>
    <n v="0"/>
    <s v="MN"/>
    <x v="0"/>
    <n v="101"/>
    <n v="701"/>
    <x v="6"/>
    <s v="SWP"/>
    <n v="51"/>
    <x v="33"/>
    <n v="0.01"/>
    <n v="90041"/>
  </r>
  <r>
    <x v="85"/>
    <x v="85"/>
    <n v="51"/>
    <n v="51"/>
    <n v="0"/>
    <s v="MN"/>
    <x v="0"/>
    <n v="101"/>
    <n v="801"/>
    <x v="7"/>
    <s v="JFA"/>
    <n v="51"/>
    <x v="35"/>
    <n v="0.03"/>
    <n v="90041"/>
  </r>
  <r>
    <x v="85"/>
    <x v="85"/>
    <n v="51"/>
    <n v="51"/>
    <n v="0"/>
    <s v="MN"/>
    <x v="0"/>
    <n v="101"/>
    <n v="901"/>
    <x v="8"/>
    <s v="IND"/>
    <n v="51"/>
    <x v="176"/>
    <n v="0.09"/>
    <n v="90041"/>
  </r>
  <r>
    <x v="85"/>
    <x v="85"/>
    <n v="51"/>
    <n v="51"/>
    <n v="0"/>
    <s v="MN"/>
    <x v="0"/>
    <n v="101"/>
    <n v="9901"/>
    <x v="9"/>
    <s v="WI"/>
    <n v="51"/>
    <x v="357"/>
    <n v="0.38"/>
    <n v="90041"/>
  </r>
  <r>
    <x v="86"/>
    <x v="86"/>
    <n v="30"/>
    <n v="30"/>
    <n v="0"/>
    <s v="MN"/>
    <x v="0"/>
    <n v="101"/>
    <n v="101"/>
    <x v="0"/>
    <s v="R"/>
    <n v="30"/>
    <x v="358"/>
    <n v="69.09"/>
    <n v="5410"/>
  </r>
  <r>
    <x v="86"/>
    <x v="86"/>
    <n v="30"/>
    <n v="30"/>
    <n v="0"/>
    <s v="MN"/>
    <x v="0"/>
    <n v="101"/>
    <n v="201"/>
    <x v="1"/>
    <s v="DFL"/>
    <n v="30"/>
    <x v="359"/>
    <n v="28.61"/>
    <n v="5410"/>
  </r>
  <r>
    <x v="86"/>
    <x v="86"/>
    <n v="30"/>
    <n v="30"/>
    <n v="0"/>
    <s v="MN"/>
    <x v="0"/>
    <n v="101"/>
    <n v="301"/>
    <x v="2"/>
    <s v="LIB"/>
    <n v="30"/>
    <x v="57"/>
    <n v="0.44"/>
    <n v="5410"/>
  </r>
  <r>
    <x v="86"/>
    <x v="86"/>
    <n v="30"/>
    <n v="30"/>
    <n v="0"/>
    <s v="MN"/>
    <x v="0"/>
    <n v="101"/>
    <n v="401"/>
    <x v="3"/>
    <s v="WTP"/>
    <n v="30"/>
    <x v="187"/>
    <n v="1.1599999999999999"/>
    <n v="5410"/>
  </r>
  <r>
    <x v="86"/>
    <x v="86"/>
    <n v="30"/>
    <n v="30"/>
    <n v="0"/>
    <s v="MN"/>
    <x v="0"/>
    <n v="101"/>
    <n v="501"/>
    <x v="4"/>
    <s v="G"/>
    <n v="30"/>
    <x v="105"/>
    <n v="0.17"/>
    <n v="5410"/>
  </r>
  <r>
    <x v="86"/>
    <x v="86"/>
    <n v="30"/>
    <n v="30"/>
    <n v="0"/>
    <s v="MN"/>
    <x v="0"/>
    <n v="101"/>
    <n v="601"/>
    <x v="5"/>
    <s v="SLP"/>
    <n v="30"/>
    <x v="5"/>
    <n v="0"/>
    <n v="5410"/>
  </r>
  <r>
    <x v="86"/>
    <x v="86"/>
    <n v="30"/>
    <n v="30"/>
    <n v="0"/>
    <s v="MN"/>
    <x v="0"/>
    <n v="101"/>
    <n v="701"/>
    <x v="6"/>
    <s v="SWP"/>
    <n v="30"/>
    <x v="5"/>
    <n v="0"/>
    <n v="5410"/>
  </r>
  <r>
    <x v="86"/>
    <x v="86"/>
    <n v="30"/>
    <n v="30"/>
    <n v="0"/>
    <s v="MN"/>
    <x v="0"/>
    <n v="101"/>
    <n v="801"/>
    <x v="7"/>
    <s v="JFA"/>
    <n v="30"/>
    <x v="43"/>
    <n v="0.06"/>
    <n v="5410"/>
  </r>
  <r>
    <x v="86"/>
    <x v="86"/>
    <n v="30"/>
    <n v="30"/>
    <n v="0"/>
    <s v="MN"/>
    <x v="0"/>
    <n v="101"/>
    <n v="901"/>
    <x v="8"/>
    <s v="IND"/>
    <n v="30"/>
    <x v="49"/>
    <n v="0.11"/>
    <n v="5410"/>
  </r>
  <r>
    <x v="86"/>
    <x v="86"/>
    <n v="30"/>
    <n v="30"/>
    <n v="0"/>
    <s v="MN"/>
    <x v="0"/>
    <n v="101"/>
    <n v="9901"/>
    <x v="9"/>
    <s v="WI"/>
    <n v="30"/>
    <x v="34"/>
    <n v="0.35"/>
    <n v="5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2B2FD-A493-CE40-8A62-B44445FFB309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L91" firstHeaderRow="1" firstDataRow="2" firstDataCol="1" rowPageCount="1" colPageCount="1"/>
  <pivotFields count="15">
    <pivotField showAll="0"/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2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6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axis="axisCol" showAll="0">
      <items count="11">
        <item x="2"/>
        <item x="5"/>
        <item x="7"/>
        <item x="0"/>
        <item x="4"/>
        <item x="1"/>
        <item x="6"/>
        <item x="3"/>
        <item x="8"/>
        <item x="9"/>
        <item t="default"/>
      </items>
    </pivotField>
    <pivotField showAll="0"/>
    <pivotField showAll="0"/>
    <pivotField dataField="1" showAll="0">
      <items count="361">
        <item x="5"/>
        <item x="6"/>
        <item x="23"/>
        <item x="43"/>
        <item x="44"/>
        <item x="33"/>
        <item x="49"/>
        <item x="62"/>
        <item x="24"/>
        <item x="105"/>
        <item x="45"/>
        <item x="84"/>
        <item x="108"/>
        <item x="32"/>
        <item x="42"/>
        <item x="7"/>
        <item x="88"/>
        <item x="201"/>
        <item x="25"/>
        <item x="34"/>
        <item x="193"/>
        <item x="63"/>
        <item x="15"/>
        <item x="76"/>
        <item x="57"/>
        <item x="4"/>
        <item x="101"/>
        <item x="8"/>
        <item x="35"/>
        <item x="104"/>
        <item x="77"/>
        <item x="2"/>
        <item x="109"/>
        <item x="94"/>
        <item x="83"/>
        <item x="147"/>
        <item x="131"/>
        <item x="231"/>
        <item x="196"/>
        <item x="235"/>
        <item x="56"/>
        <item x="232"/>
        <item x="215"/>
        <item x="26"/>
        <item x="50"/>
        <item x="143"/>
        <item x="85"/>
        <item x="241"/>
        <item x="224"/>
        <item x="129"/>
        <item x="175"/>
        <item x="69"/>
        <item x="78"/>
        <item x="82"/>
        <item x="169"/>
        <item x="89"/>
        <item x="21"/>
        <item x="46"/>
        <item x="31"/>
        <item x="187"/>
        <item x="209"/>
        <item x="179"/>
        <item x="293"/>
        <item x="36"/>
        <item x="182"/>
        <item x="70"/>
        <item x="188"/>
        <item x="148"/>
        <item x="64"/>
        <item x="304"/>
        <item x="41"/>
        <item x="351"/>
        <item x="313"/>
        <item x="67"/>
        <item x="176"/>
        <item x="240"/>
        <item x="3"/>
        <item x="213"/>
        <item x="298"/>
        <item x="135"/>
        <item x="170"/>
        <item x="251"/>
        <item x="116"/>
        <item x="260"/>
        <item x="336"/>
        <item x="173"/>
        <item x="185"/>
        <item x="29"/>
        <item x="95"/>
        <item x="299"/>
        <item x="167"/>
        <item x="140"/>
        <item x="225"/>
        <item x="100"/>
        <item x="58"/>
        <item x="39"/>
        <item x="144"/>
        <item x="257"/>
        <item x="61"/>
        <item x="130"/>
        <item x="288"/>
        <item x="55"/>
        <item x="98"/>
        <item x="263"/>
        <item x="157"/>
        <item x="14"/>
        <item x="255"/>
        <item x="210"/>
        <item x="117"/>
        <item x="286"/>
        <item x="114"/>
        <item x="204"/>
        <item x="53"/>
        <item x="342"/>
        <item x="230"/>
        <item x="123"/>
        <item x="186"/>
        <item x="214"/>
        <item x="22"/>
        <item x="310"/>
        <item x="92"/>
        <item x="16"/>
        <item x="30"/>
        <item x="134"/>
        <item x="40"/>
        <item x="276"/>
        <item x="17"/>
        <item x="322"/>
        <item x="168"/>
        <item x="356"/>
        <item x="68"/>
        <item x="124"/>
        <item x="350"/>
        <item x="174"/>
        <item x="93"/>
        <item x="75"/>
        <item x="319"/>
        <item x="125"/>
        <item x="287"/>
        <item x="308"/>
        <item x="256"/>
        <item x="99"/>
        <item x="115"/>
        <item x="305"/>
        <item x="316"/>
        <item x="357"/>
        <item x="54"/>
        <item x="318"/>
        <item x="79"/>
        <item x="309"/>
        <item x="252"/>
        <item x="73"/>
        <item x="300"/>
        <item x="297"/>
        <item x="275"/>
        <item x="354"/>
        <item x="248"/>
        <item x="296"/>
        <item x="250"/>
        <item x="274"/>
        <item x="74"/>
        <item x="159"/>
        <item x="329"/>
        <item x="200"/>
        <item x="279"/>
        <item x="303"/>
        <item x="249"/>
        <item x="317"/>
        <item x="341"/>
        <item x="355"/>
        <item x="343"/>
        <item x="18"/>
        <item x="339"/>
        <item x="190"/>
        <item x="48"/>
        <item x="206"/>
        <item x="217"/>
        <item x="347"/>
        <item x="340"/>
        <item x="11"/>
        <item x="106"/>
        <item x="216"/>
        <item x="103"/>
        <item x="219"/>
        <item x="150"/>
        <item x="126"/>
        <item x="245"/>
        <item x="158"/>
        <item x="277"/>
        <item x="195"/>
        <item x="237"/>
        <item x="271"/>
        <item x="120"/>
        <item x="156"/>
        <item x="278"/>
        <item x="122"/>
        <item x="272"/>
        <item x="189"/>
        <item x="359"/>
        <item x="178"/>
        <item x="290"/>
        <item x="12"/>
        <item x="326"/>
        <item x="111"/>
        <item x="199"/>
        <item x="345"/>
        <item x="13"/>
        <item x="121"/>
        <item x="47"/>
        <item x="324"/>
        <item x="333"/>
        <item x="244"/>
        <item x="87"/>
        <item x="292"/>
        <item x="273"/>
        <item x="205"/>
        <item x="149"/>
        <item x="283"/>
        <item x="346"/>
        <item x="281"/>
        <item x="312"/>
        <item x="137"/>
        <item x="268"/>
        <item x="107"/>
        <item x="259"/>
        <item x="192"/>
        <item x="243"/>
        <item x="194"/>
        <item x="181"/>
        <item x="328"/>
        <item x="344"/>
        <item x="221"/>
        <item x="323"/>
        <item x="197"/>
        <item x="325"/>
        <item x="236"/>
        <item x="335"/>
        <item x="1"/>
        <item x="198"/>
        <item x="264"/>
        <item x="102"/>
        <item x="160"/>
        <item x="153"/>
        <item x="289"/>
        <item x="358"/>
        <item x="218"/>
        <item x="223"/>
        <item x="177"/>
        <item x="128"/>
        <item x="110"/>
        <item x="86"/>
        <item x="191"/>
        <item x="154"/>
        <item x="208"/>
        <item x="229"/>
        <item x="227"/>
        <item x="139"/>
        <item x="164"/>
        <item x="60"/>
        <item x="162"/>
        <item x="267"/>
        <item x="331"/>
        <item x="258"/>
        <item x="266"/>
        <item x="136"/>
        <item x="262"/>
        <item x="155"/>
        <item x="242"/>
        <item x="282"/>
        <item x="203"/>
        <item x="280"/>
        <item x="311"/>
        <item x="332"/>
        <item x="291"/>
        <item x="81"/>
        <item x="212"/>
        <item x="20"/>
        <item x="142"/>
        <item x="161"/>
        <item x="0"/>
        <item x="334"/>
        <item x="180"/>
        <item x="38"/>
        <item x="166"/>
        <item x="220"/>
        <item x="138"/>
        <item x="321"/>
        <item x="184"/>
        <item x="133"/>
        <item x="127"/>
        <item x="234"/>
        <item x="207"/>
        <item x="330"/>
        <item x="163"/>
        <item x="239"/>
        <item x="238"/>
        <item x="222"/>
        <item x="59"/>
        <item x="66"/>
        <item x="141"/>
        <item x="265"/>
        <item x="233"/>
        <item x="327"/>
        <item x="65"/>
        <item x="172"/>
        <item x="226"/>
        <item x="261"/>
        <item x="28"/>
        <item x="202"/>
        <item x="146"/>
        <item x="254"/>
        <item x="91"/>
        <item x="320"/>
        <item x="80"/>
        <item x="27"/>
        <item x="349"/>
        <item x="19"/>
        <item x="113"/>
        <item x="348"/>
        <item x="211"/>
        <item x="183"/>
        <item x="37"/>
        <item x="228"/>
        <item x="171"/>
        <item x="96"/>
        <item x="97"/>
        <item x="145"/>
        <item x="132"/>
        <item x="285"/>
        <item x="52"/>
        <item x="51"/>
        <item x="165"/>
        <item x="284"/>
        <item x="307"/>
        <item x="90"/>
        <item x="253"/>
        <item x="112"/>
        <item x="315"/>
        <item x="353"/>
        <item x="72"/>
        <item x="71"/>
        <item x="306"/>
        <item x="246"/>
        <item x="302"/>
        <item x="301"/>
        <item x="247"/>
        <item x="294"/>
        <item x="314"/>
        <item x="352"/>
        <item x="295"/>
        <item x="337"/>
        <item x="269"/>
        <item x="338"/>
        <item x="10"/>
        <item x="9"/>
        <item x="118"/>
        <item x="119"/>
        <item x="270"/>
        <item x="151"/>
        <item x="152"/>
        <item t="default"/>
      </items>
    </pivotField>
    <pivotField showAll="0"/>
    <pivotField showAll="0"/>
  </pivotFields>
  <rowFields count="1">
    <field x="1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</rowItems>
  <colFields count="1">
    <field x="9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6" hier="-1"/>
  </pageFields>
  <dataFields count="1">
    <dataField name="Sum of Vot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27FD8-BFB5-694D-AF01-F73998F888C2}" name="Table1" displayName="Table1" ref="A1:O871" totalsRowShown="0" headerRowDxfId="3">
  <autoFilter ref="A1:O871" xr:uid="{B9F27FD8-BFB5-694D-AF01-F73998F888C2}"/>
  <tableColumns count="15">
    <tableColumn id="1" xr3:uid="{F69A169C-B220-1B47-9DC2-BACCA00134FB}" name="CountyID"/>
    <tableColumn id="13" xr3:uid="{A14A0C9B-A2EF-4F47-8189-42B92348601E}" name="County Descriptions" dataDxfId="2">
      <calculatedColumnFormula>VLOOKUP(Table1[[#This Row],[CountyID]],[1]!Table1[#All],2,FALSE)</calculatedColumnFormula>
    </tableColumn>
    <tableColumn id="15" xr3:uid="{DEC454D9-1772-F84F-BF13-07370EB8666E}" name="Number of Counties" dataDxfId="1">
      <calculatedColumnFormula>VLOOKUP(Table1[[#This Row],[CountyID]],[1]!Table1[#All],3,FALSE)</calculatedColumnFormula>
    </tableColumn>
    <tableColumn id="8" xr3:uid="{ECD6A4CF-32DD-5E45-9112-D1DC655566CF}" name="Number of precincts Reporting"/>
    <tableColumn id="16" xr3:uid="{CC3720F3-B4B0-E442-94BB-187CDA489287}" name="VLOOKUP Checker" dataDxfId="0">
      <calculatedColumnFormula>Table1[[#This Row],[Number of Counties]]-Table1[[#This Row],[Number of precincts Reporting]]</calculatedColumnFormula>
    </tableColumn>
    <tableColumn id="2" xr3:uid="{2FFDD0DB-7D97-D14C-B835-9834675B702D}" name="State"/>
    <tableColumn id="3" xr3:uid="{78027E20-BCC2-0F48-AA78-A2533FDD9A69}" name="Office Name"/>
    <tableColumn id="4" xr3:uid="{69F624C3-B422-5D40-90C3-9DB5D605E62D}" name="Office ID"/>
    <tableColumn id="5" xr3:uid="{EE754FC0-15A4-1442-A484-D5E3FAE056F8}" name="Candidate Order Code"/>
    <tableColumn id="6" xr3:uid="{A4E4240F-B467-E34C-9B04-66E4D28579A9}" name="Candidate Name Description"/>
    <tableColumn id="7" xr3:uid="{9EB93A26-E557-AF4B-8994-BAD12C5058C3}" name="Party Abbreviation"/>
    <tableColumn id="9" xr3:uid="{B00AD2B0-8AC1-BB4A-A3A1-55FF0CE36634}" name="Total Number of Precincts"/>
    <tableColumn id="10" xr3:uid="{FD3CFBFD-EC56-A74E-A91A-E1A427232BBC}" name="Votes"/>
    <tableColumn id="11" xr3:uid="{50B80986-0771-9945-AF8F-F05792B78FAD}" name="Percentage of votes for candidate of total votes for office"/>
    <tableColumn id="12" xr3:uid="{E7F8AD96-0AC4-0843-B76C-33C51D01C40A}" name="Total votes for office in 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7859-7479-4548-92FA-C63F49B49E83}">
  <dimension ref="A1:L91"/>
  <sheetViews>
    <sheetView workbookViewId="0">
      <selection activeCell="B33" sqref="B33"/>
    </sheetView>
  </sheetViews>
  <sheetFormatPr baseColWidth="10" defaultRowHeight="15" x14ac:dyDescent="0.2"/>
  <cols>
    <col min="1" max="1" width="15.1640625" bestFit="1" customWidth="1"/>
    <col min="2" max="2" width="25.5" bestFit="1" customWidth="1"/>
    <col min="3" max="3" width="28.6640625" bestFit="1" customWidth="1"/>
    <col min="4" max="4" width="27.5" bestFit="1" customWidth="1"/>
    <col min="5" max="5" width="24.33203125" bestFit="1" customWidth="1"/>
    <col min="6" max="6" width="25.5" bestFit="1" customWidth="1"/>
    <col min="7" max="7" width="24.1640625" bestFit="1" customWidth="1"/>
    <col min="8" max="8" width="26.6640625" bestFit="1" customWidth="1"/>
    <col min="9" max="9" width="34.33203125" bestFit="1" customWidth="1"/>
    <col min="10" max="10" width="25.5" bestFit="1" customWidth="1"/>
    <col min="11" max="11" width="8.1640625" bestFit="1" customWidth="1"/>
    <col min="12" max="12" width="10" bestFit="1" customWidth="1"/>
    <col min="13" max="90" width="3.1640625" bestFit="1" customWidth="1"/>
    <col min="91" max="179" width="4.1640625" bestFit="1" customWidth="1"/>
    <col min="180" max="300" width="5.1640625" bestFit="1" customWidth="1"/>
    <col min="301" max="355" width="6.1640625" bestFit="1" customWidth="1"/>
    <col min="356" max="361" width="7.1640625" bestFit="1" customWidth="1"/>
    <col min="362" max="362" width="10" bestFit="1" customWidth="1"/>
  </cols>
  <sheetData>
    <row r="1" spans="1:12" x14ac:dyDescent="0.2">
      <c r="A1" s="2" t="s">
        <v>25</v>
      </c>
      <c r="B1" t="s">
        <v>127</v>
      </c>
    </row>
    <row r="3" spans="1:12" x14ac:dyDescent="0.2">
      <c r="A3" s="2" t="s">
        <v>129</v>
      </c>
      <c r="B3" s="2" t="s">
        <v>128</v>
      </c>
    </row>
    <row r="4" spans="1:12" x14ac:dyDescent="0.2">
      <c r="A4" s="2" t="s">
        <v>39</v>
      </c>
      <c r="B4" t="s">
        <v>6</v>
      </c>
      <c r="C4" t="s">
        <v>12</v>
      </c>
      <c r="D4" t="s">
        <v>16</v>
      </c>
      <c r="E4" t="s">
        <v>2</v>
      </c>
      <c r="F4" t="s">
        <v>10</v>
      </c>
      <c r="G4" t="s">
        <v>4</v>
      </c>
      <c r="H4" t="s">
        <v>14</v>
      </c>
      <c r="I4" t="s">
        <v>8</v>
      </c>
      <c r="J4" t="s">
        <v>18</v>
      </c>
      <c r="K4" t="s">
        <v>20</v>
      </c>
      <c r="L4" t="s">
        <v>40</v>
      </c>
    </row>
    <row r="5" spans="1:12" x14ac:dyDescent="0.2">
      <c r="A5" s="3" t="s">
        <v>36</v>
      </c>
      <c r="B5">
        <v>31</v>
      </c>
      <c r="C5">
        <v>0</v>
      </c>
      <c r="D5">
        <v>1</v>
      </c>
      <c r="E5">
        <v>6741</v>
      </c>
      <c r="F5">
        <v>25</v>
      </c>
      <c r="G5">
        <v>3524</v>
      </c>
      <c r="H5">
        <v>0</v>
      </c>
      <c r="I5">
        <v>82</v>
      </c>
      <c r="J5">
        <v>15</v>
      </c>
      <c r="K5">
        <v>27</v>
      </c>
      <c r="L5">
        <v>10446</v>
      </c>
    </row>
    <row r="6" spans="1:12" x14ac:dyDescent="0.2">
      <c r="A6" s="3" t="s">
        <v>41</v>
      </c>
      <c r="B6">
        <v>1137</v>
      </c>
      <c r="C6">
        <v>145</v>
      </c>
      <c r="D6">
        <v>191</v>
      </c>
      <c r="E6">
        <v>106974</v>
      </c>
      <c r="F6">
        <v>1725</v>
      </c>
      <c r="G6">
        <v>97667</v>
      </c>
      <c r="H6">
        <v>22</v>
      </c>
      <c r="I6">
        <v>1591</v>
      </c>
      <c r="J6">
        <v>204</v>
      </c>
      <c r="K6">
        <v>825</v>
      </c>
      <c r="L6">
        <v>210481</v>
      </c>
    </row>
    <row r="7" spans="1:12" x14ac:dyDescent="0.2">
      <c r="A7" s="3" t="s">
        <v>42</v>
      </c>
      <c r="B7">
        <v>58</v>
      </c>
      <c r="C7">
        <v>1</v>
      </c>
      <c r="D7">
        <v>8</v>
      </c>
      <c r="E7">
        <v>12961</v>
      </c>
      <c r="F7">
        <v>31</v>
      </c>
      <c r="G7">
        <v>6435</v>
      </c>
      <c r="H7">
        <v>2</v>
      </c>
      <c r="I7">
        <v>182</v>
      </c>
      <c r="J7">
        <v>18</v>
      </c>
      <c r="K7">
        <v>43</v>
      </c>
      <c r="L7">
        <v>19739</v>
      </c>
    </row>
    <row r="8" spans="1:12" x14ac:dyDescent="0.2">
      <c r="A8" s="3" t="s">
        <v>43</v>
      </c>
      <c r="B8">
        <v>97</v>
      </c>
      <c r="C8">
        <v>13</v>
      </c>
      <c r="D8">
        <v>19</v>
      </c>
      <c r="E8">
        <v>12898</v>
      </c>
      <c r="F8">
        <v>62</v>
      </c>
      <c r="G8">
        <v>11493</v>
      </c>
      <c r="H8">
        <v>5</v>
      </c>
      <c r="I8">
        <v>192</v>
      </c>
      <c r="J8">
        <v>28</v>
      </c>
      <c r="K8">
        <v>67</v>
      </c>
      <c r="L8">
        <v>24874</v>
      </c>
    </row>
    <row r="9" spans="1:12" x14ac:dyDescent="0.2">
      <c r="A9" s="3" t="s">
        <v>44</v>
      </c>
      <c r="B9">
        <v>118</v>
      </c>
      <c r="C9">
        <v>14</v>
      </c>
      <c r="D9">
        <v>4</v>
      </c>
      <c r="E9">
        <v>15260</v>
      </c>
      <c r="F9">
        <v>75</v>
      </c>
      <c r="G9">
        <v>7084</v>
      </c>
      <c r="H9">
        <v>3</v>
      </c>
      <c r="I9">
        <v>195</v>
      </c>
      <c r="J9">
        <v>10</v>
      </c>
      <c r="K9">
        <v>61</v>
      </c>
      <c r="L9">
        <v>22824</v>
      </c>
    </row>
    <row r="10" spans="1:12" x14ac:dyDescent="0.2">
      <c r="A10" s="3" t="s">
        <v>45</v>
      </c>
      <c r="B10">
        <v>6</v>
      </c>
      <c r="C10">
        <v>0</v>
      </c>
      <c r="D10">
        <v>0</v>
      </c>
      <c r="E10">
        <v>1796</v>
      </c>
      <c r="F10">
        <v>3</v>
      </c>
      <c r="G10">
        <v>964</v>
      </c>
      <c r="H10">
        <v>0</v>
      </c>
      <c r="I10">
        <v>44</v>
      </c>
      <c r="J10">
        <v>3</v>
      </c>
      <c r="K10">
        <v>8</v>
      </c>
      <c r="L10">
        <v>2824</v>
      </c>
    </row>
    <row r="11" spans="1:12" x14ac:dyDescent="0.2">
      <c r="A11" s="3" t="s">
        <v>46</v>
      </c>
      <c r="B11">
        <v>160</v>
      </c>
      <c r="C11">
        <v>40</v>
      </c>
      <c r="D11">
        <v>24</v>
      </c>
      <c r="E11">
        <v>18001</v>
      </c>
      <c r="F11">
        <v>140</v>
      </c>
      <c r="G11">
        <v>17558</v>
      </c>
      <c r="H11">
        <v>8</v>
      </c>
      <c r="I11">
        <v>351</v>
      </c>
      <c r="J11">
        <v>44</v>
      </c>
      <c r="K11">
        <v>116</v>
      </c>
      <c r="L11">
        <v>36442</v>
      </c>
    </row>
    <row r="12" spans="1:12" x14ac:dyDescent="0.2">
      <c r="A12" s="3" t="s">
        <v>47</v>
      </c>
      <c r="B12">
        <v>67</v>
      </c>
      <c r="C12">
        <v>5</v>
      </c>
      <c r="D12">
        <v>7</v>
      </c>
      <c r="E12">
        <v>9692</v>
      </c>
      <c r="F12">
        <v>27</v>
      </c>
      <c r="G12">
        <v>4576</v>
      </c>
      <c r="H12">
        <v>0</v>
      </c>
      <c r="I12">
        <v>131</v>
      </c>
      <c r="J12">
        <v>21</v>
      </c>
      <c r="K12">
        <v>72</v>
      </c>
      <c r="L12">
        <v>14598</v>
      </c>
    </row>
    <row r="13" spans="1:12" x14ac:dyDescent="0.2">
      <c r="A13" s="3" t="s">
        <v>48</v>
      </c>
      <c r="B13">
        <v>79</v>
      </c>
      <c r="C13">
        <v>5</v>
      </c>
      <c r="D13">
        <v>10</v>
      </c>
      <c r="E13">
        <v>10435</v>
      </c>
      <c r="F13">
        <v>52</v>
      </c>
      <c r="G13">
        <v>9905</v>
      </c>
      <c r="H13">
        <v>4</v>
      </c>
      <c r="I13">
        <v>229</v>
      </c>
      <c r="J13">
        <v>27</v>
      </c>
      <c r="K13">
        <v>69</v>
      </c>
      <c r="L13">
        <v>20815</v>
      </c>
    </row>
    <row r="14" spans="1:12" x14ac:dyDescent="0.2">
      <c r="A14" s="3" t="s">
        <v>49</v>
      </c>
      <c r="B14">
        <v>413</v>
      </c>
      <c r="C14">
        <v>23</v>
      </c>
      <c r="D14">
        <v>30</v>
      </c>
      <c r="E14">
        <v>35586</v>
      </c>
      <c r="F14">
        <v>262</v>
      </c>
      <c r="G14">
        <v>31869</v>
      </c>
      <c r="H14">
        <v>7</v>
      </c>
      <c r="I14">
        <v>561</v>
      </c>
      <c r="J14">
        <v>53</v>
      </c>
      <c r="K14">
        <v>356</v>
      </c>
      <c r="L14">
        <v>69160</v>
      </c>
    </row>
    <row r="15" spans="1:12" x14ac:dyDescent="0.2">
      <c r="A15" s="3" t="s">
        <v>50</v>
      </c>
      <c r="B15">
        <v>54</v>
      </c>
      <c r="C15">
        <v>3</v>
      </c>
      <c r="D15">
        <v>11</v>
      </c>
      <c r="E15">
        <v>12759</v>
      </c>
      <c r="F15">
        <v>34</v>
      </c>
      <c r="G15">
        <v>6300</v>
      </c>
      <c r="H15">
        <v>0</v>
      </c>
      <c r="I15">
        <v>145</v>
      </c>
      <c r="J15">
        <v>10</v>
      </c>
      <c r="K15">
        <v>47</v>
      </c>
      <c r="L15">
        <v>19363</v>
      </c>
    </row>
    <row r="16" spans="1:12" x14ac:dyDescent="0.2">
      <c r="A16" s="3" t="s">
        <v>51</v>
      </c>
      <c r="B16">
        <v>16</v>
      </c>
      <c r="C16">
        <v>4</v>
      </c>
      <c r="D16">
        <v>4</v>
      </c>
      <c r="E16">
        <v>4175</v>
      </c>
      <c r="F16">
        <v>11</v>
      </c>
      <c r="G16">
        <v>2026</v>
      </c>
      <c r="H16">
        <v>0</v>
      </c>
      <c r="I16">
        <v>57</v>
      </c>
      <c r="J16">
        <v>7</v>
      </c>
      <c r="K16">
        <v>18</v>
      </c>
      <c r="L16">
        <v>6318</v>
      </c>
    </row>
    <row r="17" spans="1:12" x14ac:dyDescent="0.2">
      <c r="A17" s="3" t="s">
        <v>52</v>
      </c>
      <c r="B17">
        <v>185</v>
      </c>
      <c r="C17">
        <v>4</v>
      </c>
      <c r="D17">
        <v>14</v>
      </c>
      <c r="E17">
        <v>23047</v>
      </c>
      <c r="F17">
        <v>67</v>
      </c>
      <c r="G17">
        <v>11894</v>
      </c>
      <c r="H17">
        <v>3</v>
      </c>
      <c r="I17">
        <v>255</v>
      </c>
      <c r="J17">
        <v>33</v>
      </c>
      <c r="K17">
        <v>99</v>
      </c>
      <c r="L17">
        <v>35601</v>
      </c>
    </row>
    <row r="18" spans="1:12" x14ac:dyDescent="0.2">
      <c r="A18" s="3" t="s">
        <v>53</v>
      </c>
      <c r="B18">
        <v>141</v>
      </c>
      <c r="C18">
        <v>26</v>
      </c>
      <c r="D18">
        <v>24</v>
      </c>
      <c r="E18">
        <v>15965</v>
      </c>
      <c r="F18">
        <v>115</v>
      </c>
      <c r="G18">
        <v>16121</v>
      </c>
      <c r="H18">
        <v>6</v>
      </c>
      <c r="I18">
        <v>309</v>
      </c>
      <c r="J18">
        <v>27</v>
      </c>
      <c r="K18">
        <v>140</v>
      </c>
      <c r="L18">
        <v>32874</v>
      </c>
    </row>
    <row r="19" spans="1:12" x14ac:dyDescent="0.2">
      <c r="A19" s="3" t="s">
        <v>54</v>
      </c>
      <c r="B19">
        <v>16</v>
      </c>
      <c r="C19">
        <v>0</v>
      </c>
      <c r="D19">
        <v>4</v>
      </c>
      <c r="E19">
        <v>3575</v>
      </c>
      <c r="F19">
        <v>8</v>
      </c>
      <c r="G19">
        <v>1169</v>
      </c>
      <c r="H19">
        <v>0</v>
      </c>
      <c r="I19">
        <v>29</v>
      </c>
      <c r="J19">
        <v>4</v>
      </c>
      <c r="K19">
        <v>9</v>
      </c>
      <c r="L19">
        <v>4814</v>
      </c>
    </row>
    <row r="20" spans="1:12" x14ac:dyDescent="0.2">
      <c r="A20" s="3" t="s">
        <v>55</v>
      </c>
      <c r="B20">
        <v>12</v>
      </c>
      <c r="C20">
        <v>4</v>
      </c>
      <c r="D20">
        <v>5</v>
      </c>
      <c r="E20">
        <v>1142</v>
      </c>
      <c r="F20">
        <v>26</v>
      </c>
      <c r="G20">
        <v>2416</v>
      </c>
      <c r="H20">
        <v>0</v>
      </c>
      <c r="I20">
        <v>32</v>
      </c>
      <c r="J20">
        <v>4</v>
      </c>
      <c r="K20">
        <v>19</v>
      </c>
      <c r="L20">
        <v>3660</v>
      </c>
    </row>
    <row r="21" spans="1:12" x14ac:dyDescent="0.2">
      <c r="A21" s="3" t="s">
        <v>56</v>
      </c>
      <c r="B21">
        <v>15</v>
      </c>
      <c r="C21">
        <v>4</v>
      </c>
      <c r="D21">
        <v>4</v>
      </c>
      <c r="E21">
        <v>4157</v>
      </c>
      <c r="F21">
        <v>8</v>
      </c>
      <c r="G21">
        <v>1705</v>
      </c>
      <c r="H21">
        <v>0</v>
      </c>
      <c r="I21">
        <v>67</v>
      </c>
      <c r="J21">
        <v>5</v>
      </c>
      <c r="K21">
        <v>23</v>
      </c>
      <c r="L21">
        <v>5988</v>
      </c>
    </row>
    <row r="22" spans="1:12" x14ac:dyDescent="0.2">
      <c r="A22" s="3" t="s">
        <v>57</v>
      </c>
      <c r="B22">
        <v>157</v>
      </c>
      <c r="C22">
        <v>11</v>
      </c>
      <c r="D22">
        <v>9</v>
      </c>
      <c r="E22">
        <v>27423</v>
      </c>
      <c r="F22">
        <v>91</v>
      </c>
      <c r="G22">
        <v>14173</v>
      </c>
      <c r="H22">
        <v>5</v>
      </c>
      <c r="I22">
        <v>313</v>
      </c>
      <c r="J22">
        <v>30</v>
      </c>
      <c r="K22">
        <v>154</v>
      </c>
      <c r="L22">
        <v>42366</v>
      </c>
    </row>
    <row r="23" spans="1:12" x14ac:dyDescent="0.2">
      <c r="A23" s="3" t="s">
        <v>58</v>
      </c>
      <c r="B23">
        <v>1346</v>
      </c>
      <c r="C23">
        <v>173</v>
      </c>
      <c r="D23">
        <v>235</v>
      </c>
      <c r="E23">
        <v>109995</v>
      </c>
      <c r="F23">
        <v>1499</v>
      </c>
      <c r="G23">
        <v>143267</v>
      </c>
      <c r="H23">
        <v>26</v>
      </c>
      <c r="I23">
        <v>1777</v>
      </c>
      <c r="J23">
        <v>272</v>
      </c>
      <c r="K23">
        <v>1215</v>
      </c>
      <c r="L23">
        <v>259805</v>
      </c>
    </row>
    <row r="24" spans="1:12" x14ac:dyDescent="0.2">
      <c r="A24" s="3" t="s">
        <v>59</v>
      </c>
      <c r="B24">
        <v>50</v>
      </c>
      <c r="C24">
        <v>6</v>
      </c>
      <c r="D24">
        <v>9</v>
      </c>
      <c r="E24">
        <v>8095</v>
      </c>
      <c r="F24">
        <v>29</v>
      </c>
      <c r="G24">
        <v>4108</v>
      </c>
      <c r="H24">
        <v>2</v>
      </c>
      <c r="I24">
        <v>137</v>
      </c>
      <c r="J24">
        <v>12</v>
      </c>
      <c r="K24">
        <v>36</v>
      </c>
      <c r="L24">
        <v>12484</v>
      </c>
    </row>
    <row r="25" spans="1:12" x14ac:dyDescent="0.2">
      <c r="A25" s="3" t="s">
        <v>60</v>
      </c>
      <c r="B25">
        <v>72</v>
      </c>
      <c r="C25">
        <v>7</v>
      </c>
      <c r="D25">
        <v>11</v>
      </c>
      <c r="E25">
        <v>16726</v>
      </c>
      <c r="F25">
        <v>47</v>
      </c>
      <c r="G25">
        <v>7938</v>
      </c>
      <c r="H25">
        <v>0</v>
      </c>
      <c r="I25">
        <v>193</v>
      </c>
      <c r="J25">
        <v>25</v>
      </c>
      <c r="K25">
        <v>87</v>
      </c>
      <c r="L25">
        <v>25106</v>
      </c>
    </row>
    <row r="26" spans="1:12" x14ac:dyDescent="0.2">
      <c r="A26" s="3" t="s">
        <v>61</v>
      </c>
      <c r="B26">
        <v>23</v>
      </c>
      <c r="C26">
        <v>1</v>
      </c>
      <c r="D26">
        <v>6</v>
      </c>
      <c r="E26">
        <v>5247</v>
      </c>
      <c r="F26">
        <v>14</v>
      </c>
      <c r="G26">
        <v>2352</v>
      </c>
      <c r="H26">
        <v>1</v>
      </c>
      <c r="I26">
        <v>82</v>
      </c>
      <c r="J26">
        <v>13</v>
      </c>
      <c r="K26">
        <v>22</v>
      </c>
      <c r="L26">
        <v>7761</v>
      </c>
    </row>
    <row r="27" spans="1:12" x14ac:dyDescent="0.2">
      <c r="A27" s="3" t="s">
        <v>62</v>
      </c>
      <c r="B27">
        <v>40</v>
      </c>
      <c r="C27">
        <v>1</v>
      </c>
      <c r="D27">
        <v>4</v>
      </c>
      <c r="E27">
        <v>7638</v>
      </c>
      <c r="F27">
        <v>28</v>
      </c>
      <c r="G27">
        <v>4491</v>
      </c>
      <c r="H27">
        <v>3</v>
      </c>
      <c r="I27">
        <v>112</v>
      </c>
      <c r="J27">
        <v>18</v>
      </c>
      <c r="K27">
        <v>50</v>
      </c>
      <c r="L27">
        <v>12385</v>
      </c>
    </row>
    <row r="28" spans="1:12" x14ac:dyDescent="0.2">
      <c r="A28" s="3" t="s">
        <v>63</v>
      </c>
      <c r="B28">
        <v>46</v>
      </c>
      <c r="C28">
        <v>3</v>
      </c>
      <c r="D28">
        <v>7</v>
      </c>
      <c r="E28">
        <v>10003</v>
      </c>
      <c r="F28">
        <v>29</v>
      </c>
      <c r="G28">
        <v>6448</v>
      </c>
      <c r="H28">
        <v>1</v>
      </c>
      <c r="I28">
        <v>124</v>
      </c>
      <c r="J28">
        <v>9</v>
      </c>
      <c r="K28">
        <v>34</v>
      </c>
      <c r="L28">
        <v>16704</v>
      </c>
    </row>
    <row r="29" spans="1:12" x14ac:dyDescent="0.2">
      <c r="A29" s="3" t="s">
        <v>64</v>
      </c>
      <c r="B29">
        <v>157</v>
      </c>
      <c r="C29">
        <v>11</v>
      </c>
      <c r="D29">
        <v>18</v>
      </c>
      <c r="E29">
        <v>16461</v>
      </c>
      <c r="F29">
        <v>75</v>
      </c>
      <c r="G29">
        <v>11731</v>
      </c>
      <c r="H29">
        <v>3</v>
      </c>
      <c r="I29">
        <v>255</v>
      </c>
      <c r="J29">
        <v>35</v>
      </c>
      <c r="K29">
        <v>71</v>
      </c>
      <c r="L29">
        <v>28817</v>
      </c>
    </row>
    <row r="30" spans="1:12" x14ac:dyDescent="0.2">
      <c r="A30" s="3" t="s">
        <v>65</v>
      </c>
      <c r="B30">
        <v>11</v>
      </c>
      <c r="C30">
        <v>2</v>
      </c>
      <c r="D30">
        <v>0</v>
      </c>
      <c r="E30">
        <v>2266</v>
      </c>
      <c r="F30">
        <v>5</v>
      </c>
      <c r="G30">
        <v>1187</v>
      </c>
      <c r="H30">
        <v>0</v>
      </c>
      <c r="I30">
        <v>57</v>
      </c>
      <c r="J30">
        <v>3</v>
      </c>
      <c r="K30">
        <v>12</v>
      </c>
      <c r="L30">
        <v>3543</v>
      </c>
    </row>
    <row r="31" spans="1:12" x14ac:dyDescent="0.2">
      <c r="A31" s="3" t="s">
        <v>66</v>
      </c>
      <c r="B31">
        <v>3585</v>
      </c>
      <c r="C31">
        <v>1370</v>
      </c>
      <c r="D31">
        <v>1234</v>
      </c>
      <c r="E31">
        <v>197244</v>
      </c>
      <c r="F31">
        <v>5522</v>
      </c>
      <c r="G31">
        <v>502710</v>
      </c>
      <c r="H31">
        <v>143</v>
      </c>
      <c r="I31">
        <v>4209</v>
      </c>
      <c r="J31">
        <v>574</v>
      </c>
      <c r="K31">
        <v>3582</v>
      </c>
      <c r="L31">
        <v>720173</v>
      </c>
    </row>
    <row r="32" spans="1:12" x14ac:dyDescent="0.2">
      <c r="A32" s="3" t="s">
        <v>67</v>
      </c>
      <c r="B32">
        <v>43</v>
      </c>
      <c r="C32">
        <v>0</v>
      </c>
      <c r="D32">
        <v>3</v>
      </c>
      <c r="E32">
        <v>6547</v>
      </c>
      <c r="F32">
        <v>31</v>
      </c>
      <c r="G32">
        <v>4667</v>
      </c>
      <c r="H32">
        <v>3</v>
      </c>
      <c r="I32">
        <v>91</v>
      </c>
      <c r="J32">
        <v>9</v>
      </c>
      <c r="K32">
        <v>34</v>
      </c>
      <c r="L32">
        <v>11428</v>
      </c>
    </row>
    <row r="33" spans="1:12" x14ac:dyDescent="0.2">
      <c r="A33" s="3" t="s">
        <v>68</v>
      </c>
      <c r="B33">
        <v>54</v>
      </c>
      <c r="C33">
        <v>4</v>
      </c>
      <c r="D33">
        <v>5</v>
      </c>
      <c r="E33">
        <v>8809</v>
      </c>
      <c r="F33">
        <v>32</v>
      </c>
      <c r="G33">
        <v>4536</v>
      </c>
      <c r="H33">
        <v>1</v>
      </c>
      <c r="I33">
        <v>115</v>
      </c>
      <c r="J33">
        <v>14</v>
      </c>
      <c r="K33">
        <v>47</v>
      </c>
      <c r="L33">
        <v>13617</v>
      </c>
    </row>
    <row r="34" spans="1:12" x14ac:dyDescent="0.2">
      <c r="A34" s="3" t="s">
        <v>69</v>
      </c>
      <c r="B34">
        <v>108</v>
      </c>
      <c r="C34">
        <v>4</v>
      </c>
      <c r="D34">
        <v>14</v>
      </c>
      <c r="E34">
        <v>18027</v>
      </c>
      <c r="F34">
        <v>56</v>
      </c>
      <c r="G34">
        <v>7384</v>
      </c>
      <c r="H34">
        <v>1</v>
      </c>
      <c r="I34">
        <v>211</v>
      </c>
      <c r="J34">
        <v>24</v>
      </c>
      <c r="K34">
        <v>89</v>
      </c>
      <c r="L34">
        <v>25918</v>
      </c>
    </row>
    <row r="35" spans="1:12" x14ac:dyDescent="0.2">
      <c r="A35" s="3" t="s">
        <v>70</v>
      </c>
      <c r="B35">
        <v>95</v>
      </c>
      <c r="C35">
        <v>5</v>
      </c>
      <c r="D35">
        <v>9</v>
      </c>
      <c r="E35">
        <v>15863</v>
      </c>
      <c r="F35">
        <v>51</v>
      </c>
      <c r="G35">
        <v>10467</v>
      </c>
      <c r="H35">
        <v>0</v>
      </c>
      <c r="I35">
        <v>254</v>
      </c>
      <c r="J35">
        <v>16</v>
      </c>
      <c r="K35">
        <v>80</v>
      </c>
      <c r="L35">
        <v>26840</v>
      </c>
    </row>
    <row r="36" spans="1:12" x14ac:dyDescent="0.2">
      <c r="A36" s="3" t="s">
        <v>71</v>
      </c>
      <c r="B36">
        <v>12</v>
      </c>
      <c r="C36">
        <v>1</v>
      </c>
      <c r="D36">
        <v>1</v>
      </c>
      <c r="E36">
        <v>3949</v>
      </c>
      <c r="F36">
        <v>4</v>
      </c>
      <c r="G36">
        <v>1581</v>
      </c>
      <c r="H36">
        <v>1</v>
      </c>
      <c r="I36">
        <v>65</v>
      </c>
      <c r="J36">
        <v>11</v>
      </c>
      <c r="K36">
        <v>19</v>
      </c>
      <c r="L36">
        <v>5644</v>
      </c>
    </row>
    <row r="37" spans="1:12" x14ac:dyDescent="0.2">
      <c r="A37" s="3" t="s">
        <v>72</v>
      </c>
      <c r="B37">
        <v>36</v>
      </c>
      <c r="C37">
        <v>3</v>
      </c>
      <c r="D37">
        <v>3</v>
      </c>
      <c r="E37">
        <v>6818</v>
      </c>
      <c r="F37">
        <v>23</v>
      </c>
      <c r="G37">
        <v>2718</v>
      </c>
      <c r="H37">
        <v>2</v>
      </c>
      <c r="I37">
        <v>68</v>
      </c>
      <c r="J37">
        <v>11</v>
      </c>
      <c r="K37">
        <v>21</v>
      </c>
      <c r="L37">
        <v>9703</v>
      </c>
    </row>
    <row r="38" spans="1:12" x14ac:dyDescent="0.2">
      <c r="A38" s="3" t="s">
        <v>73</v>
      </c>
      <c r="B38">
        <v>96</v>
      </c>
      <c r="C38">
        <v>10</v>
      </c>
      <c r="D38">
        <v>22</v>
      </c>
      <c r="E38">
        <v>15014</v>
      </c>
      <c r="F38">
        <v>63</v>
      </c>
      <c r="G38">
        <v>7814</v>
      </c>
      <c r="H38">
        <v>1</v>
      </c>
      <c r="I38">
        <v>174</v>
      </c>
      <c r="J38">
        <v>19</v>
      </c>
      <c r="K38">
        <v>70</v>
      </c>
      <c r="L38">
        <v>23283</v>
      </c>
    </row>
    <row r="39" spans="1:12" x14ac:dyDescent="0.2">
      <c r="A39" s="3" t="s">
        <v>74</v>
      </c>
      <c r="B39">
        <v>18</v>
      </c>
      <c r="C39">
        <v>0</v>
      </c>
      <c r="D39">
        <v>3</v>
      </c>
      <c r="E39">
        <v>1535</v>
      </c>
      <c r="F39">
        <v>3</v>
      </c>
      <c r="G39">
        <v>911</v>
      </c>
      <c r="H39">
        <v>0</v>
      </c>
      <c r="I39">
        <v>24</v>
      </c>
      <c r="J39">
        <v>1</v>
      </c>
      <c r="K39">
        <v>5</v>
      </c>
      <c r="L39">
        <v>2500</v>
      </c>
    </row>
    <row r="40" spans="1:12" x14ac:dyDescent="0.2">
      <c r="A40" s="3" t="s">
        <v>75</v>
      </c>
      <c r="B40">
        <v>25</v>
      </c>
      <c r="C40">
        <v>2</v>
      </c>
      <c r="D40">
        <v>1</v>
      </c>
      <c r="E40">
        <v>4204</v>
      </c>
      <c r="F40">
        <v>20</v>
      </c>
      <c r="G40">
        <v>2465</v>
      </c>
      <c r="H40">
        <v>1</v>
      </c>
      <c r="I40">
        <v>52</v>
      </c>
      <c r="J40">
        <v>6</v>
      </c>
      <c r="K40">
        <v>13</v>
      </c>
      <c r="L40">
        <v>6789</v>
      </c>
    </row>
    <row r="41" spans="1:12" x14ac:dyDescent="0.2">
      <c r="A41" s="3" t="s">
        <v>76</v>
      </c>
      <c r="B41">
        <v>15</v>
      </c>
      <c r="C41">
        <v>2</v>
      </c>
      <c r="D41">
        <v>5</v>
      </c>
      <c r="E41">
        <v>2600</v>
      </c>
      <c r="F41">
        <v>10</v>
      </c>
      <c r="G41">
        <v>1314</v>
      </c>
      <c r="H41">
        <v>0</v>
      </c>
      <c r="I41">
        <v>38</v>
      </c>
      <c r="J41">
        <v>5</v>
      </c>
      <c r="K41">
        <v>7</v>
      </c>
      <c r="L41">
        <v>3996</v>
      </c>
    </row>
    <row r="42" spans="1:12" x14ac:dyDescent="0.2">
      <c r="A42" s="3" t="s">
        <v>77</v>
      </c>
      <c r="B42">
        <v>28</v>
      </c>
      <c r="C42">
        <v>4</v>
      </c>
      <c r="D42">
        <v>5</v>
      </c>
      <c r="E42">
        <v>3265</v>
      </c>
      <c r="F42">
        <v>30</v>
      </c>
      <c r="G42">
        <v>3534</v>
      </c>
      <c r="H42">
        <v>0</v>
      </c>
      <c r="I42">
        <v>57</v>
      </c>
      <c r="J42">
        <v>6</v>
      </c>
      <c r="K42">
        <v>25</v>
      </c>
      <c r="L42">
        <v>6954</v>
      </c>
    </row>
    <row r="43" spans="1:12" x14ac:dyDescent="0.2">
      <c r="A43" s="3" t="s">
        <v>78</v>
      </c>
      <c r="B43">
        <v>11</v>
      </c>
      <c r="C43">
        <v>0</v>
      </c>
      <c r="D43">
        <v>0</v>
      </c>
      <c r="E43">
        <v>1710</v>
      </c>
      <c r="F43">
        <v>4</v>
      </c>
      <c r="G43">
        <v>604</v>
      </c>
      <c r="H43">
        <v>0</v>
      </c>
      <c r="I43">
        <v>17</v>
      </c>
      <c r="J43">
        <v>0</v>
      </c>
      <c r="K43">
        <v>1</v>
      </c>
      <c r="L43">
        <v>2347</v>
      </c>
    </row>
    <row r="44" spans="1:12" x14ac:dyDescent="0.2">
      <c r="A44" s="3" t="s">
        <v>79</v>
      </c>
      <c r="B44">
        <v>57</v>
      </c>
      <c r="C44">
        <v>9</v>
      </c>
      <c r="D44">
        <v>5</v>
      </c>
      <c r="E44">
        <v>11503</v>
      </c>
      <c r="F44">
        <v>38</v>
      </c>
      <c r="G44">
        <v>5636</v>
      </c>
      <c r="H44">
        <v>1</v>
      </c>
      <c r="I44">
        <v>158</v>
      </c>
      <c r="J44">
        <v>15</v>
      </c>
      <c r="K44">
        <v>47</v>
      </c>
      <c r="L44">
        <v>17469</v>
      </c>
    </row>
    <row r="45" spans="1:12" x14ac:dyDescent="0.2">
      <c r="A45" s="3" t="s">
        <v>80</v>
      </c>
      <c r="B45">
        <v>13</v>
      </c>
      <c r="C45">
        <v>2</v>
      </c>
      <c r="D45">
        <v>0</v>
      </c>
      <c r="E45">
        <v>2190</v>
      </c>
      <c r="F45">
        <v>6</v>
      </c>
      <c r="G45">
        <v>972</v>
      </c>
      <c r="H45">
        <v>0</v>
      </c>
      <c r="I45">
        <v>38</v>
      </c>
      <c r="J45">
        <v>5</v>
      </c>
      <c r="K45">
        <v>9</v>
      </c>
      <c r="L45">
        <v>3235</v>
      </c>
    </row>
    <row r="46" spans="1:12" x14ac:dyDescent="0.2">
      <c r="A46" s="3" t="s">
        <v>81</v>
      </c>
      <c r="B46">
        <v>64</v>
      </c>
      <c r="C46">
        <v>3</v>
      </c>
      <c r="D46">
        <v>7</v>
      </c>
      <c r="E46">
        <v>8400</v>
      </c>
      <c r="F46">
        <v>25</v>
      </c>
      <c r="G46">
        <v>4284</v>
      </c>
      <c r="H46">
        <v>1</v>
      </c>
      <c r="I46">
        <v>149</v>
      </c>
      <c r="J46">
        <v>13</v>
      </c>
      <c r="K46">
        <v>44</v>
      </c>
      <c r="L46">
        <v>12990</v>
      </c>
    </row>
    <row r="47" spans="1:12" x14ac:dyDescent="0.2">
      <c r="A47" s="3" t="s">
        <v>82</v>
      </c>
      <c r="B47">
        <v>1</v>
      </c>
      <c r="C47">
        <v>1</v>
      </c>
      <c r="D47">
        <v>1</v>
      </c>
      <c r="E47">
        <v>1165</v>
      </c>
      <c r="F47">
        <v>3</v>
      </c>
      <c r="G47">
        <v>975</v>
      </c>
      <c r="H47">
        <v>1</v>
      </c>
      <c r="I47">
        <v>27</v>
      </c>
      <c r="J47">
        <v>2</v>
      </c>
      <c r="K47">
        <v>7</v>
      </c>
      <c r="L47">
        <v>2183</v>
      </c>
    </row>
    <row r="48" spans="1:12" x14ac:dyDescent="0.2">
      <c r="A48" s="3" t="s">
        <v>83</v>
      </c>
      <c r="B48">
        <v>15</v>
      </c>
      <c r="C48">
        <v>1</v>
      </c>
      <c r="D48">
        <v>0</v>
      </c>
      <c r="E48">
        <v>3774</v>
      </c>
      <c r="F48">
        <v>6</v>
      </c>
      <c r="G48">
        <v>1177</v>
      </c>
      <c r="H48">
        <v>0</v>
      </c>
      <c r="I48">
        <v>47</v>
      </c>
      <c r="J48">
        <v>4</v>
      </c>
      <c r="K48">
        <v>7</v>
      </c>
      <c r="L48">
        <v>5031</v>
      </c>
    </row>
    <row r="49" spans="1:12" x14ac:dyDescent="0.2">
      <c r="A49" s="3" t="s">
        <v>84</v>
      </c>
      <c r="B49">
        <v>28</v>
      </c>
      <c r="C49">
        <v>0</v>
      </c>
      <c r="D49">
        <v>3</v>
      </c>
      <c r="E49">
        <v>7442</v>
      </c>
      <c r="F49">
        <v>15</v>
      </c>
      <c r="G49">
        <v>3171</v>
      </c>
      <c r="H49">
        <v>0</v>
      </c>
      <c r="I49">
        <v>95</v>
      </c>
      <c r="J49">
        <v>11</v>
      </c>
      <c r="K49">
        <v>31</v>
      </c>
      <c r="L49">
        <v>10796</v>
      </c>
    </row>
    <row r="50" spans="1:12" x14ac:dyDescent="0.2">
      <c r="A50" s="3" t="s">
        <v>85</v>
      </c>
      <c r="B50">
        <v>84</v>
      </c>
      <c r="C50">
        <v>9</v>
      </c>
      <c r="D50">
        <v>10</v>
      </c>
      <c r="E50">
        <v>14394</v>
      </c>
      <c r="F50">
        <v>42</v>
      </c>
      <c r="G50">
        <v>6374</v>
      </c>
      <c r="H50">
        <v>3</v>
      </c>
      <c r="I50">
        <v>180</v>
      </c>
      <c r="J50">
        <v>35</v>
      </c>
      <c r="K50">
        <v>68</v>
      </c>
      <c r="L50">
        <v>21199</v>
      </c>
    </row>
    <row r="51" spans="1:12" x14ac:dyDescent="0.2">
      <c r="A51" s="3" t="s">
        <v>86</v>
      </c>
      <c r="B51">
        <v>49</v>
      </c>
      <c r="C51">
        <v>5</v>
      </c>
      <c r="D51">
        <v>0</v>
      </c>
      <c r="E51">
        <v>9645</v>
      </c>
      <c r="F51">
        <v>23</v>
      </c>
      <c r="G51">
        <v>3802</v>
      </c>
      <c r="H51">
        <v>2</v>
      </c>
      <c r="I51">
        <v>113</v>
      </c>
      <c r="J51">
        <v>8</v>
      </c>
      <c r="K51">
        <v>47</v>
      </c>
      <c r="L51">
        <v>13694</v>
      </c>
    </row>
    <row r="52" spans="1:12" x14ac:dyDescent="0.2">
      <c r="A52" s="3" t="s">
        <v>87</v>
      </c>
      <c r="B52">
        <v>57</v>
      </c>
      <c r="C52">
        <v>8</v>
      </c>
      <c r="D52">
        <v>5</v>
      </c>
      <c r="E52">
        <v>10570</v>
      </c>
      <c r="F52">
        <v>26</v>
      </c>
      <c r="G52">
        <v>4374</v>
      </c>
      <c r="H52">
        <v>2</v>
      </c>
      <c r="I52">
        <v>108</v>
      </c>
      <c r="J52">
        <v>13</v>
      </c>
      <c r="K52">
        <v>27</v>
      </c>
      <c r="L52">
        <v>15190</v>
      </c>
    </row>
    <row r="53" spans="1:12" x14ac:dyDescent="0.2">
      <c r="A53" s="3" t="s">
        <v>88</v>
      </c>
      <c r="B53">
        <v>64</v>
      </c>
      <c r="C53">
        <v>5</v>
      </c>
      <c r="D53">
        <v>6</v>
      </c>
      <c r="E53">
        <v>15666</v>
      </c>
      <c r="F53">
        <v>37</v>
      </c>
      <c r="G53">
        <v>4306</v>
      </c>
      <c r="H53">
        <v>2</v>
      </c>
      <c r="I53">
        <v>171</v>
      </c>
      <c r="J53">
        <v>15</v>
      </c>
      <c r="K53">
        <v>41</v>
      </c>
      <c r="L53">
        <v>20313</v>
      </c>
    </row>
    <row r="54" spans="1:12" x14ac:dyDescent="0.2">
      <c r="A54" s="3" t="s">
        <v>89</v>
      </c>
      <c r="B54">
        <v>54</v>
      </c>
      <c r="C54">
        <v>9</v>
      </c>
      <c r="D54">
        <v>5</v>
      </c>
      <c r="E54">
        <v>10297</v>
      </c>
      <c r="F54">
        <v>39</v>
      </c>
      <c r="G54">
        <v>8312</v>
      </c>
      <c r="H54">
        <v>2</v>
      </c>
      <c r="I54">
        <v>185</v>
      </c>
      <c r="J54">
        <v>23</v>
      </c>
      <c r="K54">
        <v>43</v>
      </c>
      <c r="L54">
        <v>18969</v>
      </c>
    </row>
    <row r="55" spans="1:12" x14ac:dyDescent="0.2">
      <c r="A55" s="3" t="s">
        <v>90</v>
      </c>
      <c r="B55">
        <v>15</v>
      </c>
      <c r="C55">
        <v>2</v>
      </c>
      <c r="D55">
        <v>0</v>
      </c>
      <c r="E55">
        <v>3346</v>
      </c>
      <c r="F55">
        <v>5</v>
      </c>
      <c r="G55">
        <v>1329</v>
      </c>
      <c r="H55">
        <v>0</v>
      </c>
      <c r="I55">
        <v>54</v>
      </c>
      <c r="J55">
        <v>4</v>
      </c>
      <c r="K55">
        <v>14</v>
      </c>
      <c r="L55">
        <v>4769</v>
      </c>
    </row>
    <row r="56" spans="1:12" x14ac:dyDescent="0.2">
      <c r="A56" s="3" t="s">
        <v>91</v>
      </c>
      <c r="B56">
        <v>81</v>
      </c>
      <c r="C56">
        <v>13</v>
      </c>
      <c r="D56">
        <v>18</v>
      </c>
      <c r="E56">
        <v>9540</v>
      </c>
      <c r="F56">
        <v>48</v>
      </c>
      <c r="G56">
        <v>9441</v>
      </c>
      <c r="H56">
        <v>2</v>
      </c>
      <c r="I56">
        <v>193</v>
      </c>
      <c r="J56">
        <v>18</v>
      </c>
      <c r="K56">
        <v>63</v>
      </c>
      <c r="L56">
        <v>19417</v>
      </c>
    </row>
    <row r="57" spans="1:12" x14ac:dyDescent="0.2">
      <c r="A57" s="3" t="s">
        <v>92</v>
      </c>
      <c r="B57">
        <v>15</v>
      </c>
      <c r="C57">
        <v>1</v>
      </c>
      <c r="D57">
        <v>3</v>
      </c>
      <c r="E57">
        <v>5541</v>
      </c>
      <c r="F57">
        <v>9</v>
      </c>
      <c r="G57">
        <v>2599</v>
      </c>
      <c r="H57">
        <v>2</v>
      </c>
      <c r="I57">
        <v>82</v>
      </c>
      <c r="J57">
        <v>6</v>
      </c>
      <c r="K57">
        <v>17</v>
      </c>
      <c r="L57">
        <v>8275</v>
      </c>
    </row>
    <row r="58" spans="1:12" x14ac:dyDescent="0.2">
      <c r="A58" s="3" t="s">
        <v>93</v>
      </c>
      <c r="B58">
        <v>18</v>
      </c>
      <c r="C58">
        <v>0</v>
      </c>
      <c r="D58">
        <v>1</v>
      </c>
      <c r="E58">
        <v>1963</v>
      </c>
      <c r="F58">
        <v>10</v>
      </c>
      <c r="G58">
        <v>1233</v>
      </c>
      <c r="H58">
        <v>3</v>
      </c>
      <c r="I58">
        <v>50</v>
      </c>
      <c r="J58">
        <v>7</v>
      </c>
      <c r="K58">
        <v>9</v>
      </c>
      <c r="L58">
        <v>3294</v>
      </c>
    </row>
    <row r="59" spans="1:12" x14ac:dyDescent="0.2">
      <c r="A59" s="3" t="s">
        <v>94</v>
      </c>
      <c r="B59">
        <v>494</v>
      </c>
      <c r="C59">
        <v>57</v>
      </c>
      <c r="D59">
        <v>90</v>
      </c>
      <c r="E59">
        <v>39467</v>
      </c>
      <c r="F59">
        <v>521</v>
      </c>
      <c r="G59">
        <v>49121</v>
      </c>
      <c r="H59">
        <v>13</v>
      </c>
      <c r="I59">
        <v>700</v>
      </c>
      <c r="J59">
        <v>61</v>
      </c>
      <c r="K59">
        <v>400</v>
      </c>
      <c r="L59">
        <v>90924</v>
      </c>
    </row>
    <row r="60" spans="1:12" x14ac:dyDescent="0.2">
      <c r="A60" s="3" t="s">
        <v>95</v>
      </c>
      <c r="B60">
        <v>146</v>
      </c>
      <c r="C60">
        <v>10</v>
      </c>
      <c r="D60">
        <v>13</v>
      </c>
      <c r="E60">
        <v>24276</v>
      </c>
      <c r="F60">
        <v>71</v>
      </c>
      <c r="G60">
        <v>11752</v>
      </c>
      <c r="H60">
        <v>6</v>
      </c>
      <c r="I60">
        <v>307</v>
      </c>
      <c r="J60">
        <v>27</v>
      </c>
      <c r="K60">
        <v>128</v>
      </c>
      <c r="L60">
        <v>36736</v>
      </c>
    </row>
    <row r="61" spans="1:12" x14ac:dyDescent="0.2">
      <c r="A61" s="3" t="s">
        <v>96</v>
      </c>
      <c r="B61">
        <v>39</v>
      </c>
      <c r="C61">
        <v>5</v>
      </c>
      <c r="D61">
        <v>6</v>
      </c>
      <c r="E61">
        <v>4756</v>
      </c>
      <c r="F61">
        <v>9</v>
      </c>
      <c r="G61">
        <v>2439</v>
      </c>
      <c r="H61">
        <v>1</v>
      </c>
      <c r="I61">
        <v>92</v>
      </c>
      <c r="J61">
        <v>14</v>
      </c>
      <c r="K61">
        <v>20</v>
      </c>
      <c r="L61">
        <v>7381</v>
      </c>
    </row>
    <row r="62" spans="1:12" x14ac:dyDescent="0.2">
      <c r="A62" s="3" t="s">
        <v>97</v>
      </c>
      <c r="B62">
        <v>62</v>
      </c>
      <c r="C62">
        <v>8</v>
      </c>
      <c r="D62">
        <v>4</v>
      </c>
      <c r="E62">
        <v>11274</v>
      </c>
      <c r="F62">
        <v>36</v>
      </c>
      <c r="G62">
        <v>5339</v>
      </c>
      <c r="H62">
        <v>0</v>
      </c>
      <c r="I62">
        <v>142</v>
      </c>
      <c r="J62">
        <v>11</v>
      </c>
      <c r="K62">
        <v>35</v>
      </c>
      <c r="L62">
        <v>16911</v>
      </c>
    </row>
    <row r="63" spans="1:12" x14ac:dyDescent="0.2">
      <c r="A63" s="3" t="s">
        <v>98</v>
      </c>
      <c r="B63">
        <v>13</v>
      </c>
      <c r="C63">
        <v>2</v>
      </c>
      <c r="D63">
        <v>2</v>
      </c>
      <c r="E63">
        <v>3537</v>
      </c>
      <c r="F63">
        <v>4</v>
      </c>
      <c r="G63">
        <v>1215</v>
      </c>
      <c r="H63">
        <v>0</v>
      </c>
      <c r="I63">
        <v>53</v>
      </c>
      <c r="J63">
        <v>2</v>
      </c>
      <c r="K63">
        <v>9</v>
      </c>
      <c r="L63">
        <v>4837</v>
      </c>
    </row>
    <row r="64" spans="1:12" x14ac:dyDescent="0.2">
      <c r="A64" s="3" t="s">
        <v>99</v>
      </c>
      <c r="B64">
        <v>52</v>
      </c>
      <c r="C64">
        <v>10</v>
      </c>
      <c r="D64">
        <v>10</v>
      </c>
      <c r="E64">
        <v>10162</v>
      </c>
      <c r="F64">
        <v>27</v>
      </c>
      <c r="G64">
        <v>4967</v>
      </c>
      <c r="H64">
        <v>2</v>
      </c>
      <c r="I64">
        <v>143</v>
      </c>
      <c r="J64">
        <v>14</v>
      </c>
      <c r="K64">
        <v>32</v>
      </c>
      <c r="L64">
        <v>15419</v>
      </c>
    </row>
    <row r="65" spans="1:12" x14ac:dyDescent="0.2">
      <c r="A65" s="3" t="s">
        <v>100</v>
      </c>
      <c r="B65">
        <v>23</v>
      </c>
      <c r="C65">
        <v>0</v>
      </c>
      <c r="D65">
        <v>6</v>
      </c>
      <c r="E65">
        <v>4677</v>
      </c>
      <c r="F65">
        <v>10</v>
      </c>
      <c r="G65">
        <v>2398</v>
      </c>
      <c r="H65">
        <v>1</v>
      </c>
      <c r="I65">
        <v>71</v>
      </c>
      <c r="J65">
        <v>5</v>
      </c>
      <c r="K65">
        <v>27</v>
      </c>
      <c r="L65">
        <v>7218</v>
      </c>
    </row>
    <row r="66" spans="1:12" x14ac:dyDescent="0.2">
      <c r="A66" s="3" t="s">
        <v>101</v>
      </c>
      <c r="B66">
        <v>1331</v>
      </c>
      <c r="C66">
        <v>549</v>
      </c>
      <c r="D66">
        <v>469</v>
      </c>
      <c r="E66">
        <v>75284</v>
      </c>
      <c r="F66">
        <v>2127</v>
      </c>
      <c r="G66">
        <v>195168</v>
      </c>
      <c r="H66">
        <v>79</v>
      </c>
      <c r="I66">
        <v>1529</v>
      </c>
      <c r="J66">
        <v>200</v>
      </c>
      <c r="K66">
        <v>1289</v>
      </c>
      <c r="L66">
        <v>278025</v>
      </c>
    </row>
    <row r="67" spans="1:12" x14ac:dyDescent="0.2">
      <c r="A67" s="3" t="s">
        <v>102</v>
      </c>
      <c r="B67">
        <v>7</v>
      </c>
      <c r="C67">
        <v>0</v>
      </c>
      <c r="D67">
        <v>0</v>
      </c>
      <c r="E67">
        <v>1425</v>
      </c>
      <c r="F67">
        <v>6</v>
      </c>
      <c r="G67">
        <v>642</v>
      </c>
      <c r="H67">
        <v>1</v>
      </c>
      <c r="I67">
        <v>28</v>
      </c>
      <c r="J67">
        <v>1</v>
      </c>
      <c r="K67">
        <v>6</v>
      </c>
      <c r="L67">
        <v>2116</v>
      </c>
    </row>
    <row r="68" spans="1:12" x14ac:dyDescent="0.2">
      <c r="A68" s="3" t="s">
        <v>103</v>
      </c>
      <c r="B68">
        <v>24</v>
      </c>
      <c r="C68">
        <v>1</v>
      </c>
      <c r="D68">
        <v>3</v>
      </c>
      <c r="E68">
        <v>5895</v>
      </c>
      <c r="F68">
        <v>8</v>
      </c>
      <c r="G68">
        <v>2300</v>
      </c>
      <c r="H68">
        <v>0</v>
      </c>
      <c r="I68">
        <v>65</v>
      </c>
      <c r="J68">
        <v>3</v>
      </c>
      <c r="K68">
        <v>27</v>
      </c>
      <c r="L68">
        <v>8326</v>
      </c>
    </row>
    <row r="69" spans="1:12" x14ac:dyDescent="0.2">
      <c r="A69" s="3" t="s">
        <v>104</v>
      </c>
      <c r="B69">
        <v>30</v>
      </c>
      <c r="C69">
        <v>4</v>
      </c>
      <c r="D69">
        <v>3</v>
      </c>
      <c r="E69">
        <v>5610</v>
      </c>
      <c r="F69">
        <v>16</v>
      </c>
      <c r="G69">
        <v>2280</v>
      </c>
      <c r="H69">
        <v>0</v>
      </c>
      <c r="I69">
        <v>87</v>
      </c>
      <c r="J69">
        <v>12</v>
      </c>
      <c r="K69">
        <v>16</v>
      </c>
      <c r="L69">
        <v>8058</v>
      </c>
    </row>
    <row r="70" spans="1:12" x14ac:dyDescent="0.2">
      <c r="A70" s="3" t="s">
        <v>105</v>
      </c>
      <c r="B70">
        <v>155</v>
      </c>
      <c r="C70">
        <v>25</v>
      </c>
      <c r="D70">
        <v>21</v>
      </c>
      <c r="E70">
        <v>18264</v>
      </c>
      <c r="F70">
        <v>139</v>
      </c>
      <c r="G70">
        <v>17353</v>
      </c>
      <c r="H70">
        <v>4</v>
      </c>
      <c r="I70">
        <v>289</v>
      </c>
      <c r="J70">
        <v>34</v>
      </c>
      <c r="K70">
        <v>128</v>
      </c>
      <c r="L70">
        <v>36412</v>
      </c>
    </row>
    <row r="71" spans="1:12" x14ac:dyDescent="0.2">
      <c r="A71" s="3" t="s">
        <v>106</v>
      </c>
      <c r="B71">
        <v>22</v>
      </c>
      <c r="C71">
        <v>1</v>
      </c>
      <c r="D71">
        <v>2</v>
      </c>
      <c r="E71">
        <v>3690</v>
      </c>
      <c r="F71">
        <v>9</v>
      </c>
      <c r="G71">
        <v>1585</v>
      </c>
      <c r="H71">
        <v>2</v>
      </c>
      <c r="I71">
        <v>46</v>
      </c>
      <c r="J71">
        <v>4</v>
      </c>
      <c r="K71">
        <v>12</v>
      </c>
      <c r="L71">
        <v>5373</v>
      </c>
    </row>
    <row r="72" spans="1:12" x14ac:dyDescent="0.2">
      <c r="A72" s="3" t="s">
        <v>107</v>
      </c>
      <c r="B72">
        <v>16</v>
      </c>
      <c r="C72">
        <v>1</v>
      </c>
      <c r="D72">
        <v>4</v>
      </c>
      <c r="E72">
        <v>6279</v>
      </c>
      <c r="F72">
        <v>15</v>
      </c>
      <c r="G72">
        <v>2093</v>
      </c>
      <c r="H72">
        <v>2</v>
      </c>
      <c r="I72">
        <v>66</v>
      </c>
      <c r="J72">
        <v>10</v>
      </c>
      <c r="K72">
        <v>13</v>
      </c>
      <c r="L72">
        <v>8499</v>
      </c>
    </row>
    <row r="73" spans="1:12" x14ac:dyDescent="0.2">
      <c r="A73" s="3" t="s">
        <v>108</v>
      </c>
      <c r="B73">
        <v>494</v>
      </c>
      <c r="C73">
        <v>28</v>
      </c>
      <c r="D73">
        <v>73</v>
      </c>
      <c r="E73">
        <v>47837</v>
      </c>
      <c r="F73">
        <v>400</v>
      </c>
      <c r="G73">
        <v>40214</v>
      </c>
      <c r="H73">
        <v>5</v>
      </c>
      <c r="I73">
        <v>674</v>
      </c>
      <c r="J73">
        <v>81</v>
      </c>
      <c r="K73">
        <v>335</v>
      </c>
      <c r="L73">
        <v>90141</v>
      </c>
    </row>
    <row r="74" spans="1:12" x14ac:dyDescent="0.2">
      <c r="A74" s="3" t="s">
        <v>109</v>
      </c>
      <c r="B74">
        <v>302</v>
      </c>
      <c r="C74">
        <v>25</v>
      </c>
      <c r="D74">
        <v>37</v>
      </c>
      <c r="E74">
        <v>38491</v>
      </c>
      <c r="F74">
        <v>139</v>
      </c>
      <c r="G74">
        <v>18329</v>
      </c>
      <c r="H74">
        <v>11</v>
      </c>
      <c r="I74">
        <v>391</v>
      </c>
      <c r="J74">
        <v>52</v>
      </c>
      <c r="K74">
        <v>183</v>
      </c>
      <c r="L74">
        <v>57960</v>
      </c>
    </row>
    <row r="75" spans="1:12" x14ac:dyDescent="0.2">
      <c r="A75" s="3" t="s">
        <v>110</v>
      </c>
      <c r="B75">
        <v>33</v>
      </c>
      <c r="C75">
        <v>4</v>
      </c>
      <c r="D75">
        <v>3</v>
      </c>
      <c r="E75">
        <v>6014</v>
      </c>
      <c r="F75">
        <v>18</v>
      </c>
      <c r="G75">
        <v>2351</v>
      </c>
      <c r="H75">
        <v>3</v>
      </c>
      <c r="I75">
        <v>78</v>
      </c>
      <c r="J75">
        <v>8</v>
      </c>
      <c r="K75">
        <v>25</v>
      </c>
      <c r="L75">
        <v>8537</v>
      </c>
    </row>
    <row r="76" spans="1:12" x14ac:dyDescent="0.2">
      <c r="A76" s="3" t="s">
        <v>111</v>
      </c>
      <c r="B76">
        <v>507</v>
      </c>
      <c r="C76">
        <v>85</v>
      </c>
      <c r="D76">
        <v>71</v>
      </c>
      <c r="E76">
        <v>50065</v>
      </c>
      <c r="F76">
        <v>425</v>
      </c>
      <c r="G76">
        <v>66335</v>
      </c>
      <c r="H76">
        <v>18</v>
      </c>
      <c r="I76">
        <v>975</v>
      </c>
      <c r="J76">
        <v>106</v>
      </c>
      <c r="K76">
        <v>422</v>
      </c>
      <c r="L76">
        <v>119009</v>
      </c>
    </row>
    <row r="77" spans="1:12" x14ac:dyDescent="0.2">
      <c r="A77" s="3" t="s">
        <v>112</v>
      </c>
      <c r="B77">
        <v>338</v>
      </c>
      <c r="C77">
        <v>41</v>
      </c>
      <c r="D77">
        <v>82</v>
      </c>
      <c r="E77">
        <v>53932</v>
      </c>
      <c r="F77">
        <v>354</v>
      </c>
      <c r="G77">
        <v>30829</v>
      </c>
      <c r="H77">
        <v>13</v>
      </c>
      <c r="I77">
        <v>705</v>
      </c>
      <c r="J77">
        <v>67</v>
      </c>
      <c r="K77">
        <v>271</v>
      </c>
      <c r="L77">
        <v>86632</v>
      </c>
    </row>
    <row r="78" spans="1:12" x14ac:dyDescent="0.2">
      <c r="A78" s="3" t="s">
        <v>113</v>
      </c>
      <c r="B78">
        <v>89</v>
      </c>
      <c r="C78">
        <v>11</v>
      </c>
      <c r="D78">
        <v>27</v>
      </c>
      <c r="E78">
        <v>12742</v>
      </c>
      <c r="F78">
        <v>62</v>
      </c>
      <c r="G78">
        <v>7650</v>
      </c>
      <c r="H78">
        <v>1</v>
      </c>
      <c r="I78">
        <v>208</v>
      </c>
      <c r="J78">
        <v>19</v>
      </c>
      <c r="K78">
        <v>63</v>
      </c>
      <c r="L78">
        <v>20872</v>
      </c>
    </row>
    <row r="79" spans="1:12" x14ac:dyDescent="0.2">
      <c r="A79" s="3" t="s">
        <v>114</v>
      </c>
      <c r="B79">
        <v>20</v>
      </c>
      <c r="C79">
        <v>0</v>
      </c>
      <c r="D79">
        <v>4</v>
      </c>
      <c r="E79">
        <v>3213</v>
      </c>
      <c r="F79">
        <v>9</v>
      </c>
      <c r="G79">
        <v>1827</v>
      </c>
      <c r="H79">
        <v>0</v>
      </c>
      <c r="I79">
        <v>43</v>
      </c>
      <c r="J79">
        <v>6</v>
      </c>
      <c r="K79">
        <v>17</v>
      </c>
      <c r="L79">
        <v>5139</v>
      </c>
    </row>
    <row r="80" spans="1:12" x14ac:dyDescent="0.2">
      <c r="A80" s="3" t="s">
        <v>115</v>
      </c>
      <c r="B80">
        <v>18</v>
      </c>
      <c r="C80">
        <v>1</v>
      </c>
      <c r="D80">
        <v>4</v>
      </c>
      <c r="E80">
        <v>3340</v>
      </c>
      <c r="F80">
        <v>5</v>
      </c>
      <c r="G80">
        <v>1618</v>
      </c>
      <c r="H80">
        <v>0</v>
      </c>
      <c r="I80">
        <v>50</v>
      </c>
      <c r="J80">
        <v>5</v>
      </c>
      <c r="K80">
        <v>13</v>
      </c>
      <c r="L80">
        <v>5054</v>
      </c>
    </row>
    <row r="81" spans="1:12" x14ac:dyDescent="0.2">
      <c r="A81" s="3" t="s">
        <v>116</v>
      </c>
      <c r="B81">
        <v>46</v>
      </c>
      <c r="C81">
        <v>2</v>
      </c>
      <c r="D81">
        <v>7</v>
      </c>
      <c r="E81">
        <v>10392</v>
      </c>
      <c r="F81">
        <v>28</v>
      </c>
      <c r="G81">
        <v>3072</v>
      </c>
      <c r="H81">
        <v>1</v>
      </c>
      <c r="I81">
        <v>115</v>
      </c>
      <c r="J81">
        <v>9</v>
      </c>
      <c r="K81">
        <v>46</v>
      </c>
      <c r="L81">
        <v>13718</v>
      </c>
    </row>
    <row r="82" spans="1:12" x14ac:dyDescent="0.2">
      <c r="A82" s="3" t="s">
        <v>117</v>
      </c>
      <c r="B82">
        <v>5</v>
      </c>
      <c r="C82">
        <v>2</v>
      </c>
      <c r="D82">
        <v>0</v>
      </c>
      <c r="E82">
        <v>1165</v>
      </c>
      <c r="F82">
        <v>4</v>
      </c>
      <c r="G82">
        <v>597</v>
      </c>
      <c r="H82">
        <v>1</v>
      </c>
      <c r="I82">
        <v>25</v>
      </c>
      <c r="J82">
        <v>2</v>
      </c>
      <c r="K82">
        <v>1</v>
      </c>
      <c r="L82">
        <v>1802</v>
      </c>
    </row>
    <row r="83" spans="1:12" x14ac:dyDescent="0.2">
      <c r="A83" s="3" t="s">
        <v>118</v>
      </c>
      <c r="B83">
        <v>57</v>
      </c>
      <c r="C83">
        <v>4</v>
      </c>
      <c r="D83">
        <v>3</v>
      </c>
      <c r="E83">
        <v>8523</v>
      </c>
      <c r="F83">
        <v>32</v>
      </c>
      <c r="G83">
        <v>4721</v>
      </c>
      <c r="H83">
        <v>0</v>
      </c>
      <c r="I83">
        <v>128</v>
      </c>
      <c r="J83">
        <v>13</v>
      </c>
      <c r="K83">
        <v>28</v>
      </c>
      <c r="L83">
        <v>13509</v>
      </c>
    </row>
    <row r="84" spans="1:12" x14ac:dyDescent="0.2">
      <c r="A84" s="3" t="s">
        <v>119</v>
      </c>
      <c r="B84">
        <v>11</v>
      </c>
      <c r="C84">
        <v>1</v>
      </c>
      <c r="D84">
        <v>4</v>
      </c>
      <c r="E84">
        <v>6028</v>
      </c>
      <c r="F84">
        <v>8</v>
      </c>
      <c r="G84">
        <v>1898</v>
      </c>
      <c r="H84">
        <v>1</v>
      </c>
      <c r="I84">
        <v>65</v>
      </c>
      <c r="J84">
        <v>8</v>
      </c>
      <c r="K84">
        <v>23</v>
      </c>
      <c r="L84">
        <v>8047</v>
      </c>
    </row>
    <row r="85" spans="1:12" x14ac:dyDescent="0.2">
      <c r="A85" s="3" t="s">
        <v>120</v>
      </c>
      <c r="B85">
        <v>52</v>
      </c>
      <c r="C85">
        <v>4</v>
      </c>
      <c r="D85">
        <v>3</v>
      </c>
      <c r="E85">
        <v>6770</v>
      </c>
      <c r="F85">
        <v>28</v>
      </c>
      <c r="G85">
        <v>3402</v>
      </c>
      <c r="H85">
        <v>0</v>
      </c>
      <c r="I85">
        <v>93</v>
      </c>
      <c r="J85">
        <v>9</v>
      </c>
      <c r="K85">
        <v>26</v>
      </c>
      <c r="L85">
        <v>10387</v>
      </c>
    </row>
    <row r="86" spans="1:12" x14ac:dyDescent="0.2">
      <c r="A86" s="3" t="s">
        <v>121</v>
      </c>
      <c r="B86">
        <v>894</v>
      </c>
      <c r="C86">
        <v>78</v>
      </c>
      <c r="D86">
        <v>112</v>
      </c>
      <c r="E86">
        <v>75271</v>
      </c>
      <c r="F86">
        <v>753</v>
      </c>
      <c r="G86">
        <v>90324</v>
      </c>
      <c r="H86">
        <v>12</v>
      </c>
      <c r="I86">
        <v>1134</v>
      </c>
      <c r="J86">
        <v>165</v>
      </c>
      <c r="K86">
        <v>793</v>
      </c>
      <c r="L86">
        <v>169536</v>
      </c>
    </row>
    <row r="87" spans="1:12" x14ac:dyDescent="0.2">
      <c r="A87" s="3" t="s">
        <v>122</v>
      </c>
      <c r="B87">
        <v>21</v>
      </c>
      <c r="C87">
        <v>2</v>
      </c>
      <c r="D87">
        <v>0</v>
      </c>
      <c r="E87">
        <v>3087</v>
      </c>
      <c r="F87">
        <v>13</v>
      </c>
      <c r="G87">
        <v>1723</v>
      </c>
      <c r="H87">
        <v>0</v>
      </c>
      <c r="I87">
        <v>57</v>
      </c>
      <c r="J87">
        <v>7</v>
      </c>
      <c r="K87">
        <v>23</v>
      </c>
      <c r="L87">
        <v>4933</v>
      </c>
    </row>
    <row r="88" spans="1:12" x14ac:dyDescent="0.2">
      <c r="A88" s="3" t="s">
        <v>123</v>
      </c>
      <c r="B88">
        <v>15</v>
      </c>
      <c r="C88">
        <v>3</v>
      </c>
      <c r="D88">
        <v>1</v>
      </c>
      <c r="E88">
        <v>2290</v>
      </c>
      <c r="F88">
        <v>2</v>
      </c>
      <c r="G88">
        <v>986</v>
      </c>
      <c r="H88">
        <v>0</v>
      </c>
      <c r="I88">
        <v>38</v>
      </c>
      <c r="J88">
        <v>8</v>
      </c>
      <c r="K88">
        <v>10</v>
      </c>
      <c r="L88">
        <v>3353</v>
      </c>
    </row>
    <row r="89" spans="1:12" x14ac:dyDescent="0.2">
      <c r="A89" s="3" t="s">
        <v>124</v>
      </c>
      <c r="B89">
        <v>93</v>
      </c>
      <c r="C89">
        <v>26</v>
      </c>
      <c r="D89">
        <v>13</v>
      </c>
      <c r="E89">
        <v>14288</v>
      </c>
      <c r="F89">
        <v>95</v>
      </c>
      <c r="G89">
        <v>12929</v>
      </c>
      <c r="H89">
        <v>0</v>
      </c>
      <c r="I89">
        <v>246</v>
      </c>
      <c r="J89">
        <v>31</v>
      </c>
      <c r="K89">
        <v>76</v>
      </c>
      <c r="L89">
        <v>27797</v>
      </c>
    </row>
    <row r="90" spans="1:12" x14ac:dyDescent="0.2">
      <c r="A90" s="3" t="s">
        <v>125</v>
      </c>
      <c r="B90">
        <v>474</v>
      </c>
      <c r="C90">
        <v>27</v>
      </c>
      <c r="D90">
        <v>28</v>
      </c>
      <c r="E90">
        <v>57211</v>
      </c>
      <c r="F90">
        <v>224</v>
      </c>
      <c r="G90">
        <v>30883</v>
      </c>
      <c r="H90">
        <v>5</v>
      </c>
      <c r="I90">
        <v>768</v>
      </c>
      <c r="J90">
        <v>80</v>
      </c>
      <c r="K90">
        <v>341</v>
      </c>
      <c r="L90">
        <v>90041</v>
      </c>
    </row>
    <row r="91" spans="1:12" x14ac:dyDescent="0.2">
      <c r="A91" s="3" t="s">
        <v>126</v>
      </c>
      <c r="B91">
        <v>24</v>
      </c>
      <c r="C91">
        <v>0</v>
      </c>
      <c r="D91">
        <v>3</v>
      </c>
      <c r="E91">
        <v>3738</v>
      </c>
      <c r="F91">
        <v>9</v>
      </c>
      <c r="G91">
        <v>1548</v>
      </c>
      <c r="H91">
        <v>0</v>
      </c>
      <c r="I91">
        <v>63</v>
      </c>
      <c r="J91">
        <v>6</v>
      </c>
      <c r="K91">
        <v>19</v>
      </c>
      <c r="L91">
        <v>5410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4435-F3D9-7C46-8AC1-9E8399AB4519}">
  <dimension ref="A1:U88"/>
  <sheetViews>
    <sheetView tabSelected="1" workbookViewId="0">
      <selection activeCell="S16" sqref="S16"/>
    </sheetView>
  </sheetViews>
  <sheetFormatPr baseColWidth="10" defaultRowHeight="15" x14ac:dyDescent="0.2"/>
  <cols>
    <col min="2" max="4" width="0" hidden="1" customWidth="1"/>
    <col min="8" max="11" width="0" hidden="1" customWidth="1"/>
    <col min="13" max="13" width="13.5" customWidth="1"/>
    <col min="14" max="14" width="13.6640625" customWidth="1"/>
    <col min="15" max="15" width="12.33203125" customWidth="1"/>
  </cols>
  <sheetData>
    <row r="1" spans="1:21" x14ac:dyDescent="0.2">
      <c r="A1" t="s">
        <v>130</v>
      </c>
      <c r="E1" t="s">
        <v>131</v>
      </c>
      <c r="F1" t="s">
        <v>132</v>
      </c>
      <c r="G1" t="s">
        <v>133</v>
      </c>
      <c r="L1" t="s">
        <v>134</v>
      </c>
      <c r="M1" t="s">
        <v>138</v>
      </c>
      <c r="N1" t="s">
        <v>139</v>
      </c>
      <c r="O1" t="s">
        <v>140</v>
      </c>
      <c r="P1" t="s">
        <v>141</v>
      </c>
      <c r="R1" t="s">
        <v>138</v>
      </c>
      <c r="S1" t="s">
        <v>139</v>
      </c>
      <c r="T1" t="s">
        <v>140</v>
      </c>
      <c r="U1" t="s">
        <v>141</v>
      </c>
    </row>
    <row r="2" spans="1:21" x14ac:dyDescent="0.2">
      <c r="A2" s="4" t="s">
        <v>36</v>
      </c>
      <c r="B2" s="5">
        <v>31</v>
      </c>
      <c r="C2" s="5">
        <v>0</v>
      </c>
      <c r="D2" s="5">
        <v>1</v>
      </c>
      <c r="E2" s="5">
        <v>6741</v>
      </c>
      <c r="F2" s="5">
        <v>25</v>
      </c>
      <c r="G2" s="5">
        <v>3524</v>
      </c>
      <c r="H2" s="5">
        <v>0</v>
      </c>
      <c r="I2" s="5">
        <v>82</v>
      </c>
      <c r="J2" s="5">
        <v>15</v>
      </c>
      <c r="K2" s="5">
        <v>27</v>
      </c>
      <c r="L2" s="5">
        <v>10446</v>
      </c>
      <c r="M2" s="6">
        <f>E2/L2</f>
        <v>0.64531878230901785</v>
      </c>
      <c r="N2" s="6">
        <f>F2/L2</f>
        <v>2.3932605782117557E-3</v>
      </c>
      <c r="O2" s="6">
        <f>G2/L2</f>
        <v>0.33735401110472907</v>
      </c>
      <c r="P2" t="str">
        <f>IF(M2 &gt; O2, "Trump", "Harris")</f>
        <v>Trump</v>
      </c>
      <c r="R2" s="6">
        <v>0.64531878230901785</v>
      </c>
      <c r="S2" s="6">
        <v>2.3932605782117557E-3</v>
      </c>
      <c r="T2" s="6">
        <v>0.33735401110472907</v>
      </c>
      <c r="U2" t="s">
        <v>145</v>
      </c>
    </row>
    <row r="3" spans="1:21" x14ac:dyDescent="0.2">
      <c r="A3" s="4" t="s">
        <v>41</v>
      </c>
      <c r="B3" s="5">
        <v>1137</v>
      </c>
      <c r="C3" s="5">
        <v>145</v>
      </c>
      <c r="D3" s="5">
        <v>191</v>
      </c>
      <c r="E3" s="5">
        <v>106974</v>
      </c>
      <c r="F3" s="5">
        <v>1725</v>
      </c>
      <c r="G3" s="5">
        <v>97667</v>
      </c>
      <c r="H3" s="5">
        <v>22</v>
      </c>
      <c r="I3" s="5">
        <v>1591</v>
      </c>
      <c r="J3" s="5">
        <v>204</v>
      </c>
      <c r="K3" s="5">
        <v>825</v>
      </c>
      <c r="L3" s="5">
        <v>210481</v>
      </c>
      <c r="M3" s="6">
        <f t="shared" ref="M3:M66" si="0">E3/L3</f>
        <v>0.50823589777699651</v>
      </c>
      <c r="N3" s="6">
        <f t="shared" ref="N3:N66" si="1">F3/L3</f>
        <v>8.1955140844066684E-3</v>
      </c>
      <c r="O3" s="6">
        <f t="shared" ref="O3:O66" si="2">G3/L3</f>
        <v>0.4640181299024615</v>
      </c>
      <c r="P3" t="str">
        <f t="shared" ref="P3:P66" si="3">IF(M3 &gt; O3, "Trump", "Harris")</f>
        <v>Trump</v>
      </c>
      <c r="R3" s="6">
        <v>0.50823589777699651</v>
      </c>
      <c r="S3" s="6">
        <v>8.1955140844066684E-3</v>
      </c>
      <c r="T3" s="6">
        <v>0.4640181299024615</v>
      </c>
      <c r="U3" t="s">
        <v>145</v>
      </c>
    </row>
    <row r="4" spans="1:21" x14ac:dyDescent="0.2">
      <c r="A4" s="4" t="s">
        <v>42</v>
      </c>
      <c r="B4" s="5">
        <v>58</v>
      </c>
      <c r="C4" s="5">
        <v>1</v>
      </c>
      <c r="D4" s="5">
        <v>8</v>
      </c>
      <c r="E4" s="5">
        <v>12961</v>
      </c>
      <c r="F4" s="5">
        <v>31</v>
      </c>
      <c r="G4" s="5">
        <v>6435</v>
      </c>
      <c r="H4" s="5">
        <v>2</v>
      </c>
      <c r="I4" s="5">
        <v>182</v>
      </c>
      <c r="J4" s="5">
        <v>18</v>
      </c>
      <c r="K4" s="5">
        <v>43</v>
      </c>
      <c r="L4" s="5">
        <v>19739</v>
      </c>
      <c r="M4" s="6">
        <f t="shared" si="0"/>
        <v>0.65661887633618721</v>
      </c>
      <c r="N4" s="6">
        <f t="shared" si="1"/>
        <v>1.5704949592177922E-3</v>
      </c>
      <c r="O4" s="6">
        <f t="shared" si="2"/>
        <v>0.32600435685698365</v>
      </c>
      <c r="P4" t="str">
        <f t="shared" si="3"/>
        <v>Trump</v>
      </c>
      <c r="R4" s="6">
        <v>0.65661887633618721</v>
      </c>
      <c r="S4" s="6">
        <v>1.5704949592177922E-3</v>
      </c>
      <c r="T4" s="6">
        <v>0.32600435685698365</v>
      </c>
      <c r="U4" t="s">
        <v>145</v>
      </c>
    </row>
    <row r="5" spans="1:21" x14ac:dyDescent="0.2">
      <c r="A5" s="4" t="s">
        <v>43</v>
      </c>
      <c r="B5" s="5">
        <v>97</v>
      </c>
      <c r="C5" s="5">
        <v>13</v>
      </c>
      <c r="D5" s="5">
        <v>19</v>
      </c>
      <c r="E5" s="5">
        <v>12898</v>
      </c>
      <c r="F5" s="5">
        <v>62</v>
      </c>
      <c r="G5" s="5">
        <v>11493</v>
      </c>
      <c r="H5" s="5">
        <v>5</v>
      </c>
      <c r="I5" s="5">
        <v>192</v>
      </c>
      <c r="J5" s="5">
        <v>28</v>
      </c>
      <c r="K5" s="5">
        <v>67</v>
      </c>
      <c r="L5" s="5">
        <v>24874</v>
      </c>
      <c r="M5" s="6">
        <f t="shared" si="0"/>
        <v>0.51853340837822626</v>
      </c>
      <c r="N5" s="6">
        <f t="shared" si="1"/>
        <v>2.492562515075983E-3</v>
      </c>
      <c r="O5" s="6">
        <f t="shared" si="2"/>
        <v>0.46204872557690763</v>
      </c>
      <c r="P5" t="str">
        <f t="shared" si="3"/>
        <v>Trump</v>
      </c>
      <c r="R5" s="6">
        <v>0.51853340837822626</v>
      </c>
      <c r="S5" s="6">
        <v>2.492562515075983E-3</v>
      </c>
      <c r="T5" s="6">
        <v>0.46204872557690763</v>
      </c>
      <c r="U5" t="s">
        <v>145</v>
      </c>
    </row>
    <row r="6" spans="1:21" x14ac:dyDescent="0.2">
      <c r="A6" s="4" t="s">
        <v>44</v>
      </c>
      <c r="B6" s="5">
        <v>118</v>
      </c>
      <c r="C6" s="5">
        <v>14</v>
      </c>
      <c r="D6" s="5">
        <v>4</v>
      </c>
      <c r="E6" s="5">
        <v>15260</v>
      </c>
      <c r="F6" s="5">
        <v>75</v>
      </c>
      <c r="G6" s="5">
        <v>7084</v>
      </c>
      <c r="H6" s="5">
        <v>3</v>
      </c>
      <c r="I6" s="5">
        <v>195</v>
      </c>
      <c r="J6" s="5">
        <v>10</v>
      </c>
      <c r="K6" s="5">
        <v>61</v>
      </c>
      <c r="L6" s="5">
        <v>22824</v>
      </c>
      <c r="M6" s="6">
        <f t="shared" si="0"/>
        <v>0.66859446196985628</v>
      </c>
      <c r="N6" s="6">
        <f t="shared" si="1"/>
        <v>3.2860147213459516E-3</v>
      </c>
      <c r="O6" s="6">
        <f t="shared" si="2"/>
        <v>0.31037504381352959</v>
      </c>
      <c r="P6" t="str">
        <f t="shared" si="3"/>
        <v>Trump</v>
      </c>
      <c r="R6" s="6">
        <v>0.66859446196985628</v>
      </c>
      <c r="S6" s="6">
        <v>3.2860147213459516E-3</v>
      </c>
      <c r="T6" s="6">
        <v>0.31037504381352959</v>
      </c>
      <c r="U6" t="s">
        <v>145</v>
      </c>
    </row>
    <row r="7" spans="1:21" x14ac:dyDescent="0.2">
      <c r="A7" s="4" t="s">
        <v>45</v>
      </c>
      <c r="B7" s="5">
        <v>6</v>
      </c>
      <c r="C7" s="5">
        <v>0</v>
      </c>
      <c r="D7" s="5">
        <v>0</v>
      </c>
      <c r="E7" s="5">
        <v>1796</v>
      </c>
      <c r="F7" s="5">
        <v>3</v>
      </c>
      <c r="G7" s="5">
        <v>964</v>
      </c>
      <c r="H7" s="5">
        <v>0</v>
      </c>
      <c r="I7" s="5">
        <v>44</v>
      </c>
      <c r="J7" s="5">
        <v>3</v>
      </c>
      <c r="K7" s="5">
        <v>8</v>
      </c>
      <c r="L7" s="5">
        <v>2824</v>
      </c>
      <c r="M7" s="6">
        <f t="shared" si="0"/>
        <v>0.63597733711048154</v>
      </c>
      <c r="N7" s="6">
        <f t="shared" si="1"/>
        <v>1.0623229461756375E-3</v>
      </c>
      <c r="O7" s="6">
        <f t="shared" si="2"/>
        <v>0.34135977337110479</v>
      </c>
      <c r="P7" t="str">
        <f t="shared" si="3"/>
        <v>Trump</v>
      </c>
      <c r="R7" s="6">
        <v>0.63597733711048154</v>
      </c>
      <c r="S7" s="6">
        <v>1.0623229461756375E-3</v>
      </c>
      <c r="T7" s="6">
        <v>0.34135977337110479</v>
      </c>
      <c r="U7" t="s">
        <v>145</v>
      </c>
    </row>
    <row r="8" spans="1:21" x14ac:dyDescent="0.2">
      <c r="A8" s="4" t="s">
        <v>46</v>
      </c>
      <c r="B8" s="5">
        <v>160</v>
      </c>
      <c r="C8" s="5">
        <v>40</v>
      </c>
      <c r="D8" s="5">
        <v>24</v>
      </c>
      <c r="E8" s="5">
        <v>18001</v>
      </c>
      <c r="F8" s="5">
        <v>140</v>
      </c>
      <c r="G8" s="5">
        <v>17558</v>
      </c>
      <c r="H8" s="5">
        <v>8</v>
      </c>
      <c r="I8" s="5">
        <v>351</v>
      </c>
      <c r="J8" s="5">
        <v>44</v>
      </c>
      <c r="K8" s="5">
        <v>116</v>
      </c>
      <c r="L8" s="5">
        <v>36442</v>
      </c>
      <c r="M8" s="6">
        <f t="shared" si="0"/>
        <v>0.4939630097140662</v>
      </c>
      <c r="N8" s="6">
        <f t="shared" si="1"/>
        <v>3.8417210910487898E-3</v>
      </c>
      <c r="O8" s="6">
        <f t="shared" si="2"/>
        <v>0.48180670654739038</v>
      </c>
      <c r="P8" t="str">
        <f t="shared" si="3"/>
        <v>Trump</v>
      </c>
      <c r="R8" s="6">
        <v>0.4939630097140662</v>
      </c>
      <c r="S8" s="6">
        <v>3.8417210910487898E-3</v>
      </c>
      <c r="T8" s="6">
        <v>0.48180670654739038</v>
      </c>
      <c r="U8" t="s">
        <v>145</v>
      </c>
    </row>
    <row r="9" spans="1:21" x14ac:dyDescent="0.2">
      <c r="A9" s="4" t="s">
        <v>47</v>
      </c>
      <c r="B9" s="5">
        <v>67</v>
      </c>
      <c r="C9" s="5">
        <v>5</v>
      </c>
      <c r="D9" s="5">
        <v>7</v>
      </c>
      <c r="E9" s="5">
        <v>9692</v>
      </c>
      <c r="F9" s="5">
        <v>27</v>
      </c>
      <c r="G9" s="5">
        <v>4576</v>
      </c>
      <c r="H9" s="5">
        <v>0</v>
      </c>
      <c r="I9" s="5">
        <v>131</v>
      </c>
      <c r="J9" s="5">
        <v>21</v>
      </c>
      <c r="K9" s="5">
        <v>72</v>
      </c>
      <c r="L9" s="5">
        <v>14598</v>
      </c>
      <c r="M9" s="6">
        <f t="shared" si="0"/>
        <v>0.66392656528291549</v>
      </c>
      <c r="N9" s="6">
        <f t="shared" si="1"/>
        <v>1.8495684340320592E-3</v>
      </c>
      <c r="O9" s="6">
        <f t="shared" si="2"/>
        <v>0.31346759830113713</v>
      </c>
      <c r="P9" t="str">
        <f t="shared" si="3"/>
        <v>Trump</v>
      </c>
      <c r="R9" s="6">
        <v>0.66392656528291549</v>
      </c>
      <c r="S9" s="6">
        <v>1.8495684340320592E-3</v>
      </c>
      <c r="T9" s="6">
        <v>0.31346759830113713</v>
      </c>
      <c r="U9" t="s">
        <v>145</v>
      </c>
    </row>
    <row r="10" spans="1:21" x14ac:dyDescent="0.2">
      <c r="A10" s="4" t="s">
        <v>48</v>
      </c>
      <c r="B10" s="5">
        <v>79</v>
      </c>
      <c r="C10" s="5">
        <v>5</v>
      </c>
      <c r="D10" s="5">
        <v>10</v>
      </c>
      <c r="E10" s="5">
        <v>10435</v>
      </c>
      <c r="F10" s="5">
        <v>52</v>
      </c>
      <c r="G10" s="5">
        <v>9905</v>
      </c>
      <c r="H10" s="5">
        <v>4</v>
      </c>
      <c r="I10" s="5">
        <v>229</v>
      </c>
      <c r="J10" s="5">
        <v>27</v>
      </c>
      <c r="K10" s="5">
        <v>69</v>
      </c>
      <c r="L10" s="5">
        <v>20815</v>
      </c>
      <c r="M10" s="6">
        <f t="shared" si="0"/>
        <v>0.50132116262310833</v>
      </c>
      <c r="N10" s="6">
        <f t="shared" si="1"/>
        <v>2.4981984146048523E-3</v>
      </c>
      <c r="O10" s="6">
        <f t="shared" si="2"/>
        <v>0.4758587557050204</v>
      </c>
      <c r="P10" t="str">
        <f t="shared" si="3"/>
        <v>Trump</v>
      </c>
      <c r="R10" s="6">
        <v>0.50132116262310833</v>
      </c>
      <c r="S10" s="6">
        <v>2.4981984146048523E-3</v>
      </c>
      <c r="T10" s="6">
        <v>0.4758587557050204</v>
      </c>
      <c r="U10" t="s">
        <v>145</v>
      </c>
    </row>
    <row r="11" spans="1:21" x14ac:dyDescent="0.2">
      <c r="A11" s="4" t="s">
        <v>49</v>
      </c>
      <c r="B11" s="5">
        <v>413</v>
      </c>
      <c r="C11" s="5">
        <v>23</v>
      </c>
      <c r="D11" s="5">
        <v>30</v>
      </c>
      <c r="E11" s="5">
        <v>35586</v>
      </c>
      <c r="F11" s="5">
        <v>262</v>
      </c>
      <c r="G11" s="5">
        <v>31869</v>
      </c>
      <c r="H11" s="5">
        <v>7</v>
      </c>
      <c r="I11" s="5">
        <v>561</v>
      </c>
      <c r="J11" s="5">
        <v>53</v>
      </c>
      <c r="K11" s="5">
        <v>356</v>
      </c>
      <c r="L11" s="5">
        <v>69160</v>
      </c>
      <c r="M11" s="6">
        <f t="shared" si="0"/>
        <v>0.51454598033545407</v>
      </c>
      <c r="N11" s="6">
        <f t="shared" si="1"/>
        <v>3.7883169462116831E-3</v>
      </c>
      <c r="O11" s="6">
        <f t="shared" si="2"/>
        <v>0.46080104106419895</v>
      </c>
      <c r="P11" t="str">
        <f t="shared" si="3"/>
        <v>Trump</v>
      </c>
      <c r="R11" s="6">
        <v>0.51454598033545407</v>
      </c>
      <c r="S11" s="6">
        <v>3.7883169462116831E-3</v>
      </c>
      <c r="T11" s="6">
        <v>0.46080104106419895</v>
      </c>
      <c r="U11" t="s">
        <v>145</v>
      </c>
    </row>
    <row r="12" spans="1:21" x14ac:dyDescent="0.2">
      <c r="A12" s="4" t="s">
        <v>50</v>
      </c>
      <c r="B12" s="5">
        <v>54</v>
      </c>
      <c r="C12" s="5">
        <v>3</v>
      </c>
      <c r="D12" s="5">
        <v>11</v>
      </c>
      <c r="E12" s="5">
        <v>12759</v>
      </c>
      <c r="F12" s="5">
        <v>34</v>
      </c>
      <c r="G12" s="5">
        <v>6300</v>
      </c>
      <c r="H12" s="5">
        <v>0</v>
      </c>
      <c r="I12" s="5">
        <v>145</v>
      </c>
      <c r="J12" s="5">
        <v>10</v>
      </c>
      <c r="K12" s="5">
        <v>47</v>
      </c>
      <c r="L12" s="5">
        <v>19363</v>
      </c>
      <c r="M12" s="6">
        <f t="shared" si="0"/>
        <v>0.65893714816918869</v>
      </c>
      <c r="N12" s="6">
        <f t="shared" si="1"/>
        <v>1.7559262510974539E-3</v>
      </c>
      <c r="O12" s="6">
        <f t="shared" si="2"/>
        <v>0.32536280535041057</v>
      </c>
      <c r="P12" t="str">
        <f t="shared" si="3"/>
        <v>Trump</v>
      </c>
      <c r="R12" s="6">
        <v>0.65893714816918869</v>
      </c>
      <c r="S12" s="6">
        <v>1.7559262510974539E-3</v>
      </c>
      <c r="T12" s="6">
        <v>0.32536280535041057</v>
      </c>
      <c r="U12" t="s">
        <v>145</v>
      </c>
    </row>
    <row r="13" spans="1:21" x14ac:dyDescent="0.2">
      <c r="A13" s="4" t="s">
        <v>51</v>
      </c>
      <c r="B13" s="5">
        <v>16</v>
      </c>
      <c r="C13" s="5">
        <v>4</v>
      </c>
      <c r="D13" s="5">
        <v>4</v>
      </c>
      <c r="E13" s="5">
        <v>4175</v>
      </c>
      <c r="F13" s="5">
        <v>11</v>
      </c>
      <c r="G13" s="5">
        <v>2026</v>
      </c>
      <c r="H13" s="5">
        <v>0</v>
      </c>
      <c r="I13" s="5">
        <v>57</v>
      </c>
      <c r="J13" s="5">
        <v>7</v>
      </c>
      <c r="K13" s="5">
        <v>18</v>
      </c>
      <c r="L13" s="5">
        <v>6318</v>
      </c>
      <c r="M13" s="6">
        <f t="shared" si="0"/>
        <v>0.66081038303260531</v>
      </c>
      <c r="N13" s="6">
        <f t="shared" si="1"/>
        <v>1.7410572966128522E-3</v>
      </c>
      <c r="O13" s="6">
        <f t="shared" si="2"/>
        <v>0.3206710984488762</v>
      </c>
      <c r="P13" t="str">
        <f t="shared" si="3"/>
        <v>Trump</v>
      </c>
      <c r="R13" s="6">
        <v>0.66081038303260531</v>
      </c>
      <c r="S13" s="6">
        <v>1.7410572966128522E-3</v>
      </c>
      <c r="T13" s="6">
        <v>0.3206710984488762</v>
      </c>
      <c r="U13" t="s">
        <v>145</v>
      </c>
    </row>
    <row r="14" spans="1:21" x14ac:dyDescent="0.2">
      <c r="A14" s="4" t="s">
        <v>52</v>
      </c>
      <c r="B14" s="5">
        <v>185</v>
      </c>
      <c r="C14" s="5">
        <v>4</v>
      </c>
      <c r="D14" s="5">
        <v>14</v>
      </c>
      <c r="E14" s="5">
        <v>23047</v>
      </c>
      <c r="F14" s="5">
        <v>67</v>
      </c>
      <c r="G14" s="5">
        <v>11894</v>
      </c>
      <c r="H14" s="5">
        <v>3</v>
      </c>
      <c r="I14" s="5">
        <v>255</v>
      </c>
      <c r="J14" s="5">
        <v>33</v>
      </c>
      <c r="K14" s="5">
        <v>99</v>
      </c>
      <c r="L14" s="5">
        <v>35601</v>
      </c>
      <c r="M14" s="6">
        <f t="shared" si="0"/>
        <v>0.64736945591415973</v>
      </c>
      <c r="N14" s="6">
        <f t="shared" si="1"/>
        <v>1.8819696075952923E-3</v>
      </c>
      <c r="O14" s="6">
        <f t="shared" si="2"/>
        <v>0.33409173899609562</v>
      </c>
      <c r="P14" t="str">
        <f t="shared" si="3"/>
        <v>Trump</v>
      </c>
      <c r="R14" s="6">
        <v>0.64736945591415973</v>
      </c>
      <c r="S14" s="6">
        <v>1.8819696075952923E-3</v>
      </c>
      <c r="T14" s="6">
        <v>0.33409173899609562</v>
      </c>
      <c r="U14" t="s">
        <v>145</v>
      </c>
    </row>
    <row r="15" spans="1:21" x14ac:dyDescent="0.2">
      <c r="A15" s="4" t="s">
        <v>53</v>
      </c>
      <c r="B15" s="5">
        <v>141</v>
      </c>
      <c r="C15" s="5">
        <v>26</v>
      </c>
      <c r="D15" s="5">
        <v>24</v>
      </c>
      <c r="E15" s="5">
        <v>15965</v>
      </c>
      <c r="F15" s="5">
        <v>115</v>
      </c>
      <c r="G15" s="5">
        <v>16121</v>
      </c>
      <c r="H15" s="5">
        <v>6</v>
      </c>
      <c r="I15" s="5">
        <v>309</v>
      </c>
      <c r="J15" s="5">
        <v>27</v>
      </c>
      <c r="K15" s="5">
        <v>140</v>
      </c>
      <c r="L15" s="5">
        <v>32874</v>
      </c>
      <c r="M15" s="6">
        <f t="shared" si="0"/>
        <v>0.48564214881061019</v>
      </c>
      <c r="N15" s="6">
        <f t="shared" si="1"/>
        <v>3.4982052686013264E-3</v>
      </c>
      <c r="O15" s="6">
        <f t="shared" si="2"/>
        <v>0.49038754030540854</v>
      </c>
      <c r="P15" t="str">
        <f t="shared" si="3"/>
        <v>Harris</v>
      </c>
      <c r="R15" s="6">
        <v>0.48564214881061019</v>
      </c>
      <c r="S15" s="6">
        <v>3.4982052686013264E-3</v>
      </c>
      <c r="T15" s="6">
        <v>0.49038754030540854</v>
      </c>
      <c r="U15" t="s">
        <v>146</v>
      </c>
    </row>
    <row r="16" spans="1:21" x14ac:dyDescent="0.2">
      <c r="A16" s="4" t="s">
        <v>54</v>
      </c>
      <c r="B16" s="5">
        <v>16</v>
      </c>
      <c r="C16" s="5">
        <v>0</v>
      </c>
      <c r="D16" s="5">
        <v>4</v>
      </c>
      <c r="E16" s="5">
        <v>3575</v>
      </c>
      <c r="F16" s="5">
        <v>8</v>
      </c>
      <c r="G16" s="5">
        <v>1169</v>
      </c>
      <c r="H16" s="5">
        <v>0</v>
      </c>
      <c r="I16" s="5">
        <v>29</v>
      </c>
      <c r="J16" s="5">
        <v>4</v>
      </c>
      <c r="K16" s="5">
        <v>9</v>
      </c>
      <c r="L16" s="5">
        <v>4814</v>
      </c>
      <c r="M16" s="6">
        <f t="shared" si="0"/>
        <v>0.74262567511425015</v>
      </c>
      <c r="N16" s="6">
        <f t="shared" si="1"/>
        <v>1.6618196925633569E-3</v>
      </c>
      <c r="O16" s="6">
        <f t="shared" si="2"/>
        <v>0.24283340257582053</v>
      </c>
      <c r="P16" t="str">
        <f t="shared" si="3"/>
        <v>Trump</v>
      </c>
      <c r="R16" s="6">
        <v>0.74262567511425015</v>
      </c>
      <c r="S16" s="6">
        <v>1.6618196925633569E-3</v>
      </c>
      <c r="T16" s="6">
        <v>0.24283340257582053</v>
      </c>
      <c r="U16" t="s">
        <v>145</v>
      </c>
    </row>
    <row r="17" spans="1:21" x14ac:dyDescent="0.2">
      <c r="A17" s="4" t="s">
        <v>55</v>
      </c>
      <c r="B17" s="5">
        <v>12</v>
      </c>
      <c r="C17" s="5">
        <v>4</v>
      </c>
      <c r="D17" s="5">
        <v>5</v>
      </c>
      <c r="E17" s="5">
        <v>1142</v>
      </c>
      <c r="F17" s="5">
        <v>26</v>
      </c>
      <c r="G17" s="5">
        <v>2416</v>
      </c>
      <c r="H17" s="5">
        <v>0</v>
      </c>
      <c r="I17" s="5">
        <v>32</v>
      </c>
      <c r="J17" s="5">
        <v>4</v>
      </c>
      <c r="K17" s="5">
        <v>19</v>
      </c>
      <c r="L17" s="5">
        <v>3660</v>
      </c>
      <c r="M17" s="6">
        <f t="shared" si="0"/>
        <v>0.31202185792349729</v>
      </c>
      <c r="N17" s="6">
        <f t="shared" si="1"/>
        <v>7.1038251366120223E-3</v>
      </c>
      <c r="O17" s="6">
        <f t="shared" si="2"/>
        <v>0.66010928961748638</v>
      </c>
      <c r="P17" t="str">
        <f t="shared" si="3"/>
        <v>Harris</v>
      </c>
      <c r="R17" s="6">
        <v>0.31202185792349729</v>
      </c>
      <c r="S17" s="6">
        <v>7.1038251366120223E-3</v>
      </c>
      <c r="T17" s="6">
        <v>0.66010928961748638</v>
      </c>
      <c r="U17" t="s">
        <v>146</v>
      </c>
    </row>
    <row r="18" spans="1:21" x14ac:dyDescent="0.2">
      <c r="A18" s="4" t="s">
        <v>56</v>
      </c>
      <c r="B18" s="5">
        <v>15</v>
      </c>
      <c r="C18" s="5">
        <v>4</v>
      </c>
      <c r="D18" s="5">
        <v>4</v>
      </c>
      <c r="E18" s="5">
        <v>4157</v>
      </c>
      <c r="F18" s="5">
        <v>8</v>
      </c>
      <c r="G18" s="5">
        <v>1705</v>
      </c>
      <c r="H18" s="5">
        <v>0</v>
      </c>
      <c r="I18" s="5">
        <v>67</v>
      </c>
      <c r="J18" s="5">
        <v>5</v>
      </c>
      <c r="K18" s="5">
        <v>23</v>
      </c>
      <c r="L18" s="5">
        <v>5988</v>
      </c>
      <c r="M18" s="6">
        <f t="shared" si="0"/>
        <v>0.69422177688710751</v>
      </c>
      <c r="N18" s="6">
        <f t="shared" si="1"/>
        <v>1.3360053440213762E-3</v>
      </c>
      <c r="O18" s="6">
        <f t="shared" si="2"/>
        <v>0.28473613894455579</v>
      </c>
      <c r="P18" t="str">
        <f t="shared" si="3"/>
        <v>Trump</v>
      </c>
      <c r="R18" s="6">
        <v>0.69422177688710751</v>
      </c>
      <c r="S18" s="6">
        <v>1.3360053440213762E-3</v>
      </c>
      <c r="T18" s="6">
        <v>0.28473613894455579</v>
      </c>
      <c r="U18" t="s">
        <v>145</v>
      </c>
    </row>
    <row r="19" spans="1:21" x14ac:dyDescent="0.2">
      <c r="A19" s="4" t="s">
        <v>57</v>
      </c>
      <c r="B19" s="5">
        <v>157</v>
      </c>
      <c r="C19" s="5">
        <v>11</v>
      </c>
      <c r="D19" s="5">
        <v>9</v>
      </c>
      <c r="E19" s="5">
        <v>27423</v>
      </c>
      <c r="F19" s="5">
        <v>91</v>
      </c>
      <c r="G19" s="5">
        <v>14173</v>
      </c>
      <c r="H19" s="5">
        <v>5</v>
      </c>
      <c r="I19" s="5">
        <v>313</v>
      </c>
      <c r="J19" s="5">
        <v>30</v>
      </c>
      <c r="K19" s="5">
        <v>154</v>
      </c>
      <c r="L19" s="5">
        <v>42366</v>
      </c>
      <c r="M19" s="6">
        <f t="shared" si="0"/>
        <v>0.64728791955813625</v>
      </c>
      <c r="N19" s="6">
        <f t="shared" si="1"/>
        <v>2.1479488268894868E-3</v>
      </c>
      <c r="O19" s="6">
        <f t="shared" si="2"/>
        <v>0.33453712882972192</v>
      </c>
      <c r="P19" t="str">
        <f t="shared" si="3"/>
        <v>Trump</v>
      </c>
      <c r="R19" s="6">
        <v>0.64728791955813625</v>
      </c>
      <c r="S19" s="6">
        <v>2.1479488268894868E-3</v>
      </c>
      <c r="T19" s="6">
        <v>0.33453712882972192</v>
      </c>
      <c r="U19" t="s">
        <v>145</v>
      </c>
    </row>
    <row r="20" spans="1:21" x14ac:dyDescent="0.2">
      <c r="A20" s="4" t="s">
        <v>58</v>
      </c>
      <c r="B20" s="5">
        <v>1346</v>
      </c>
      <c r="C20" s="5">
        <v>173</v>
      </c>
      <c r="D20" s="5">
        <v>235</v>
      </c>
      <c r="E20" s="5">
        <v>109995</v>
      </c>
      <c r="F20" s="5">
        <v>1499</v>
      </c>
      <c r="G20" s="5">
        <v>143267</v>
      </c>
      <c r="H20" s="5">
        <v>26</v>
      </c>
      <c r="I20" s="5">
        <v>1777</v>
      </c>
      <c r="J20" s="5">
        <v>272</v>
      </c>
      <c r="K20" s="5">
        <v>1215</v>
      </c>
      <c r="L20" s="5">
        <v>259805</v>
      </c>
      <c r="M20" s="6">
        <f t="shared" si="0"/>
        <v>0.42337522372548642</v>
      </c>
      <c r="N20" s="6">
        <f t="shared" si="1"/>
        <v>5.7697118993090971E-3</v>
      </c>
      <c r="O20" s="6">
        <f t="shared" si="2"/>
        <v>0.55144050345451401</v>
      </c>
      <c r="P20" t="str">
        <f t="shared" si="3"/>
        <v>Harris</v>
      </c>
      <c r="R20" s="6">
        <v>0.42337522372548642</v>
      </c>
      <c r="S20" s="6">
        <v>5.7697118993090971E-3</v>
      </c>
      <c r="T20" s="6">
        <v>0.55144050345451401</v>
      </c>
      <c r="U20" t="s">
        <v>146</v>
      </c>
    </row>
    <row r="21" spans="1:21" x14ac:dyDescent="0.2">
      <c r="A21" s="4" t="s">
        <v>59</v>
      </c>
      <c r="B21" s="5">
        <v>50</v>
      </c>
      <c r="C21" s="5">
        <v>6</v>
      </c>
      <c r="D21" s="5">
        <v>9</v>
      </c>
      <c r="E21" s="5">
        <v>8095</v>
      </c>
      <c r="F21" s="5">
        <v>29</v>
      </c>
      <c r="G21" s="5">
        <v>4108</v>
      </c>
      <c r="H21" s="5">
        <v>2</v>
      </c>
      <c r="I21" s="5">
        <v>137</v>
      </c>
      <c r="J21" s="5">
        <v>12</v>
      </c>
      <c r="K21" s="5">
        <v>36</v>
      </c>
      <c r="L21" s="5">
        <v>12484</v>
      </c>
      <c r="M21" s="6">
        <f t="shared" si="0"/>
        <v>0.64842999038769622</v>
      </c>
      <c r="N21" s="6">
        <f t="shared" si="1"/>
        <v>2.3229734059596282E-3</v>
      </c>
      <c r="O21" s="6">
        <f t="shared" si="2"/>
        <v>0.32906119833386738</v>
      </c>
      <c r="P21" t="str">
        <f t="shared" si="3"/>
        <v>Trump</v>
      </c>
      <c r="R21" s="6">
        <v>0.64842999038769622</v>
      </c>
      <c r="S21" s="6">
        <v>2.3229734059596282E-3</v>
      </c>
      <c r="T21" s="6">
        <v>0.32906119833386738</v>
      </c>
      <c r="U21" t="s">
        <v>145</v>
      </c>
    </row>
    <row r="22" spans="1:21" x14ac:dyDescent="0.2">
      <c r="A22" s="4" t="s">
        <v>60</v>
      </c>
      <c r="B22" s="5">
        <v>72</v>
      </c>
      <c r="C22" s="5">
        <v>7</v>
      </c>
      <c r="D22" s="5">
        <v>11</v>
      </c>
      <c r="E22" s="5">
        <v>16726</v>
      </c>
      <c r="F22" s="5">
        <v>47</v>
      </c>
      <c r="G22" s="5">
        <v>7938</v>
      </c>
      <c r="H22" s="5">
        <v>0</v>
      </c>
      <c r="I22" s="5">
        <v>193</v>
      </c>
      <c r="J22" s="5">
        <v>25</v>
      </c>
      <c r="K22" s="5">
        <v>87</v>
      </c>
      <c r="L22" s="5">
        <v>25106</v>
      </c>
      <c r="M22" s="6">
        <f t="shared" si="0"/>
        <v>0.66621524735123083</v>
      </c>
      <c r="N22" s="6">
        <f t="shared" si="1"/>
        <v>1.8720624551899945E-3</v>
      </c>
      <c r="O22" s="6">
        <f t="shared" si="2"/>
        <v>0.3161793993467697</v>
      </c>
      <c r="P22" t="str">
        <f t="shared" si="3"/>
        <v>Trump</v>
      </c>
      <c r="R22" s="6">
        <v>0.66621524735123083</v>
      </c>
      <c r="S22" s="6">
        <v>1.8720624551899945E-3</v>
      </c>
      <c r="T22" s="6">
        <v>0.3161793993467697</v>
      </c>
      <c r="U22" t="s">
        <v>145</v>
      </c>
    </row>
    <row r="23" spans="1:21" x14ac:dyDescent="0.2">
      <c r="A23" s="4" t="s">
        <v>61</v>
      </c>
      <c r="B23" s="5">
        <v>23</v>
      </c>
      <c r="C23" s="5">
        <v>1</v>
      </c>
      <c r="D23" s="5">
        <v>6</v>
      </c>
      <c r="E23" s="5">
        <v>5247</v>
      </c>
      <c r="F23" s="5">
        <v>14</v>
      </c>
      <c r="G23" s="5">
        <v>2352</v>
      </c>
      <c r="H23" s="5">
        <v>1</v>
      </c>
      <c r="I23" s="5">
        <v>82</v>
      </c>
      <c r="J23" s="5">
        <v>13</v>
      </c>
      <c r="K23" s="5">
        <v>22</v>
      </c>
      <c r="L23" s="5">
        <v>7761</v>
      </c>
      <c r="M23" s="6">
        <f t="shared" si="0"/>
        <v>0.67607267104754543</v>
      </c>
      <c r="N23" s="6">
        <f t="shared" si="1"/>
        <v>1.803891251127432E-3</v>
      </c>
      <c r="O23" s="6">
        <f t="shared" si="2"/>
        <v>0.30305373018940857</v>
      </c>
      <c r="P23" t="str">
        <f t="shared" si="3"/>
        <v>Trump</v>
      </c>
      <c r="R23" s="6">
        <v>0.67607267104754543</v>
      </c>
      <c r="S23" s="6">
        <v>1.803891251127432E-3</v>
      </c>
      <c r="T23" s="6">
        <v>0.30305373018940857</v>
      </c>
      <c r="U23" t="s">
        <v>145</v>
      </c>
    </row>
    <row r="24" spans="1:21" x14ac:dyDescent="0.2">
      <c r="A24" s="4" t="s">
        <v>62</v>
      </c>
      <c r="B24" s="5">
        <v>40</v>
      </c>
      <c r="C24" s="5">
        <v>1</v>
      </c>
      <c r="D24" s="5">
        <v>4</v>
      </c>
      <c r="E24" s="5">
        <v>7638</v>
      </c>
      <c r="F24" s="5">
        <v>28</v>
      </c>
      <c r="G24" s="5">
        <v>4491</v>
      </c>
      <c r="H24" s="5">
        <v>3</v>
      </c>
      <c r="I24" s="5">
        <v>112</v>
      </c>
      <c r="J24" s="5">
        <v>18</v>
      </c>
      <c r="K24" s="5">
        <v>50</v>
      </c>
      <c r="L24" s="5">
        <v>12385</v>
      </c>
      <c r="M24" s="6">
        <f t="shared" si="0"/>
        <v>0.61671376665320954</v>
      </c>
      <c r="N24" s="6">
        <f t="shared" si="1"/>
        <v>2.2607993540573273E-3</v>
      </c>
      <c r="O24" s="6">
        <f t="shared" si="2"/>
        <v>0.36261606782398065</v>
      </c>
      <c r="P24" t="str">
        <f t="shared" si="3"/>
        <v>Trump</v>
      </c>
      <c r="R24" s="6">
        <v>0.61671376665320954</v>
      </c>
      <c r="S24" s="6">
        <v>2.2607993540573273E-3</v>
      </c>
      <c r="T24" s="6">
        <v>0.36261606782398065</v>
      </c>
      <c r="U24" t="s">
        <v>145</v>
      </c>
    </row>
    <row r="25" spans="1:21" x14ac:dyDescent="0.2">
      <c r="A25" s="4" t="s">
        <v>63</v>
      </c>
      <c r="B25" s="5">
        <v>46</v>
      </c>
      <c r="C25" s="5">
        <v>3</v>
      </c>
      <c r="D25" s="5">
        <v>7</v>
      </c>
      <c r="E25" s="5">
        <v>10003</v>
      </c>
      <c r="F25" s="5">
        <v>29</v>
      </c>
      <c r="G25" s="5">
        <v>6448</v>
      </c>
      <c r="H25" s="5">
        <v>1</v>
      </c>
      <c r="I25" s="5">
        <v>124</v>
      </c>
      <c r="J25" s="5">
        <v>9</v>
      </c>
      <c r="K25" s="5">
        <v>34</v>
      </c>
      <c r="L25" s="5">
        <v>16704</v>
      </c>
      <c r="M25" s="6">
        <f t="shared" si="0"/>
        <v>0.59883860153256707</v>
      </c>
      <c r="N25" s="6">
        <f t="shared" si="1"/>
        <v>1.736111111111111E-3</v>
      </c>
      <c r="O25" s="6">
        <f t="shared" si="2"/>
        <v>0.38601532567049807</v>
      </c>
      <c r="P25" t="str">
        <f t="shared" si="3"/>
        <v>Trump</v>
      </c>
      <c r="R25" s="6">
        <v>0.59883860153256707</v>
      </c>
      <c r="S25" s="6">
        <v>1.736111111111111E-3</v>
      </c>
      <c r="T25" s="6">
        <v>0.38601532567049807</v>
      </c>
      <c r="U25" t="s">
        <v>145</v>
      </c>
    </row>
    <row r="26" spans="1:21" x14ac:dyDescent="0.2">
      <c r="A26" s="4" t="s">
        <v>64</v>
      </c>
      <c r="B26" s="5">
        <v>157</v>
      </c>
      <c r="C26" s="5">
        <v>11</v>
      </c>
      <c r="D26" s="5">
        <v>18</v>
      </c>
      <c r="E26" s="5">
        <v>16461</v>
      </c>
      <c r="F26" s="5">
        <v>75</v>
      </c>
      <c r="G26" s="5">
        <v>11731</v>
      </c>
      <c r="H26" s="5">
        <v>3</v>
      </c>
      <c r="I26" s="5">
        <v>255</v>
      </c>
      <c r="J26" s="5">
        <v>35</v>
      </c>
      <c r="K26" s="5">
        <v>71</v>
      </c>
      <c r="L26" s="5">
        <v>28817</v>
      </c>
      <c r="M26" s="6">
        <f t="shared" si="0"/>
        <v>0.57122531838845125</v>
      </c>
      <c r="N26" s="6">
        <f t="shared" si="1"/>
        <v>2.6026303917826283E-3</v>
      </c>
      <c r="O26" s="6">
        <f t="shared" si="2"/>
        <v>0.40708609501336018</v>
      </c>
      <c r="P26" t="str">
        <f t="shared" si="3"/>
        <v>Trump</v>
      </c>
      <c r="R26" s="6">
        <v>0.57122531838845125</v>
      </c>
      <c r="S26" s="6">
        <v>2.6026303917826283E-3</v>
      </c>
      <c r="T26" s="6">
        <v>0.40708609501336018</v>
      </c>
      <c r="U26" t="s">
        <v>145</v>
      </c>
    </row>
    <row r="27" spans="1:21" x14ac:dyDescent="0.2">
      <c r="A27" s="4" t="s">
        <v>65</v>
      </c>
      <c r="B27" s="5">
        <v>11</v>
      </c>
      <c r="C27" s="5">
        <v>2</v>
      </c>
      <c r="D27" s="5">
        <v>0</v>
      </c>
      <c r="E27" s="5">
        <v>2266</v>
      </c>
      <c r="F27" s="5">
        <v>5</v>
      </c>
      <c r="G27" s="5">
        <v>1187</v>
      </c>
      <c r="H27" s="5">
        <v>0</v>
      </c>
      <c r="I27" s="5">
        <v>57</v>
      </c>
      <c r="J27" s="5">
        <v>3</v>
      </c>
      <c r="K27" s="5">
        <v>12</v>
      </c>
      <c r="L27" s="5">
        <v>3543</v>
      </c>
      <c r="M27" s="6">
        <f t="shared" si="0"/>
        <v>0.6395709850409258</v>
      </c>
      <c r="N27" s="6">
        <f t="shared" si="1"/>
        <v>1.4112334180073384E-3</v>
      </c>
      <c r="O27" s="6">
        <f t="shared" si="2"/>
        <v>0.33502681343494212</v>
      </c>
      <c r="P27" t="str">
        <f t="shared" si="3"/>
        <v>Trump</v>
      </c>
      <c r="R27" s="6">
        <v>0.6395709850409258</v>
      </c>
      <c r="S27" s="6">
        <v>1.4112334180073384E-3</v>
      </c>
      <c r="T27" s="6">
        <v>0.33502681343494212</v>
      </c>
      <c r="U27" t="s">
        <v>145</v>
      </c>
    </row>
    <row r="28" spans="1:21" x14ac:dyDescent="0.2">
      <c r="A28" s="4" t="s">
        <v>66</v>
      </c>
      <c r="B28" s="5">
        <v>3585</v>
      </c>
      <c r="C28" s="5">
        <v>1370</v>
      </c>
      <c r="D28" s="5">
        <v>1234</v>
      </c>
      <c r="E28" s="5">
        <v>197244</v>
      </c>
      <c r="F28" s="5">
        <v>5522</v>
      </c>
      <c r="G28" s="5">
        <v>502710</v>
      </c>
      <c r="H28" s="5">
        <v>143</v>
      </c>
      <c r="I28" s="5">
        <v>4209</v>
      </c>
      <c r="J28" s="5">
        <v>574</v>
      </c>
      <c r="K28" s="5">
        <v>3582</v>
      </c>
      <c r="L28" s="5">
        <v>720173</v>
      </c>
      <c r="M28" s="6">
        <f t="shared" si="0"/>
        <v>0.27388419171504624</v>
      </c>
      <c r="N28" s="6">
        <f t="shared" si="1"/>
        <v>7.6676020900533623E-3</v>
      </c>
      <c r="O28" s="6">
        <f t="shared" si="2"/>
        <v>0.69804060968683912</v>
      </c>
      <c r="P28" t="str">
        <f t="shared" si="3"/>
        <v>Harris</v>
      </c>
      <c r="R28" s="6">
        <v>0.27388419171504624</v>
      </c>
      <c r="S28" s="6">
        <v>7.6676020900533623E-3</v>
      </c>
      <c r="T28" s="6">
        <v>0.69804060968683912</v>
      </c>
      <c r="U28" t="s">
        <v>146</v>
      </c>
    </row>
    <row r="29" spans="1:21" x14ac:dyDescent="0.2">
      <c r="A29" s="4" t="s">
        <v>67</v>
      </c>
      <c r="B29" s="5">
        <v>43</v>
      </c>
      <c r="C29" s="5">
        <v>0</v>
      </c>
      <c r="D29" s="5">
        <v>3</v>
      </c>
      <c r="E29" s="5">
        <v>6547</v>
      </c>
      <c r="F29" s="5">
        <v>31</v>
      </c>
      <c r="G29" s="5">
        <v>4667</v>
      </c>
      <c r="H29" s="5">
        <v>3</v>
      </c>
      <c r="I29" s="5">
        <v>91</v>
      </c>
      <c r="J29" s="5">
        <v>9</v>
      </c>
      <c r="K29" s="5">
        <v>34</v>
      </c>
      <c r="L29" s="5">
        <v>11428</v>
      </c>
      <c r="M29" s="6">
        <f t="shared" si="0"/>
        <v>0.57289114455722789</v>
      </c>
      <c r="N29" s="6">
        <f t="shared" si="1"/>
        <v>2.712635631781589E-3</v>
      </c>
      <c r="O29" s="6">
        <f t="shared" si="2"/>
        <v>0.40838291914595731</v>
      </c>
      <c r="P29" t="str">
        <f t="shared" si="3"/>
        <v>Trump</v>
      </c>
      <c r="R29" s="6">
        <v>0.57289114455722789</v>
      </c>
      <c r="S29" s="6">
        <v>2.712635631781589E-3</v>
      </c>
      <c r="T29" s="6">
        <v>0.40838291914595731</v>
      </c>
      <c r="U29" t="s">
        <v>145</v>
      </c>
    </row>
    <row r="30" spans="1:21" x14ac:dyDescent="0.2">
      <c r="A30" s="4" t="s">
        <v>68</v>
      </c>
      <c r="B30" s="5">
        <v>54</v>
      </c>
      <c r="C30" s="5">
        <v>4</v>
      </c>
      <c r="D30" s="5">
        <v>5</v>
      </c>
      <c r="E30" s="5">
        <v>8809</v>
      </c>
      <c r="F30" s="5">
        <v>32</v>
      </c>
      <c r="G30" s="5">
        <v>4536</v>
      </c>
      <c r="H30" s="5">
        <v>1</v>
      </c>
      <c r="I30" s="5">
        <v>115</v>
      </c>
      <c r="J30" s="5">
        <v>14</v>
      </c>
      <c r="K30" s="5">
        <v>47</v>
      </c>
      <c r="L30" s="5">
        <v>13617</v>
      </c>
      <c r="M30" s="6">
        <f t="shared" si="0"/>
        <v>0.64691194829991927</v>
      </c>
      <c r="N30" s="6">
        <f t="shared" si="1"/>
        <v>2.3500036718807375E-3</v>
      </c>
      <c r="O30" s="6">
        <f t="shared" si="2"/>
        <v>0.33311302048909452</v>
      </c>
      <c r="P30" t="str">
        <f t="shared" si="3"/>
        <v>Trump</v>
      </c>
      <c r="R30" s="6">
        <v>0.64691194829991927</v>
      </c>
      <c r="S30" s="6">
        <v>2.3500036718807375E-3</v>
      </c>
      <c r="T30" s="6">
        <v>0.33311302048909452</v>
      </c>
      <c r="U30" t="s">
        <v>145</v>
      </c>
    </row>
    <row r="31" spans="1:21" x14ac:dyDescent="0.2">
      <c r="A31" s="4" t="s">
        <v>69</v>
      </c>
      <c r="B31" s="5">
        <v>108</v>
      </c>
      <c r="C31" s="5">
        <v>4</v>
      </c>
      <c r="D31" s="5">
        <v>14</v>
      </c>
      <c r="E31" s="5">
        <v>18027</v>
      </c>
      <c r="F31" s="5">
        <v>56</v>
      </c>
      <c r="G31" s="5">
        <v>7384</v>
      </c>
      <c r="H31" s="5">
        <v>1</v>
      </c>
      <c r="I31" s="5">
        <v>211</v>
      </c>
      <c r="J31" s="5">
        <v>24</v>
      </c>
      <c r="K31" s="5">
        <v>89</v>
      </c>
      <c r="L31" s="5">
        <v>25918</v>
      </c>
      <c r="M31" s="6">
        <f t="shared" si="0"/>
        <v>0.69553977930395861</v>
      </c>
      <c r="N31" s="6">
        <f t="shared" si="1"/>
        <v>2.1606605447951231E-3</v>
      </c>
      <c r="O31" s="6">
        <f t="shared" si="2"/>
        <v>0.28489852612084265</v>
      </c>
      <c r="P31" t="str">
        <f t="shared" si="3"/>
        <v>Trump</v>
      </c>
      <c r="R31" s="6">
        <v>0.69553977930395861</v>
      </c>
      <c r="S31" s="6">
        <v>2.1606605447951231E-3</v>
      </c>
      <c r="T31" s="6">
        <v>0.28489852612084265</v>
      </c>
      <c r="U31" t="s">
        <v>145</v>
      </c>
    </row>
    <row r="32" spans="1:21" x14ac:dyDescent="0.2">
      <c r="A32" s="4" t="s">
        <v>70</v>
      </c>
      <c r="B32" s="5">
        <v>95</v>
      </c>
      <c r="C32" s="5">
        <v>5</v>
      </c>
      <c r="D32" s="5">
        <v>9</v>
      </c>
      <c r="E32" s="5">
        <v>15863</v>
      </c>
      <c r="F32" s="5">
        <v>51</v>
      </c>
      <c r="G32" s="5">
        <v>10467</v>
      </c>
      <c r="H32" s="5">
        <v>0</v>
      </c>
      <c r="I32" s="5">
        <v>254</v>
      </c>
      <c r="J32" s="5">
        <v>16</v>
      </c>
      <c r="K32" s="5">
        <v>80</v>
      </c>
      <c r="L32" s="5">
        <v>26840</v>
      </c>
      <c r="M32" s="6">
        <f t="shared" si="0"/>
        <v>0.59102086438152013</v>
      </c>
      <c r="N32" s="6">
        <f t="shared" si="1"/>
        <v>1.9001490312965724E-3</v>
      </c>
      <c r="O32" s="6">
        <f t="shared" si="2"/>
        <v>0.38997764530551415</v>
      </c>
      <c r="P32" t="str">
        <f t="shared" si="3"/>
        <v>Trump</v>
      </c>
      <c r="R32" s="6">
        <v>0.59102086438152013</v>
      </c>
      <c r="S32" s="6">
        <v>1.9001490312965724E-3</v>
      </c>
      <c r="T32" s="6">
        <v>0.38997764530551415</v>
      </c>
      <c r="U32" t="s">
        <v>145</v>
      </c>
    </row>
    <row r="33" spans="1:21" x14ac:dyDescent="0.2">
      <c r="A33" s="4" t="s">
        <v>71</v>
      </c>
      <c r="B33" s="5">
        <v>12</v>
      </c>
      <c r="C33" s="5">
        <v>1</v>
      </c>
      <c r="D33" s="5">
        <v>1</v>
      </c>
      <c r="E33" s="5">
        <v>3949</v>
      </c>
      <c r="F33" s="5">
        <v>4</v>
      </c>
      <c r="G33" s="5">
        <v>1581</v>
      </c>
      <c r="H33" s="5">
        <v>1</v>
      </c>
      <c r="I33" s="5">
        <v>65</v>
      </c>
      <c r="J33" s="5">
        <v>11</v>
      </c>
      <c r="K33" s="5">
        <v>19</v>
      </c>
      <c r="L33" s="5">
        <v>5644</v>
      </c>
      <c r="M33" s="6">
        <f t="shared" si="0"/>
        <v>0.69968107725017714</v>
      </c>
      <c r="N33" s="6">
        <f t="shared" si="1"/>
        <v>7.0871722182849046E-4</v>
      </c>
      <c r="O33" s="6">
        <f t="shared" si="2"/>
        <v>0.28012048192771083</v>
      </c>
      <c r="P33" t="str">
        <f t="shared" si="3"/>
        <v>Trump</v>
      </c>
      <c r="R33" s="6">
        <v>0.69968107725017714</v>
      </c>
      <c r="S33" s="6">
        <v>7.0871722182849046E-4</v>
      </c>
      <c r="T33" s="6">
        <v>0.28012048192771083</v>
      </c>
      <c r="U33" t="s">
        <v>145</v>
      </c>
    </row>
    <row r="34" spans="1:21" x14ac:dyDescent="0.2">
      <c r="A34" s="4" t="s">
        <v>72</v>
      </c>
      <c r="B34" s="5">
        <v>36</v>
      </c>
      <c r="C34" s="5">
        <v>3</v>
      </c>
      <c r="D34" s="5">
        <v>3</v>
      </c>
      <c r="E34" s="5">
        <v>6818</v>
      </c>
      <c r="F34" s="5">
        <v>23</v>
      </c>
      <c r="G34" s="5">
        <v>2718</v>
      </c>
      <c r="H34" s="5">
        <v>2</v>
      </c>
      <c r="I34" s="5">
        <v>68</v>
      </c>
      <c r="J34" s="5">
        <v>11</v>
      </c>
      <c r="K34" s="5">
        <v>21</v>
      </c>
      <c r="L34" s="5">
        <v>9703</v>
      </c>
      <c r="M34" s="6">
        <f t="shared" si="0"/>
        <v>0.70266927754302788</v>
      </c>
      <c r="N34" s="6">
        <f t="shared" si="1"/>
        <v>2.3704009069359993E-3</v>
      </c>
      <c r="O34" s="6">
        <f t="shared" si="2"/>
        <v>0.28011955065443678</v>
      </c>
      <c r="P34" t="str">
        <f t="shared" si="3"/>
        <v>Trump</v>
      </c>
      <c r="R34" s="6">
        <v>0.70266927754302788</v>
      </c>
      <c r="S34" s="6">
        <v>2.3704009069359993E-3</v>
      </c>
      <c r="T34" s="6">
        <v>0.28011955065443678</v>
      </c>
      <c r="U34" t="s">
        <v>145</v>
      </c>
    </row>
    <row r="35" spans="1:21" x14ac:dyDescent="0.2">
      <c r="A35" s="4" t="s">
        <v>73</v>
      </c>
      <c r="B35" s="5">
        <v>96</v>
      </c>
      <c r="C35" s="5">
        <v>10</v>
      </c>
      <c r="D35" s="5">
        <v>22</v>
      </c>
      <c r="E35" s="5">
        <v>15014</v>
      </c>
      <c r="F35" s="5">
        <v>63</v>
      </c>
      <c r="G35" s="5">
        <v>7814</v>
      </c>
      <c r="H35" s="5">
        <v>1</v>
      </c>
      <c r="I35" s="5">
        <v>174</v>
      </c>
      <c r="J35" s="5">
        <v>19</v>
      </c>
      <c r="K35" s="5">
        <v>70</v>
      </c>
      <c r="L35" s="5">
        <v>23283</v>
      </c>
      <c r="M35" s="6">
        <f t="shared" si="0"/>
        <v>0.64484817248636339</v>
      </c>
      <c r="N35" s="6">
        <f t="shared" si="1"/>
        <v>2.7058368766911482E-3</v>
      </c>
      <c r="O35" s="6">
        <f t="shared" si="2"/>
        <v>0.33560967229308936</v>
      </c>
      <c r="P35" t="str">
        <f t="shared" si="3"/>
        <v>Trump</v>
      </c>
      <c r="R35" s="6">
        <v>0.64484817248636339</v>
      </c>
      <c r="S35" s="6">
        <v>2.7058368766911482E-3</v>
      </c>
      <c r="T35" s="6">
        <v>0.33560967229308936</v>
      </c>
      <c r="U35" t="s">
        <v>145</v>
      </c>
    </row>
    <row r="36" spans="1:21" x14ac:dyDescent="0.2">
      <c r="A36" s="4" t="s">
        <v>74</v>
      </c>
      <c r="B36" s="5">
        <v>18</v>
      </c>
      <c r="C36" s="5">
        <v>0</v>
      </c>
      <c r="D36" s="5">
        <v>3</v>
      </c>
      <c r="E36" s="5">
        <v>1535</v>
      </c>
      <c r="F36" s="5">
        <v>3</v>
      </c>
      <c r="G36" s="5">
        <v>911</v>
      </c>
      <c r="H36" s="5">
        <v>0</v>
      </c>
      <c r="I36" s="5">
        <v>24</v>
      </c>
      <c r="J36" s="5">
        <v>1</v>
      </c>
      <c r="K36" s="5">
        <v>5</v>
      </c>
      <c r="L36" s="5">
        <v>2500</v>
      </c>
      <c r="M36" s="6">
        <f t="shared" si="0"/>
        <v>0.61399999999999999</v>
      </c>
      <c r="N36" s="6">
        <f t="shared" si="1"/>
        <v>1.1999999999999999E-3</v>
      </c>
      <c r="O36" s="6">
        <f t="shared" si="2"/>
        <v>0.3644</v>
      </c>
      <c r="P36" t="str">
        <f t="shared" si="3"/>
        <v>Trump</v>
      </c>
      <c r="R36" s="6">
        <v>0.61399999999999999</v>
      </c>
      <c r="S36" s="6">
        <v>1.1999999999999999E-3</v>
      </c>
      <c r="T36" s="6">
        <v>0.3644</v>
      </c>
      <c r="U36" t="s">
        <v>145</v>
      </c>
    </row>
    <row r="37" spans="1:21" x14ac:dyDescent="0.2">
      <c r="A37" s="4" t="s">
        <v>75</v>
      </c>
      <c r="B37" s="5">
        <v>25</v>
      </c>
      <c r="C37" s="5">
        <v>2</v>
      </c>
      <c r="D37" s="5">
        <v>1</v>
      </c>
      <c r="E37" s="5">
        <v>4204</v>
      </c>
      <c r="F37" s="5">
        <v>20</v>
      </c>
      <c r="G37" s="5">
        <v>2465</v>
      </c>
      <c r="H37" s="5">
        <v>1</v>
      </c>
      <c r="I37" s="5">
        <v>52</v>
      </c>
      <c r="J37" s="5">
        <v>6</v>
      </c>
      <c r="K37" s="5">
        <v>13</v>
      </c>
      <c r="L37" s="5">
        <v>6789</v>
      </c>
      <c r="M37" s="6">
        <f t="shared" si="0"/>
        <v>0.6192370010310797</v>
      </c>
      <c r="N37" s="6">
        <f t="shared" si="1"/>
        <v>2.9459419649432907E-3</v>
      </c>
      <c r="O37" s="6">
        <f t="shared" si="2"/>
        <v>0.36308734717926056</v>
      </c>
      <c r="P37" t="str">
        <f t="shared" si="3"/>
        <v>Trump</v>
      </c>
      <c r="R37" s="6">
        <v>0.6192370010310797</v>
      </c>
      <c r="S37" s="6">
        <v>2.9459419649432907E-3</v>
      </c>
      <c r="T37" s="6">
        <v>0.36308734717926056</v>
      </c>
      <c r="U37" t="s">
        <v>145</v>
      </c>
    </row>
    <row r="38" spans="1:21" x14ac:dyDescent="0.2">
      <c r="A38" s="4" t="s">
        <v>76</v>
      </c>
      <c r="B38" s="5">
        <v>15</v>
      </c>
      <c r="C38" s="5">
        <v>2</v>
      </c>
      <c r="D38" s="5">
        <v>5</v>
      </c>
      <c r="E38" s="5">
        <v>2600</v>
      </c>
      <c r="F38" s="5">
        <v>10</v>
      </c>
      <c r="G38" s="5">
        <v>1314</v>
      </c>
      <c r="H38" s="5">
        <v>0</v>
      </c>
      <c r="I38" s="5">
        <v>38</v>
      </c>
      <c r="J38" s="5">
        <v>5</v>
      </c>
      <c r="K38" s="5">
        <v>7</v>
      </c>
      <c r="L38" s="5">
        <v>3996</v>
      </c>
      <c r="M38" s="6">
        <f t="shared" si="0"/>
        <v>0.65065065065065064</v>
      </c>
      <c r="N38" s="6">
        <f t="shared" si="1"/>
        <v>2.5025025025025025E-3</v>
      </c>
      <c r="O38" s="6">
        <f t="shared" si="2"/>
        <v>0.32882882882882886</v>
      </c>
      <c r="P38" t="str">
        <f t="shared" si="3"/>
        <v>Trump</v>
      </c>
      <c r="R38" s="6">
        <v>0.65065065065065064</v>
      </c>
      <c r="S38" s="6">
        <v>2.5025025025025025E-3</v>
      </c>
      <c r="T38" s="6">
        <v>0.32882882882882886</v>
      </c>
      <c r="U38" t="s">
        <v>145</v>
      </c>
    </row>
    <row r="39" spans="1:21" x14ac:dyDescent="0.2">
      <c r="A39" s="4" t="s">
        <v>77</v>
      </c>
      <c r="B39" s="5">
        <v>28</v>
      </c>
      <c r="C39" s="5">
        <v>4</v>
      </c>
      <c r="D39" s="5">
        <v>5</v>
      </c>
      <c r="E39" s="5">
        <v>3265</v>
      </c>
      <c r="F39" s="5">
        <v>30</v>
      </c>
      <c r="G39" s="5">
        <v>3534</v>
      </c>
      <c r="H39" s="5">
        <v>0</v>
      </c>
      <c r="I39" s="5">
        <v>57</v>
      </c>
      <c r="J39" s="5">
        <v>6</v>
      </c>
      <c r="K39" s="5">
        <v>25</v>
      </c>
      <c r="L39" s="5">
        <v>6954</v>
      </c>
      <c r="M39" s="6">
        <f t="shared" si="0"/>
        <v>0.46951394880644232</v>
      </c>
      <c r="N39" s="6">
        <f t="shared" si="1"/>
        <v>4.3140638481449526E-3</v>
      </c>
      <c r="O39" s="6">
        <f t="shared" si="2"/>
        <v>0.50819672131147542</v>
      </c>
      <c r="P39" t="str">
        <f t="shared" si="3"/>
        <v>Harris</v>
      </c>
      <c r="R39" s="6">
        <v>0.46951394880644232</v>
      </c>
      <c r="S39" s="6">
        <v>4.3140638481449526E-3</v>
      </c>
      <c r="T39" s="6">
        <v>0.50819672131147542</v>
      </c>
      <c r="U39" t="s">
        <v>146</v>
      </c>
    </row>
    <row r="40" spans="1:21" x14ac:dyDescent="0.2">
      <c r="A40" s="4" t="s">
        <v>78</v>
      </c>
      <c r="B40" s="5">
        <v>11</v>
      </c>
      <c r="C40" s="5">
        <v>0</v>
      </c>
      <c r="D40" s="5">
        <v>0</v>
      </c>
      <c r="E40" s="5">
        <v>1710</v>
      </c>
      <c r="F40" s="5">
        <v>4</v>
      </c>
      <c r="G40" s="5">
        <v>604</v>
      </c>
      <c r="H40" s="5">
        <v>0</v>
      </c>
      <c r="I40" s="5">
        <v>17</v>
      </c>
      <c r="J40" s="5">
        <v>0</v>
      </c>
      <c r="K40" s="5">
        <v>1</v>
      </c>
      <c r="L40" s="5">
        <v>2347</v>
      </c>
      <c r="M40" s="6">
        <f t="shared" si="0"/>
        <v>0.72858968896463572</v>
      </c>
      <c r="N40" s="6">
        <f t="shared" si="1"/>
        <v>1.7043033659991478E-3</v>
      </c>
      <c r="O40" s="6">
        <f t="shared" si="2"/>
        <v>0.25734980826587134</v>
      </c>
      <c r="P40" t="str">
        <f t="shared" si="3"/>
        <v>Trump</v>
      </c>
      <c r="R40" s="6">
        <v>0.72858968896463572</v>
      </c>
      <c r="S40" s="6">
        <v>1.7043033659991478E-3</v>
      </c>
      <c r="T40" s="6">
        <v>0.25734980826587134</v>
      </c>
      <c r="U40" t="s">
        <v>145</v>
      </c>
    </row>
    <row r="41" spans="1:21" x14ac:dyDescent="0.2">
      <c r="A41" s="4" t="s">
        <v>79</v>
      </c>
      <c r="B41" s="5">
        <v>57</v>
      </c>
      <c r="C41" s="5">
        <v>9</v>
      </c>
      <c r="D41" s="5">
        <v>5</v>
      </c>
      <c r="E41" s="5">
        <v>11503</v>
      </c>
      <c r="F41" s="5">
        <v>38</v>
      </c>
      <c r="G41" s="5">
        <v>5636</v>
      </c>
      <c r="H41" s="5">
        <v>1</v>
      </c>
      <c r="I41" s="5">
        <v>158</v>
      </c>
      <c r="J41" s="5">
        <v>15</v>
      </c>
      <c r="K41" s="5">
        <v>47</v>
      </c>
      <c r="L41" s="5">
        <v>17469</v>
      </c>
      <c r="M41" s="6">
        <f t="shared" si="0"/>
        <v>0.65848073730608503</v>
      </c>
      <c r="N41" s="6">
        <f t="shared" si="1"/>
        <v>2.1752819279867194E-3</v>
      </c>
      <c r="O41" s="6">
        <f t="shared" si="2"/>
        <v>0.32262865647718814</v>
      </c>
      <c r="P41" t="str">
        <f t="shared" si="3"/>
        <v>Trump</v>
      </c>
      <c r="R41" s="6">
        <v>0.65848073730608503</v>
      </c>
      <c r="S41" s="6">
        <v>2.1752819279867194E-3</v>
      </c>
      <c r="T41" s="6">
        <v>0.32262865647718814</v>
      </c>
      <c r="U41" t="s">
        <v>145</v>
      </c>
    </row>
    <row r="42" spans="1:21" x14ac:dyDescent="0.2">
      <c r="A42" s="4" t="s">
        <v>80</v>
      </c>
      <c r="B42" s="5">
        <v>13</v>
      </c>
      <c r="C42" s="5">
        <v>2</v>
      </c>
      <c r="D42" s="5">
        <v>0</v>
      </c>
      <c r="E42" s="5">
        <v>2190</v>
      </c>
      <c r="F42" s="5">
        <v>6</v>
      </c>
      <c r="G42" s="5">
        <v>972</v>
      </c>
      <c r="H42" s="5">
        <v>0</v>
      </c>
      <c r="I42" s="5">
        <v>38</v>
      </c>
      <c r="J42" s="5">
        <v>5</v>
      </c>
      <c r="K42" s="5">
        <v>9</v>
      </c>
      <c r="L42" s="5">
        <v>3235</v>
      </c>
      <c r="M42" s="6">
        <f t="shared" si="0"/>
        <v>0.67697063369397215</v>
      </c>
      <c r="N42" s="6">
        <f t="shared" si="1"/>
        <v>1.8547140649149924E-3</v>
      </c>
      <c r="O42" s="6">
        <f t="shared" si="2"/>
        <v>0.30046367851622874</v>
      </c>
      <c r="P42" t="str">
        <f t="shared" si="3"/>
        <v>Trump</v>
      </c>
      <c r="R42" s="6">
        <v>0.67697063369397215</v>
      </c>
      <c r="S42" s="6">
        <v>1.8547140649149924E-3</v>
      </c>
      <c r="T42" s="6">
        <v>0.30046367851622874</v>
      </c>
      <c r="U42" t="s">
        <v>145</v>
      </c>
    </row>
    <row r="43" spans="1:21" x14ac:dyDescent="0.2">
      <c r="A43" s="4" t="s">
        <v>81</v>
      </c>
      <c r="B43" s="5">
        <v>64</v>
      </c>
      <c r="C43" s="5">
        <v>3</v>
      </c>
      <c r="D43" s="5">
        <v>7</v>
      </c>
      <c r="E43" s="5">
        <v>8400</v>
      </c>
      <c r="F43" s="5">
        <v>25</v>
      </c>
      <c r="G43" s="5">
        <v>4284</v>
      </c>
      <c r="H43" s="5">
        <v>1</v>
      </c>
      <c r="I43" s="5">
        <v>149</v>
      </c>
      <c r="J43" s="5">
        <v>13</v>
      </c>
      <c r="K43" s="5">
        <v>44</v>
      </c>
      <c r="L43" s="5">
        <v>12990</v>
      </c>
      <c r="M43" s="6">
        <f t="shared" si="0"/>
        <v>0.64665127020785218</v>
      </c>
      <c r="N43" s="6">
        <f t="shared" si="1"/>
        <v>1.924557351809084E-3</v>
      </c>
      <c r="O43" s="6">
        <f t="shared" si="2"/>
        <v>0.32979214780600463</v>
      </c>
      <c r="P43" t="str">
        <f t="shared" si="3"/>
        <v>Trump</v>
      </c>
      <c r="R43" s="6">
        <v>0.64665127020785218</v>
      </c>
      <c r="S43" s="6">
        <v>1.924557351809084E-3</v>
      </c>
      <c r="T43" s="6">
        <v>0.32979214780600463</v>
      </c>
      <c r="U43" t="s">
        <v>145</v>
      </c>
    </row>
    <row r="44" spans="1:21" x14ac:dyDescent="0.2">
      <c r="A44" s="4" t="s">
        <v>82</v>
      </c>
      <c r="B44" s="5">
        <v>1</v>
      </c>
      <c r="C44" s="5">
        <v>1</v>
      </c>
      <c r="D44" s="5">
        <v>1</v>
      </c>
      <c r="E44" s="5">
        <v>1165</v>
      </c>
      <c r="F44" s="5">
        <v>3</v>
      </c>
      <c r="G44" s="5">
        <v>975</v>
      </c>
      <c r="H44" s="5">
        <v>1</v>
      </c>
      <c r="I44" s="5">
        <v>27</v>
      </c>
      <c r="J44" s="5">
        <v>2</v>
      </c>
      <c r="K44" s="5">
        <v>7</v>
      </c>
      <c r="L44" s="5">
        <v>2183</v>
      </c>
      <c r="M44" s="6">
        <f t="shared" si="0"/>
        <v>0.53366926248282176</v>
      </c>
      <c r="N44" s="6">
        <f t="shared" si="1"/>
        <v>1.3742556115437471E-3</v>
      </c>
      <c r="O44" s="6">
        <f t="shared" si="2"/>
        <v>0.44663307375171785</v>
      </c>
      <c r="P44" t="str">
        <f t="shared" si="3"/>
        <v>Trump</v>
      </c>
      <c r="R44" s="6">
        <v>0.53366926248282176</v>
      </c>
      <c r="S44" s="6">
        <v>1.3742556115437471E-3</v>
      </c>
      <c r="T44" s="6">
        <v>0.44663307375171785</v>
      </c>
      <c r="U44" t="s">
        <v>145</v>
      </c>
    </row>
    <row r="45" spans="1:21" x14ac:dyDescent="0.2">
      <c r="A45" s="4" t="s">
        <v>83</v>
      </c>
      <c r="B45" s="5">
        <v>15</v>
      </c>
      <c r="C45" s="5">
        <v>1</v>
      </c>
      <c r="D45" s="5">
        <v>0</v>
      </c>
      <c r="E45" s="5">
        <v>3774</v>
      </c>
      <c r="F45" s="5">
        <v>6</v>
      </c>
      <c r="G45" s="5">
        <v>1177</v>
      </c>
      <c r="H45" s="5">
        <v>0</v>
      </c>
      <c r="I45" s="5">
        <v>47</v>
      </c>
      <c r="J45" s="5">
        <v>4</v>
      </c>
      <c r="K45" s="5">
        <v>7</v>
      </c>
      <c r="L45" s="5">
        <v>5031</v>
      </c>
      <c r="M45" s="6">
        <f t="shared" si="0"/>
        <v>0.75014907573047107</v>
      </c>
      <c r="N45" s="6">
        <f t="shared" si="1"/>
        <v>1.1926058437686344E-3</v>
      </c>
      <c r="O45" s="6">
        <f t="shared" si="2"/>
        <v>0.23394951301928046</v>
      </c>
      <c r="P45" t="str">
        <f t="shared" si="3"/>
        <v>Trump</v>
      </c>
      <c r="R45" s="6">
        <v>0.75014907573047107</v>
      </c>
      <c r="S45" s="6">
        <v>1.1926058437686344E-3</v>
      </c>
      <c r="T45" s="6">
        <v>0.23394951301928046</v>
      </c>
      <c r="U45" t="s">
        <v>145</v>
      </c>
    </row>
    <row r="46" spans="1:21" x14ac:dyDescent="0.2">
      <c r="A46" s="4" t="s">
        <v>84</v>
      </c>
      <c r="B46" s="5">
        <v>28</v>
      </c>
      <c r="C46" s="5">
        <v>0</v>
      </c>
      <c r="D46" s="5">
        <v>3</v>
      </c>
      <c r="E46" s="5">
        <v>7442</v>
      </c>
      <c r="F46" s="5">
        <v>15</v>
      </c>
      <c r="G46" s="5">
        <v>3171</v>
      </c>
      <c r="H46" s="5">
        <v>0</v>
      </c>
      <c r="I46" s="5">
        <v>95</v>
      </c>
      <c r="J46" s="5">
        <v>11</v>
      </c>
      <c r="K46" s="5">
        <v>31</v>
      </c>
      <c r="L46" s="5">
        <v>10796</v>
      </c>
      <c r="M46" s="6">
        <f t="shared" si="0"/>
        <v>0.68932938125231569</v>
      </c>
      <c r="N46" s="6">
        <f t="shared" si="1"/>
        <v>1.3894034827713969E-3</v>
      </c>
      <c r="O46" s="6">
        <f t="shared" si="2"/>
        <v>0.29371989625787331</v>
      </c>
      <c r="P46" t="str">
        <f t="shared" si="3"/>
        <v>Trump</v>
      </c>
      <c r="R46" s="6">
        <v>0.68932938125231569</v>
      </c>
      <c r="S46" s="6">
        <v>1.3894034827713969E-3</v>
      </c>
      <c r="T46" s="6">
        <v>0.29371989625787331</v>
      </c>
      <c r="U46" t="s">
        <v>145</v>
      </c>
    </row>
    <row r="47" spans="1:21" x14ac:dyDescent="0.2">
      <c r="A47" s="4" t="s">
        <v>85</v>
      </c>
      <c r="B47" s="5">
        <v>84</v>
      </c>
      <c r="C47" s="5">
        <v>9</v>
      </c>
      <c r="D47" s="5">
        <v>10</v>
      </c>
      <c r="E47" s="5">
        <v>14394</v>
      </c>
      <c r="F47" s="5">
        <v>42</v>
      </c>
      <c r="G47" s="5">
        <v>6374</v>
      </c>
      <c r="H47" s="5">
        <v>3</v>
      </c>
      <c r="I47" s="5">
        <v>180</v>
      </c>
      <c r="J47" s="5">
        <v>35</v>
      </c>
      <c r="K47" s="5">
        <v>68</v>
      </c>
      <c r="L47" s="5">
        <v>21199</v>
      </c>
      <c r="M47" s="6">
        <f t="shared" si="0"/>
        <v>0.67899429218359353</v>
      </c>
      <c r="N47" s="6">
        <f t="shared" si="1"/>
        <v>1.9812255295061088E-3</v>
      </c>
      <c r="O47" s="6">
        <f t="shared" si="2"/>
        <v>0.30067456012076044</v>
      </c>
      <c r="P47" t="str">
        <f t="shared" si="3"/>
        <v>Trump</v>
      </c>
      <c r="R47" s="6">
        <v>0.67899429218359353</v>
      </c>
      <c r="S47" s="6">
        <v>1.9812255295061088E-3</v>
      </c>
      <c r="T47" s="6">
        <v>0.30067456012076044</v>
      </c>
      <c r="U47" t="s">
        <v>145</v>
      </c>
    </row>
    <row r="48" spans="1:21" x14ac:dyDescent="0.2">
      <c r="A48" s="4" t="s">
        <v>86</v>
      </c>
      <c r="B48" s="5">
        <v>49</v>
      </c>
      <c r="C48" s="5">
        <v>5</v>
      </c>
      <c r="D48" s="5">
        <v>0</v>
      </c>
      <c r="E48" s="5">
        <v>9645</v>
      </c>
      <c r="F48" s="5">
        <v>23</v>
      </c>
      <c r="G48" s="5">
        <v>3802</v>
      </c>
      <c r="H48" s="5">
        <v>2</v>
      </c>
      <c r="I48" s="5">
        <v>113</v>
      </c>
      <c r="J48" s="5">
        <v>8</v>
      </c>
      <c r="K48" s="5">
        <v>47</v>
      </c>
      <c r="L48" s="5">
        <v>13694</v>
      </c>
      <c r="M48" s="6">
        <f t="shared" si="0"/>
        <v>0.7043230611946838</v>
      </c>
      <c r="N48" s="6">
        <f t="shared" si="1"/>
        <v>1.6795676938805317E-3</v>
      </c>
      <c r="O48" s="6">
        <f t="shared" si="2"/>
        <v>0.27763984226668614</v>
      </c>
      <c r="P48" t="str">
        <f t="shared" si="3"/>
        <v>Trump</v>
      </c>
      <c r="R48" s="6">
        <v>0.7043230611946838</v>
      </c>
      <c r="S48" s="6">
        <v>1.6795676938805317E-3</v>
      </c>
      <c r="T48" s="6">
        <v>0.27763984226668614</v>
      </c>
      <c r="U48" t="s">
        <v>145</v>
      </c>
    </row>
    <row r="49" spans="1:21" x14ac:dyDescent="0.2">
      <c r="A49" s="4" t="s">
        <v>87</v>
      </c>
      <c r="B49" s="5">
        <v>57</v>
      </c>
      <c r="C49" s="5">
        <v>8</v>
      </c>
      <c r="D49" s="5">
        <v>5</v>
      </c>
      <c r="E49" s="5">
        <v>10570</v>
      </c>
      <c r="F49" s="5">
        <v>26</v>
      </c>
      <c r="G49" s="5">
        <v>4374</v>
      </c>
      <c r="H49" s="5">
        <v>2</v>
      </c>
      <c r="I49" s="5">
        <v>108</v>
      </c>
      <c r="J49" s="5">
        <v>13</v>
      </c>
      <c r="K49" s="5">
        <v>27</v>
      </c>
      <c r="L49" s="5">
        <v>15190</v>
      </c>
      <c r="M49" s="6">
        <f t="shared" si="0"/>
        <v>0.69585253456221197</v>
      </c>
      <c r="N49" s="6">
        <f t="shared" si="1"/>
        <v>1.7116524028966426E-3</v>
      </c>
      <c r="O49" s="6">
        <f t="shared" si="2"/>
        <v>0.28795260039499671</v>
      </c>
      <c r="P49" t="str">
        <f t="shared" si="3"/>
        <v>Trump</v>
      </c>
      <c r="R49" s="6">
        <v>0.69585253456221197</v>
      </c>
      <c r="S49" s="6">
        <v>1.7116524028966426E-3</v>
      </c>
      <c r="T49" s="6">
        <v>0.28795260039499671</v>
      </c>
      <c r="U49" t="s">
        <v>145</v>
      </c>
    </row>
    <row r="50" spans="1:21" x14ac:dyDescent="0.2">
      <c r="A50" s="4" t="s">
        <v>88</v>
      </c>
      <c r="B50" s="5">
        <v>64</v>
      </c>
      <c r="C50" s="5">
        <v>5</v>
      </c>
      <c r="D50" s="5">
        <v>6</v>
      </c>
      <c r="E50" s="5">
        <v>15666</v>
      </c>
      <c r="F50" s="5">
        <v>37</v>
      </c>
      <c r="G50" s="5">
        <v>4306</v>
      </c>
      <c r="H50" s="5">
        <v>2</v>
      </c>
      <c r="I50" s="5">
        <v>171</v>
      </c>
      <c r="J50" s="5">
        <v>15</v>
      </c>
      <c r="K50" s="5">
        <v>41</v>
      </c>
      <c r="L50" s="5">
        <v>20313</v>
      </c>
      <c r="M50" s="6">
        <f t="shared" si="0"/>
        <v>0.77123024664008266</v>
      </c>
      <c r="N50" s="6">
        <f t="shared" si="1"/>
        <v>1.8214936247723133E-3</v>
      </c>
      <c r="O50" s="6">
        <f t="shared" si="2"/>
        <v>0.21198247427755623</v>
      </c>
      <c r="P50" t="str">
        <f t="shared" si="3"/>
        <v>Trump</v>
      </c>
      <c r="R50" s="6">
        <v>0.77123024664008266</v>
      </c>
      <c r="S50" s="6">
        <v>1.8214936247723133E-3</v>
      </c>
      <c r="T50" s="6">
        <v>0.21198247427755623</v>
      </c>
      <c r="U50" t="s">
        <v>145</v>
      </c>
    </row>
    <row r="51" spans="1:21" x14ac:dyDescent="0.2">
      <c r="A51" s="4" t="s">
        <v>89</v>
      </c>
      <c r="B51" s="5">
        <v>54</v>
      </c>
      <c r="C51" s="5">
        <v>9</v>
      </c>
      <c r="D51" s="5">
        <v>5</v>
      </c>
      <c r="E51" s="5">
        <v>10297</v>
      </c>
      <c r="F51" s="5">
        <v>39</v>
      </c>
      <c r="G51" s="5">
        <v>8312</v>
      </c>
      <c r="H51" s="5">
        <v>2</v>
      </c>
      <c r="I51" s="5">
        <v>185</v>
      </c>
      <c r="J51" s="5">
        <v>23</v>
      </c>
      <c r="K51" s="5">
        <v>43</v>
      </c>
      <c r="L51" s="5">
        <v>18969</v>
      </c>
      <c r="M51" s="6">
        <f t="shared" si="0"/>
        <v>0.54283304338657812</v>
      </c>
      <c r="N51" s="6">
        <f t="shared" si="1"/>
        <v>2.0559860825557488E-3</v>
      </c>
      <c r="O51" s="6">
        <f t="shared" si="2"/>
        <v>0.43818862354367655</v>
      </c>
      <c r="P51" t="str">
        <f t="shared" si="3"/>
        <v>Trump</v>
      </c>
      <c r="R51" s="6">
        <v>0.54283304338657812</v>
      </c>
      <c r="S51" s="6">
        <v>2.0559860825557488E-3</v>
      </c>
      <c r="T51" s="6">
        <v>0.43818862354367655</v>
      </c>
      <c r="U51" t="s">
        <v>145</v>
      </c>
    </row>
    <row r="52" spans="1:21" x14ac:dyDescent="0.2">
      <c r="A52" s="4" t="s">
        <v>90</v>
      </c>
      <c r="B52" s="5">
        <v>15</v>
      </c>
      <c r="C52" s="5">
        <v>2</v>
      </c>
      <c r="D52" s="5">
        <v>0</v>
      </c>
      <c r="E52" s="5">
        <v>3346</v>
      </c>
      <c r="F52" s="5">
        <v>5</v>
      </c>
      <c r="G52" s="5">
        <v>1329</v>
      </c>
      <c r="H52" s="5">
        <v>0</v>
      </c>
      <c r="I52" s="5">
        <v>54</v>
      </c>
      <c r="J52" s="5">
        <v>4</v>
      </c>
      <c r="K52" s="5">
        <v>14</v>
      </c>
      <c r="L52" s="5">
        <v>4769</v>
      </c>
      <c r="M52" s="6">
        <f t="shared" si="0"/>
        <v>0.70161459425456074</v>
      </c>
      <c r="N52" s="6">
        <f t="shared" si="1"/>
        <v>1.0484378276368212E-3</v>
      </c>
      <c r="O52" s="6">
        <f t="shared" si="2"/>
        <v>0.27867477458586704</v>
      </c>
      <c r="P52" t="str">
        <f t="shared" si="3"/>
        <v>Trump</v>
      </c>
      <c r="R52" s="6">
        <v>0.70161459425456074</v>
      </c>
      <c r="S52" s="6">
        <v>1.0484378276368212E-3</v>
      </c>
      <c r="T52" s="6">
        <v>0.27867477458586704</v>
      </c>
      <c r="U52" t="s">
        <v>145</v>
      </c>
    </row>
    <row r="53" spans="1:21" x14ac:dyDescent="0.2">
      <c r="A53" s="4" t="s">
        <v>91</v>
      </c>
      <c r="B53" s="5">
        <v>81</v>
      </c>
      <c r="C53" s="5">
        <v>13</v>
      </c>
      <c r="D53" s="5">
        <v>18</v>
      </c>
      <c r="E53" s="5">
        <v>9540</v>
      </c>
      <c r="F53" s="5">
        <v>48</v>
      </c>
      <c r="G53" s="5">
        <v>9441</v>
      </c>
      <c r="H53" s="5">
        <v>2</v>
      </c>
      <c r="I53" s="5">
        <v>193</v>
      </c>
      <c r="J53" s="5">
        <v>18</v>
      </c>
      <c r="K53" s="5">
        <v>63</v>
      </c>
      <c r="L53" s="5">
        <v>19417</v>
      </c>
      <c r="M53" s="6">
        <f t="shared" si="0"/>
        <v>0.49132203738991603</v>
      </c>
      <c r="N53" s="6">
        <f t="shared" si="1"/>
        <v>2.4720605654838545E-3</v>
      </c>
      <c r="O53" s="6">
        <f t="shared" si="2"/>
        <v>0.48622341247360562</v>
      </c>
      <c r="P53" t="str">
        <f t="shared" si="3"/>
        <v>Trump</v>
      </c>
      <c r="R53" s="6">
        <v>0.49132203738991603</v>
      </c>
      <c r="S53" s="6">
        <v>2.4720605654838545E-3</v>
      </c>
      <c r="T53" s="6">
        <v>0.48622341247360562</v>
      </c>
      <c r="U53" t="s">
        <v>145</v>
      </c>
    </row>
    <row r="54" spans="1:21" x14ac:dyDescent="0.2">
      <c r="A54" s="4" t="s">
        <v>92</v>
      </c>
      <c r="B54" s="5">
        <v>15</v>
      </c>
      <c r="C54" s="5">
        <v>1</v>
      </c>
      <c r="D54" s="5">
        <v>3</v>
      </c>
      <c r="E54" s="5">
        <v>5541</v>
      </c>
      <c r="F54" s="5">
        <v>9</v>
      </c>
      <c r="G54" s="5">
        <v>2599</v>
      </c>
      <c r="H54" s="5">
        <v>2</v>
      </c>
      <c r="I54" s="5">
        <v>82</v>
      </c>
      <c r="J54" s="5">
        <v>6</v>
      </c>
      <c r="K54" s="5">
        <v>17</v>
      </c>
      <c r="L54" s="5">
        <v>8275</v>
      </c>
      <c r="M54" s="6">
        <f t="shared" si="0"/>
        <v>0.66960725075528704</v>
      </c>
      <c r="N54" s="6">
        <f t="shared" si="1"/>
        <v>1.0876132930513595E-3</v>
      </c>
      <c r="O54" s="6">
        <f t="shared" si="2"/>
        <v>0.31407854984894262</v>
      </c>
      <c r="P54" t="str">
        <f t="shared" si="3"/>
        <v>Trump</v>
      </c>
      <c r="R54" s="6">
        <v>0.66960725075528704</v>
      </c>
      <c r="S54" s="6">
        <v>1.0876132930513595E-3</v>
      </c>
      <c r="T54" s="6">
        <v>0.31407854984894262</v>
      </c>
      <c r="U54" t="s">
        <v>145</v>
      </c>
    </row>
    <row r="55" spans="1:21" x14ac:dyDescent="0.2">
      <c r="A55" s="4" t="s">
        <v>93</v>
      </c>
      <c r="B55" s="5">
        <v>18</v>
      </c>
      <c r="C55" s="5">
        <v>0</v>
      </c>
      <c r="D55" s="5">
        <v>1</v>
      </c>
      <c r="E55" s="5">
        <v>1963</v>
      </c>
      <c r="F55" s="5">
        <v>10</v>
      </c>
      <c r="G55" s="5">
        <v>1233</v>
      </c>
      <c r="H55" s="5">
        <v>3</v>
      </c>
      <c r="I55" s="5">
        <v>50</v>
      </c>
      <c r="J55" s="5">
        <v>7</v>
      </c>
      <c r="K55" s="5">
        <v>9</v>
      </c>
      <c r="L55" s="5">
        <v>3294</v>
      </c>
      <c r="M55" s="6">
        <f t="shared" si="0"/>
        <v>0.59593199757134185</v>
      </c>
      <c r="N55" s="6">
        <f t="shared" si="1"/>
        <v>3.0358227079538553E-3</v>
      </c>
      <c r="O55" s="6">
        <f t="shared" si="2"/>
        <v>0.37431693989071041</v>
      </c>
      <c r="P55" t="str">
        <f t="shared" si="3"/>
        <v>Trump</v>
      </c>
      <c r="R55" s="6">
        <v>0.59593199757134185</v>
      </c>
      <c r="S55" s="6">
        <v>3.0358227079538553E-3</v>
      </c>
      <c r="T55" s="6">
        <v>0.37431693989071041</v>
      </c>
      <c r="U55" t="s">
        <v>145</v>
      </c>
    </row>
    <row r="56" spans="1:21" x14ac:dyDescent="0.2">
      <c r="A56" s="4" t="s">
        <v>94</v>
      </c>
      <c r="B56" s="5">
        <v>494</v>
      </c>
      <c r="C56" s="5">
        <v>57</v>
      </c>
      <c r="D56" s="5">
        <v>90</v>
      </c>
      <c r="E56" s="5">
        <v>39467</v>
      </c>
      <c r="F56" s="5">
        <v>521</v>
      </c>
      <c r="G56" s="5">
        <v>49121</v>
      </c>
      <c r="H56" s="5">
        <v>13</v>
      </c>
      <c r="I56" s="5">
        <v>700</v>
      </c>
      <c r="J56" s="5">
        <v>61</v>
      </c>
      <c r="K56" s="5">
        <v>400</v>
      </c>
      <c r="L56" s="5">
        <v>90924</v>
      </c>
      <c r="M56" s="6">
        <f t="shared" si="0"/>
        <v>0.43406581320663412</v>
      </c>
      <c r="N56" s="6">
        <f t="shared" si="1"/>
        <v>5.730060270115701E-3</v>
      </c>
      <c r="O56" s="6">
        <f t="shared" si="2"/>
        <v>0.54024240024635961</v>
      </c>
      <c r="P56" t="str">
        <f t="shared" si="3"/>
        <v>Harris</v>
      </c>
      <c r="R56" s="6">
        <v>0.43406581320663412</v>
      </c>
      <c r="S56" s="6">
        <v>5.730060270115701E-3</v>
      </c>
      <c r="T56" s="6">
        <v>0.54024240024635961</v>
      </c>
      <c r="U56" t="s">
        <v>146</v>
      </c>
    </row>
    <row r="57" spans="1:21" x14ac:dyDescent="0.2">
      <c r="A57" s="4" t="s">
        <v>95</v>
      </c>
      <c r="B57" s="5">
        <v>146</v>
      </c>
      <c r="C57" s="5">
        <v>10</v>
      </c>
      <c r="D57" s="5">
        <v>13</v>
      </c>
      <c r="E57" s="5">
        <v>24276</v>
      </c>
      <c r="F57" s="5">
        <v>71</v>
      </c>
      <c r="G57" s="5">
        <v>11752</v>
      </c>
      <c r="H57" s="5">
        <v>6</v>
      </c>
      <c r="I57" s="5">
        <v>307</v>
      </c>
      <c r="J57" s="5">
        <v>27</v>
      </c>
      <c r="K57" s="5">
        <v>128</v>
      </c>
      <c r="L57" s="5">
        <v>36736</v>
      </c>
      <c r="M57" s="6">
        <f t="shared" si="0"/>
        <v>0.66082317073170727</v>
      </c>
      <c r="N57" s="6">
        <f t="shared" si="1"/>
        <v>1.9327090592334494E-3</v>
      </c>
      <c r="O57" s="6">
        <f t="shared" si="2"/>
        <v>0.31990418118466901</v>
      </c>
      <c r="P57" t="str">
        <f t="shared" si="3"/>
        <v>Trump</v>
      </c>
      <c r="R57" s="6">
        <v>0.66082317073170727</v>
      </c>
      <c r="S57" s="6">
        <v>1.9327090592334494E-3</v>
      </c>
      <c r="T57" s="6">
        <v>0.31990418118466901</v>
      </c>
      <c r="U57" t="s">
        <v>145</v>
      </c>
    </row>
    <row r="58" spans="1:21" x14ac:dyDescent="0.2">
      <c r="A58" s="4" t="s">
        <v>96</v>
      </c>
      <c r="B58" s="5">
        <v>39</v>
      </c>
      <c r="C58" s="5">
        <v>5</v>
      </c>
      <c r="D58" s="5">
        <v>6</v>
      </c>
      <c r="E58" s="5">
        <v>4756</v>
      </c>
      <c r="F58" s="5">
        <v>9</v>
      </c>
      <c r="G58" s="5">
        <v>2439</v>
      </c>
      <c r="H58" s="5">
        <v>1</v>
      </c>
      <c r="I58" s="5">
        <v>92</v>
      </c>
      <c r="J58" s="5">
        <v>14</v>
      </c>
      <c r="K58" s="5">
        <v>20</v>
      </c>
      <c r="L58" s="5">
        <v>7381</v>
      </c>
      <c r="M58" s="6">
        <f t="shared" si="0"/>
        <v>0.64435713317978593</v>
      </c>
      <c r="N58" s="6">
        <f t="shared" si="1"/>
        <v>1.2193469719550196E-3</v>
      </c>
      <c r="O58" s="6">
        <f t="shared" si="2"/>
        <v>0.33044302939981035</v>
      </c>
      <c r="P58" t="str">
        <f t="shared" si="3"/>
        <v>Trump</v>
      </c>
      <c r="R58" s="6">
        <v>0.64435713317978593</v>
      </c>
      <c r="S58" s="6">
        <v>1.2193469719550196E-3</v>
      </c>
      <c r="T58" s="6">
        <v>0.33044302939981035</v>
      </c>
      <c r="U58" t="s">
        <v>145</v>
      </c>
    </row>
    <row r="59" spans="1:21" x14ac:dyDescent="0.2">
      <c r="A59" s="4" t="s">
        <v>97</v>
      </c>
      <c r="B59" s="5">
        <v>62</v>
      </c>
      <c r="C59" s="5">
        <v>8</v>
      </c>
      <c r="D59" s="5">
        <v>4</v>
      </c>
      <c r="E59" s="5">
        <v>11274</v>
      </c>
      <c r="F59" s="5">
        <v>36</v>
      </c>
      <c r="G59" s="5">
        <v>5339</v>
      </c>
      <c r="H59" s="5">
        <v>0</v>
      </c>
      <c r="I59" s="5">
        <v>142</v>
      </c>
      <c r="J59" s="5">
        <v>11</v>
      </c>
      <c r="K59" s="5">
        <v>35</v>
      </c>
      <c r="L59" s="5">
        <v>16911</v>
      </c>
      <c r="M59" s="6">
        <f t="shared" si="0"/>
        <v>0.66666666666666663</v>
      </c>
      <c r="N59" s="6">
        <f t="shared" si="1"/>
        <v>2.1287919105907396E-3</v>
      </c>
      <c r="O59" s="6">
        <f t="shared" si="2"/>
        <v>0.31571166696233222</v>
      </c>
      <c r="P59" t="str">
        <f t="shared" si="3"/>
        <v>Trump</v>
      </c>
      <c r="R59" s="6">
        <v>0.66666666666666663</v>
      </c>
      <c r="S59" s="6">
        <v>2.1287919105907396E-3</v>
      </c>
      <c r="T59" s="6">
        <v>0.31571166696233222</v>
      </c>
      <c r="U59" t="s">
        <v>145</v>
      </c>
    </row>
    <row r="60" spans="1:21" x14ac:dyDescent="0.2">
      <c r="A60" s="4" t="s">
        <v>98</v>
      </c>
      <c r="B60" s="5">
        <v>13</v>
      </c>
      <c r="C60" s="5">
        <v>2</v>
      </c>
      <c r="D60" s="5">
        <v>2</v>
      </c>
      <c r="E60" s="5">
        <v>3537</v>
      </c>
      <c r="F60" s="5">
        <v>4</v>
      </c>
      <c r="G60" s="5">
        <v>1215</v>
      </c>
      <c r="H60" s="5">
        <v>0</v>
      </c>
      <c r="I60" s="5">
        <v>53</v>
      </c>
      <c r="J60" s="5">
        <v>2</v>
      </c>
      <c r="K60" s="5">
        <v>9</v>
      </c>
      <c r="L60" s="5">
        <v>4837</v>
      </c>
      <c r="M60" s="6">
        <f t="shared" si="0"/>
        <v>0.73123837089104815</v>
      </c>
      <c r="N60" s="6">
        <f t="shared" si="1"/>
        <v>8.2695885879677483E-4</v>
      </c>
      <c r="O60" s="6">
        <f t="shared" si="2"/>
        <v>0.25118875335952034</v>
      </c>
      <c r="P60" t="str">
        <f t="shared" si="3"/>
        <v>Trump</v>
      </c>
      <c r="R60" s="6">
        <v>0.73123837089104815</v>
      </c>
      <c r="S60" s="6">
        <v>8.2695885879677483E-4</v>
      </c>
      <c r="T60" s="6">
        <v>0.25118875335952034</v>
      </c>
      <c r="U60" t="s">
        <v>145</v>
      </c>
    </row>
    <row r="61" spans="1:21" x14ac:dyDescent="0.2">
      <c r="A61" s="4" t="s">
        <v>99</v>
      </c>
      <c r="B61" s="5">
        <v>52</v>
      </c>
      <c r="C61" s="5">
        <v>10</v>
      </c>
      <c r="D61" s="5">
        <v>10</v>
      </c>
      <c r="E61" s="5">
        <v>10162</v>
      </c>
      <c r="F61" s="5">
        <v>27</v>
      </c>
      <c r="G61" s="5">
        <v>4967</v>
      </c>
      <c r="H61" s="5">
        <v>2</v>
      </c>
      <c r="I61" s="5">
        <v>143</v>
      </c>
      <c r="J61" s="5">
        <v>14</v>
      </c>
      <c r="K61" s="5">
        <v>32</v>
      </c>
      <c r="L61" s="5">
        <v>15419</v>
      </c>
      <c r="M61" s="6">
        <f t="shared" si="0"/>
        <v>0.65905700758804076</v>
      </c>
      <c r="N61" s="6">
        <f t="shared" si="1"/>
        <v>1.7510863220701733E-3</v>
      </c>
      <c r="O61" s="6">
        <f t="shared" si="2"/>
        <v>0.32213502821194628</v>
      </c>
      <c r="P61" t="str">
        <f t="shared" si="3"/>
        <v>Trump</v>
      </c>
      <c r="R61" s="6">
        <v>0.65905700758804076</v>
      </c>
      <c r="S61" s="6">
        <v>1.7510863220701733E-3</v>
      </c>
      <c r="T61" s="6">
        <v>0.32213502821194628</v>
      </c>
      <c r="U61" t="s">
        <v>145</v>
      </c>
    </row>
    <row r="62" spans="1:21" x14ac:dyDescent="0.2">
      <c r="A62" s="4" t="s">
        <v>100</v>
      </c>
      <c r="B62" s="5">
        <v>23</v>
      </c>
      <c r="C62" s="5">
        <v>0</v>
      </c>
      <c r="D62" s="5">
        <v>6</v>
      </c>
      <c r="E62" s="5">
        <v>4677</v>
      </c>
      <c r="F62" s="5">
        <v>10</v>
      </c>
      <c r="G62" s="5">
        <v>2398</v>
      </c>
      <c r="H62" s="5">
        <v>1</v>
      </c>
      <c r="I62" s="5">
        <v>71</v>
      </c>
      <c r="J62" s="5">
        <v>5</v>
      </c>
      <c r="K62" s="5">
        <v>27</v>
      </c>
      <c r="L62" s="5">
        <v>7218</v>
      </c>
      <c r="M62" s="6">
        <f t="shared" si="0"/>
        <v>0.64796342477140478</v>
      </c>
      <c r="N62" s="6">
        <f t="shared" si="1"/>
        <v>1.3854253255749516E-3</v>
      </c>
      <c r="O62" s="6">
        <f t="shared" si="2"/>
        <v>0.3322249930728734</v>
      </c>
      <c r="P62" t="str">
        <f t="shared" si="3"/>
        <v>Trump</v>
      </c>
      <c r="R62" s="6">
        <v>0.64796342477140478</v>
      </c>
      <c r="S62" s="6">
        <v>1.3854253255749516E-3</v>
      </c>
      <c r="T62" s="6">
        <v>0.3322249930728734</v>
      </c>
      <c r="U62" t="s">
        <v>145</v>
      </c>
    </row>
    <row r="63" spans="1:21" x14ac:dyDescent="0.2">
      <c r="A63" s="4" t="s">
        <v>101</v>
      </c>
      <c r="B63" s="5">
        <v>1331</v>
      </c>
      <c r="C63" s="5">
        <v>549</v>
      </c>
      <c r="D63" s="5">
        <v>469</v>
      </c>
      <c r="E63" s="5">
        <v>75284</v>
      </c>
      <c r="F63" s="5">
        <v>2127</v>
      </c>
      <c r="G63" s="5">
        <v>195168</v>
      </c>
      <c r="H63" s="5">
        <v>79</v>
      </c>
      <c r="I63" s="5">
        <v>1529</v>
      </c>
      <c r="J63" s="5">
        <v>200</v>
      </c>
      <c r="K63" s="5">
        <v>1289</v>
      </c>
      <c r="L63" s="5">
        <v>278025</v>
      </c>
      <c r="M63" s="6">
        <f t="shared" si="0"/>
        <v>0.27078140454995053</v>
      </c>
      <c r="N63" s="6">
        <f t="shared" si="1"/>
        <v>7.6503911518748316E-3</v>
      </c>
      <c r="O63" s="6">
        <f t="shared" si="2"/>
        <v>0.70198003776638795</v>
      </c>
      <c r="P63" t="str">
        <f t="shared" si="3"/>
        <v>Harris</v>
      </c>
      <c r="R63" s="6">
        <v>0.27078140454995053</v>
      </c>
      <c r="S63" s="6">
        <v>7.6503911518748316E-3</v>
      </c>
      <c r="T63" s="6">
        <v>0.70198003776638795</v>
      </c>
      <c r="U63" t="s">
        <v>146</v>
      </c>
    </row>
    <row r="64" spans="1:21" x14ac:dyDescent="0.2">
      <c r="A64" s="4" t="s">
        <v>102</v>
      </c>
      <c r="B64" s="5">
        <v>7</v>
      </c>
      <c r="C64" s="5">
        <v>0</v>
      </c>
      <c r="D64" s="5">
        <v>0</v>
      </c>
      <c r="E64" s="5">
        <v>1425</v>
      </c>
      <c r="F64" s="5">
        <v>6</v>
      </c>
      <c r="G64" s="5">
        <v>642</v>
      </c>
      <c r="H64" s="5">
        <v>1</v>
      </c>
      <c r="I64" s="5">
        <v>28</v>
      </c>
      <c r="J64" s="5">
        <v>1</v>
      </c>
      <c r="K64" s="5">
        <v>6</v>
      </c>
      <c r="L64" s="5">
        <v>2116</v>
      </c>
      <c r="M64" s="6">
        <f t="shared" si="0"/>
        <v>0.67344045368620042</v>
      </c>
      <c r="N64" s="6">
        <f t="shared" si="1"/>
        <v>2.8355387523629491E-3</v>
      </c>
      <c r="O64" s="6">
        <f t="shared" si="2"/>
        <v>0.30340264650283555</v>
      </c>
      <c r="P64" t="str">
        <f t="shared" si="3"/>
        <v>Trump</v>
      </c>
      <c r="R64" s="6">
        <v>0.67344045368620042</v>
      </c>
      <c r="S64" s="6">
        <v>2.8355387523629491E-3</v>
      </c>
      <c r="T64" s="6">
        <v>0.30340264650283555</v>
      </c>
      <c r="U64" t="s">
        <v>145</v>
      </c>
    </row>
    <row r="65" spans="1:21" x14ac:dyDescent="0.2">
      <c r="A65" s="4" t="s">
        <v>103</v>
      </c>
      <c r="B65" s="5">
        <v>24</v>
      </c>
      <c r="C65" s="5">
        <v>1</v>
      </c>
      <c r="D65" s="5">
        <v>3</v>
      </c>
      <c r="E65" s="5">
        <v>5895</v>
      </c>
      <c r="F65" s="5">
        <v>8</v>
      </c>
      <c r="G65" s="5">
        <v>2300</v>
      </c>
      <c r="H65" s="5">
        <v>0</v>
      </c>
      <c r="I65" s="5">
        <v>65</v>
      </c>
      <c r="J65" s="5">
        <v>3</v>
      </c>
      <c r="K65" s="5">
        <v>27</v>
      </c>
      <c r="L65" s="5">
        <v>8326</v>
      </c>
      <c r="M65" s="6">
        <f t="shared" si="0"/>
        <v>0.70802306029305784</v>
      </c>
      <c r="N65" s="6">
        <f t="shared" si="1"/>
        <v>9.6084554407878929E-4</v>
      </c>
      <c r="O65" s="6">
        <f t="shared" si="2"/>
        <v>0.27624309392265195</v>
      </c>
      <c r="P65" t="str">
        <f t="shared" si="3"/>
        <v>Trump</v>
      </c>
      <c r="R65" s="6">
        <v>0.70802306029305784</v>
      </c>
      <c r="S65" s="6">
        <v>9.6084554407878929E-4</v>
      </c>
      <c r="T65" s="6">
        <v>0.27624309392265195</v>
      </c>
      <c r="U65" t="s">
        <v>145</v>
      </c>
    </row>
    <row r="66" spans="1:21" x14ac:dyDescent="0.2">
      <c r="A66" s="4" t="s">
        <v>104</v>
      </c>
      <c r="B66" s="5">
        <v>30</v>
      </c>
      <c r="C66" s="5">
        <v>4</v>
      </c>
      <c r="D66" s="5">
        <v>3</v>
      </c>
      <c r="E66" s="5">
        <v>5610</v>
      </c>
      <c r="F66" s="5">
        <v>16</v>
      </c>
      <c r="G66" s="5">
        <v>2280</v>
      </c>
      <c r="H66" s="5">
        <v>0</v>
      </c>
      <c r="I66" s="5">
        <v>87</v>
      </c>
      <c r="J66" s="5">
        <v>12</v>
      </c>
      <c r="K66" s="5">
        <v>16</v>
      </c>
      <c r="L66" s="5">
        <v>8058</v>
      </c>
      <c r="M66" s="6">
        <f t="shared" si="0"/>
        <v>0.69620253164556967</v>
      </c>
      <c r="N66" s="6">
        <f t="shared" si="1"/>
        <v>1.9856043683296105E-3</v>
      </c>
      <c r="O66" s="6">
        <f t="shared" si="2"/>
        <v>0.28294862248696945</v>
      </c>
      <c r="P66" t="str">
        <f t="shared" si="3"/>
        <v>Trump</v>
      </c>
      <c r="R66" s="6">
        <v>0.69620253164556967</v>
      </c>
      <c r="S66" s="6">
        <v>1.9856043683296105E-3</v>
      </c>
      <c r="T66" s="6">
        <v>0.28294862248696945</v>
      </c>
      <c r="U66" t="s">
        <v>145</v>
      </c>
    </row>
    <row r="67" spans="1:21" x14ac:dyDescent="0.2">
      <c r="A67" s="4" t="s">
        <v>105</v>
      </c>
      <c r="B67" s="5">
        <v>155</v>
      </c>
      <c r="C67" s="5">
        <v>25</v>
      </c>
      <c r="D67" s="5">
        <v>21</v>
      </c>
      <c r="E67" s="5">
        <v>18264</v>
      </c>
      <c r="F67" s="5">
        <v>139</v>
      </c>
      <c r="G67" s="5">
        <v>17353</v>
      </c>
      <c r="H67" s="5">
        <v>4</v>
      </c>
      <c r="I67" s="5">
        <v>289</v>
      </c>
      <c r="J67" s="5">
        <v>34</v>
      </c>
      <c r="K67" s="5">
        <v>128</v>
      </c>
      <c r="L67" s="5">
        <v>36412</v>
      </c>
      <c r="M67" s="6">
        <f t="shared" ref="M67:M88" si="4">E67/L67</f>
        <v>0.50159288146764802</v>
      </c>
      <c r="N67" s="6">
        <f t="shared" ref="N67:N88" si="5">F67/L67</f>
        <v>3.8174228276392397E-3</v>
      </c>
      <c r="O67" s="6">
        <f t="shared" ref="O67:O88" si="6">G67/L67</f>
        <v>0.47657365703614191</v>
      </c>
      <c r="P67" t="str">
        <f t="shared" ref="P67:P88" si="7">IF(M67 &gt; O67, "Trump", "Harris")</f>
        <v>Trump</v>
      </c>
      <c r="R67" s="6">
        <v>0.50159288146764802</v>
      </c>
      <c r="S67" s="6">
        <v>3.8174228276392397E-3</v>
      </c>
      <c r="T67" s="6">
        <v>0.47657365703614191</v>
      </c>
      <c r="U67" t="s">
        <v>145</v>
      </c>
    </row>
    <row r="68" spans="1:21" x14ac:dyDescent="0.2">
      <c r="A68" s="4" t="s">
        <v>106</v>
      </c>
      <c r="B68" s="5">
        <v>22</v>
      </c>
      <c r="C68" s="5">
        <v>1</v>
      </c>
      <c r="D68" s="5">
        <v>2</v>
      </c>
      <c r="E68" s="5">
        <v>3690</v>
      </c>
      <c r="F68" s="5">
        <v>9</v>
      </c>
      <c r="G68" s="5">
        <v>1585</v>
      </c>
      <c r="H68" s="5">
        <v>2</v>
      </c>
      <c r="I68" s="5">
        <v>46</v>
      </c>
      <c r="J68" s="5">
        <v>4</v>
      </c>
      <c r="K68" s="5">
        <v>12</v>
      </c>
      <c r="L68" s="5">
        <v>5373</v>
      </c>
      <c r="M68" s="6">
        <f t="shared" si="4"/>
        <v>0.68676716917922953</v>
      </c>
      <c r="N68" s="6">
        <f t="shared" si="5"/>
        <v>1.6750418760469012E-3</v>
      </c>
      <c r="O68" s="6">
        <f t="shared" si="6"/>
        <v>0.2949934859482598</v>
      </c>
      <c r="P68" t="str">
        <f t="shared" si="7"/>
        <v>Trump</v>
      </c>
      <c r="R68" s="6">
        <v>0.68676716917922953</v>
      </c>
      <c r="S68" s="6">
        <v>1.6750418760469012E-3</v>
      </c>
      <c r="T68" s="6">
        <v>0.2949934859482598</v>
      </c>
      <c r="U68" t="s">
        <v>145</v>
      </c>
    </row>
    <row r="69" spans="1:21" x14ac:dyDescent="0.2">
      <c r="A69" s="4" t="s">
        <v>107</v>
      </c>
      <c r="B69" s="5">
        <v>16</v>
      </c>
      <c r="C69" s="5">
        <v>1</v>
      </c>
      <c r="D69" s="5">
        <v>4</v>
      </c>
      <c r="E69" s="5">
        <v>6279</v>
      </c>
      <c r="F69" s="5">
        <v>15</v>
      </c>
      <c r="G69" s="5">
        <v>2093</v>
      </c>
      <c r="H69" s="5">
        <v>2</v>
      </c>
      <c r="I69" s="5">
        <v>66</v>
      </c>
      <c r="J69" s="5">
        <v>10</v>
      </c>
      <c r="K69" s="5">
        <v>13</v>
      </c>
      <c r="L69" s="5">
        <v>8499</v>
      </c>
      <c r="M69" s="6">
        <f t="shared" si="4"/>
        <v>0.73879279915284146</v>
      </c>
      <c r="N69" s="6">
        <f t="shared" si="5"/>
        <v>1.7649135192375574E-3</v>
      </c>
      <c r="O69" s="6">
        <f t="shared" si="6"/>
        <v>0.24626426638428051</v>
      </c>
      <c r="P69" t="str">
        <f t="shared" si="7"/>
        <v>Trump</v>
      </c>
      <c r="R69" s="6">
        <v>0.73879279915284146</v>
      </c>
      <c r="S69" s="6">
        <v>1.7649135192375574E-3</v>
      </c>
      <c r="T69" s="6">
        <v>0.24626426638428051</v>
      </c>
      <c r="U69" t="s">
        <v>145</v>
      </c>
    </row>
    <row r="70" spans="1:21" x14ac:dyDescent="0.2">
      <c r="A70" s="4" t="s">
        <v>108</v>
      </c>
      <c r="B70" s="5">
        <v>494</v>
      </c>
      <c r="C70" s="5">
        <v>28</v>
      </c>
      <c r="D70" s="5">
        <v>73</v>
      </c>
      <c r="E70" s="5">
        <v>47837</v>
      </c>
      <c r="F70" s="5">
        <v>400</v>
      </c>
      <c r="G70" s="5">
        <v>40214</v>
      </c>
      <c r="H70" s="5">
        <v>5</v>
      </c>
      <c r="I70" s="5">
        <v>674</v>
      </c>
      <c r="J70" s="5">
        <v>81</v>
      </c>
      <c r="K70" s="5">
        <v>335</v>
      </c>
      <c r="L70" s="5">
        <v>90141</v>
      </c>
      <c r="M70" s="6">
        <f t="shared" si="4"/>
        <v>0.53069080662517609</v>
      </c>
      <c r="N70" s="6">
        <f t="shared" si="5"/>
        <v>4.4374923730599834E-3</v>
      </c>
      <c r="O70" s="6">
        <f t="shared" si="6"/>
        <v>0.44612329572558546</v>
      </c>
      <c r="P70" t="str">
        <f t="shared" si="7"/>
        <v>Trump</v>
      </c>
      <c r="R70" s="6">
        <v>0.53069080662517609</v>
      </c>
      <c r="S70" s="6">
        <v>4.4374923730599834E-3</v>
      </c>
      <c r="T70" s="6">
        <v>0.44612329572558546</v>
      </c>
      <c r="U70" t="s">
        <v>145</v>
      </c>
    </row>
    <row r="71" spans="1:21" x14ac:dyDescent="0.2">
      <c r="A71" s="4" t="s">
        <v>109</v>
      </c>
      <c r="B71" s="5">
        <v>302</v>
      </c>
      <c r="C71" s="5">
        <v>25</v>
      </c>
      <c r="D71" s="5">
        <v>37</v>
      </c>
      <c r="E71" s="5">
        <v>38491</v>
      </c>
      <c r="F71" s="5">
        <v>139</v>
      </c>
      <c r="G71" s="5">
        <v>18329</v>
      </c>
      <c r="H71" s="5">
        <v>11</v>
      </c>
      <c r="I71" s="5">
        <v>391</v>
      </c>
      <c r="J71" s="5">
        <v>52</v>
      </c>
      <c r="K71" s="5">
        <v>183</v>
      </c>
      <c r="L71" s="5">
        <v>57960</v>
      </c>
      <c r="M71" s="6">
        <f t="shared" si="4"/>
        <v>0.66409592822636299</v>
      </c>
      <c r="N71" s="6">
        <f t="shared" si="5"/>
        <v>2.3982056590752241E-3</v>
      </c>
      <c r="O71" s="6">
        <f t="shared" si="6"/>
        <v>0.31623533471359561</v>
      </c>
      <c r="P71" t="str">
        <f t="shared" si="7"/>
        <v>Trump</v>
      </c>
      <c r="R71" s="6">
        <v>0.66409592822636299</v>
      </c>
      <c r="S71" s="6">
        <v>2.3982056590752241E-3</v>
      </c>
      <c r="T71" s="6">
        <v>0.31623533471359561</v>
      </c>
      <c r="U71" t="s">
        <v>145</v>
      </c>
    </row>
    <row r="72" spans="1:21" x14ac:dyDescent="0.2">
      <c r="A72" s="4" t="s">
        <v>110</v>
      </c>
      <c r="B72" s="5">
        <v>33</v>
      </c>
      <c r="C72" s="5">
        <v>4</v>
      </c>
      <c r="D72" s="5">
        <v>3</v>
      </c>
      <c r="E72" s="5">
        <v>6014</v>
      </c>
      <c r="F72" s="5">
        <v>18</v>
      </c>
      <c r="G72" s="5">
        <v>2351</v>
      </c>
      <c r="H72" s="5">
        <v>3</v>
      </c>
      <c r="I72" s="5">
        <v>78</v>
      </c>
      <c r="J72" s="5">
        <v>8</v>
      </c>
      <c r="K72" s="5">
        <v>25</v>
      </c>
      <c r="L72" s="5">
        <v>8537</v>
      </c>
      <c r="M72" s="6">
        <f t="shared" si="4"/>
        <v>0.70446292608644723</v>
      </c>
      <c r="N72" s="6">
        <f t="shared" si="5"/>
        <v>2.1084690172191636E-3</v>
      </c>
      <c r="O72" s="6">
        <f t="shared" si="6"/>
        <v>0.27538948108234745</v>
      </c>
      <c r="P72" t="str">
        <f t="shared" si="7"/>
        <v>Trump</v>
      </c>
      <c r="R72" s="6">
        <v>0.70446292608644723</v>
      </c>
      <c r="S72" s="6">
        <v>2.1084690172191636E-3</v>
      </c>
      <c r="T72" s="6">
        <v>0.27538948108234745</v>
      </c>
      <c r="U72" t="s">
        <v>145</v>
      </c>
    </row>
    <row r="73" spans="1:21" x14ac:dyDescent="0.2">
      <c r="A73" s="4" t="s">
        <v>111</v>
      </c>
      <c r="B73" s="5">
        <v>507</v>
      </c>
      <c r="C73" s="5">
        <v>85</v>
      </c>
      <c r="D73" s="5">
        <v>71</v>
      </c>
      <c r="E73" s="5">
        <v>50065</v>
      </c>
      <c r="F73" s="5">
        <v>425</v>
      </c>
      <c r="G73" s="5">
        <v>66335</v>
      </c>
      <c r="H73" s="5">
        <v>18</v>
      </c>
      <c r="I73" s="5">
        <v>975</v>
      </c>
      <c r="J73" s="5">
        <v>106</v>
      </c>
      <c r="K73" s="5">
        <v>422</v>
      </c>
      <c r="L73" s="5">
        <v>119009</v>
      </c>
      <c r="M73" s="6">
        <f t="shared" si="4"/>
        <v>0.42068246939307113</v>
      </c>
      <c r="N73" s="6">
        <f t="shared" si="5"/>
        <v>3.5711584838121488E-3</v>
      </c>
      <c r="O73" s="6">
        <f t="shared" si="6"/>
        <v>0.55739481887924447</v>
      </c>
      <c r="P73" t="str">
        <f t="shared" si="7"/>
        <v>Harris</v>
      </c>
      <c r="R73" s="6">
        <v>0.42068246939307113</v>
      </c>
      <c r="S73" s="6">
        <v>3.5711584838121488E-3</v>
      </c>
      <c r="T73" s="6">
        <v>0.55739481887924447</v>
      </c>
      <c r="U73" t="s">
        <v>146</v>
      </c>
    </row>
    <row r="74" spans="1:21" x14ac:dyDescent="0.2">
      <c r="A74" s="4" t="s">
        <v>112</v>
      </c>
      <c r="B74" s="5">
        <v>338</v>
      </c>
      <c r="C74" s="5">
        <v>41</v>
      </c>
      <c r="D74" s="5">
        <v>82</v>
      </c>
      <c r="E74" s="5">
        <v>53932</v>
      </c>
      <c r="F74" s="5">
        <v>354</v>
      </c>
      <c r="G74" s="5">
        <v>30829</v>
      </c>
      <c r="H74" s="5">
        <v>13</v>
      </c>
      <c r="I74" s="5">
        <v>705</v>
      </c>
      <c r="J74" s="5">
        <v>67</v>
      </c>
      <c r="K74" s="5">
        <v>271</v>
      </c>
      <c r="L74" s="5">
        <v>86632</v>
      </c>
      <c r="M74" s="6">
        <f t="shared" si="4"/>
        <v>0.62254132422199648</v>
      </c>
      <c r="N74" s="6">
        <f t="shared" si="5"/>
        <v>4.0862498845692123E-3</v>
      </c>
      <c r="O74" s="6">
        <f t="shared" si="6"/>
        <v>0.35586157539939051</v>
      </c>
      <c r="P74" t="str">
        <f t="shared" si="7"/>
        <v>Trump</v>
      </c>
      <c r="R74" s="6">
        <v>0.62254132422199648</v>
      </c>
      <c r="S74" s="6">
        <v>4.0862498845692123E-3</v>
      </c>
      <c r="T74" s="6">
        <v>0.35586157539939051</v>
      </c>
      <c r="U74" t="s">
        <v>145</v>
      </c>
    </row>
    <row r="75" spans="1:21" x14ac:dyDescent="0.2">
      <c r="A75" s="4" t="s">
        <v>113</v>
      </c>
      <c r="B75" s="5">
        <v>89</v>
      </c>
      <c r="C75" s="5">
        <v>11</v>
      </c>
      <c r="D75" s="5">
        <v>27</v>
      </c>
      <c r="E75" s="5">
        <v>12742</v>
      </c>
      <c r="F75" s="5">
        <v>62</v>
      </c>
      <c r="G75" s="5">
        <v>7650</v>
      </c>
      <c r="H75" s="5">
        <v>1</v>
      </c>
      <c r="I75" s="5">
        <v>208</v>
      </c>
      <c r="J75" s="5">
        <v>19</v>
      </c>
      <c r="K75" s="5">
        <v>63</v>
      </c>
      <c r="L75" s="5">
        <v>20872</v>
      </c>
      <c r="M75" s="6">
        <f t="shared" si="4"/>
        <v>0.61048294365657341</v>
      </c>
      <c r="N75" s="6">
        <f t="shared" si="5"/>
        <v>2.9704867765427368E-3</v>
      </c>
      <c r="O75" s="6">
        <f t="shared" si="6"/>
        <v>0.36651973936374088</v>
      </c>
      <c r="P75" t="str">
        <f t="shared" si="7"/>
        <v>Trump</v>
      </c>
      <c r="R75" s="6">
        <v>0.61048294365657341</v>
      </c>
      <c r="S75" s="6">
        <v>2.9704867765427368E-3</v>
      </c>
      <c r="T75" s="6">
        <v>0.36651973936374088</v>
      </c>
      <c r="U75" t="s">
        <v>145</v>
      </c>
    </row>
    <row r="76" spans="1:21" x14ac:dyDescent="0.2">
      <c r="A76" s="4" t="s">
        <v>114</v>
      </c>
      <c r="B76" s="5">
        <v>20</v>
      </c>
      <c r="C76" s="5">
        <v>0</v>
      </c>
      <c r="D76" s="5">
        <v>4</v>
      </c>
      <c r="E76" s="5">
        <v>3213</v>
      </c>
      <c r="F76" s="5">
        <v>9</v>
      </c>
      <c r="G76" s="5">
        <v>1827</v>
      </c>
      <c r="H76" s="5">
        <v>0</v>
      </c>
      <c r="I76" s="5">
        <v>43</v>
      </c>
      <c r="J76" s="5">
        <v>6</v>
      </c>
      <c r="K76" s="5">
        <v>17</v>
      </c>
      <c r="L76" s="5">
        <v>5139</v>
      </c>
      <c r="M76" s="6">
        <f t="shared" si="4"/>
        <v>0.62521891418563924</v>
      </c>
      <c r="N76" s="6">
        <f t="shared" si="5"/>
        <v>1.7513134851138354E-3</v>
      </c>
      <c r="O76" s="6">
        <f t="shared" si="6"/>
        <v>0.35551663747810858</v>
      </c>
      <c r="P76" t="str">
        <f t="shared" si="7"/>
        <v>Trump</v>
      </c>
      <c r="R76" s="6">
        <v>0.62521891418563924</v>
      </c>
      <c r="S76" s="6">
        <v>1.7513134851138354E-3</v>
      </c>
      <c r="T76" s="6">
        <v>0.35551663747810858</v>
      </c>
      <c r="U76" t="s">
        <v>145</v>
      </c>
    </row>
    <row r="77" spans="1:21" x14ac:dyDescent="0.2">
      <c r="A77" s="4" t="s">
        <v>115</v>
      </c>
      <c r="B77" s="5">
        <v>18</v>
      </c>
      <c r="C77" s="5">
        <v>1</v>
      </c>
      <c r="D77" s="5">
        <v>4</v>
      </c>
      <c r="E77" s="5">
        <v>3340</v>
      </c>
      <c r="F77" s="5">
        <v>5</v>
      </c>
      <c r="G77" s="5">
        <v>1618</v>
      </c>
      <c r="H77" s="5">
        <v>0</v>
      </c>
      <c r="I77" s="5">
        <v>50</v>
      </c>
      <c r="J77" s="5">
        <v>5</v>
      </c>
      <c r="K77" s="5">
        <v>13</v>
      </c>
      <c r="L77" s="5">
        <v>5054</v>
      </c>
      <c r="M77" s="6">
        <f t="shared" si="4"/>
        <v>0.66086268302334783</v>
      </c>
      <c r="N77" s="6">
        <f t="shared" si="5"/>
        <v>9.8931539374752671E-4</v>
      </c>
      <c r="O77" s="6">
        <f t="shared" si="6"/>
        <v>0.32014246141669966</v>
      </c>
      <c r="P77" t="str">
        <f t="shared" si="7"/>
        <v>Trump</v>
      </c>
      <c r="R77" s="6">
        <v>0.66086268302334783</v>
      </c>
      <c r="S77" s="6">
        <v>9.8931539374752671E-4</v>
      </c>
      <c r="T77" s="6">
        <v>0.32014246141669966</v>
      </c>
      <c r="U77" t="s">
        <v>145</v>
      </c>
    </row>
    <row r="78" spans="1:21" x14ac:dyDescent="0.2">
      <c r="A78" s="4" t="s">
        <v>116</v>
      </c>
      <c r="B78" s="5">
        <v>46</v>
      </c>
      <c r="C78" s="5">
        <v>2</v>
      </c>
      <c r="D78" s="5">
        <v>7</v>
      </c>
      <c r="E78" s="5">
        <v>10392</v>
      </c>
      <c r="F78" s="5">
        <v>28</v>
      </c>
      <c r="G78" s="5">
        <v>3072</v>
      </c>
      <c r="H78" s="5">
        <v>1</v>
      </c>
      <c r="I78" s="5">
        <v>115</v>
      </c>
      <c r="J78" s="5">
        <v>9</v>
      </c>
      <c r="K78" s="5">
        <v>46</v>
      </c>
      <c r="L78" s="5">
        <v>13718</v>
      </c>
      <c r="M78" s="6">
        <f t="shared" si="4"/>
        <v>0.75754483160810615</v>
      </c>
      <c r="N78" s="6">
        <f t="shared" si="5"/>
        <v>2.0411138649948971E-3</v>
      </c>
      <c r="O78" s="6">
        <f t="shared" si="6"/>
        <v>0.22393934975944016</v>
      </c>
      <c r="P78" t="str">
        <f t="shared" si="7"/>
        <v>Trump</v>
      </c>
      <c r="R78" s="6">
        <v>0.75754483160810615</v>
      </c>
      <c r="S78" s="6">
        <v>2.0411138649948971E-3</v>
      </c>
      <c r="T78" s="6">
        <v>0.22393934975944016</v>
      </c>
      <c r="U78" t="s">
        <v>145</v>
      </c>
    </row>
    <row r="79" spans="1:21" x14ac:dyDescent="0.2">
      <c r="A79" s="4" t="s">
        <v>117</v>
      </c>
      <c r="B79" s="5">
        <v>5</v>
      </c>
      <c r="C79" s="5">
        <v>2</v>
      </c>
      <c r="D79" s="5">
        <v>0</v>
      </c>
      <c r="E79" s="5">
        <v>1165</v>
      </c>
      <c r="F79" s="5">
        <v>4</v>
      </c>
      <c r="G79" s="5">
        <v>597</v>
      </c>
      <c r="H79" s="5">
        <v>1</v>
      </c>
      <c r="I79" s="5">
        <v>25</v>
      </c>
      <c r="J79" s="5">
        <v>2</v>
      </c>
      <c r="K79" s="5">
        <v>1</v>
      </c>
      <c r="L79" s="5">
        <v>1802</v>
      </c>
      <c r="M79" s="6">
        <f t="shared" si="4"/>
        <v>0.64650388457269703</v>
      </c>
      <c r="N79" s="6">
        <f t="shared" si="5"/>
        <v>2.2197558268590455E-3</v>
      </c>
      <c r="O79" s="6">
        <f t="shared" si="6"/>
        <v>0.33129855715871254</v>
      </c>
      <c r="P79" t="str">
        <f t="shared" si="7"/>
        <v>Trump</v>
      </c>
      <c r="R79" s="6">
        <v>0.64650388457269703</v>
      </c>
      <c r="S79" s="6">
        <v>2.2197558268590455E-3</v>
      </c>
      <c r="T79" s="6">
        <v>0.33129855715871254</v>
      </c>
      <c r="U79" t="s">
        <v>145</v>
      </c>
    </row>
    <row r="80" spans="1:21" x14ac:dyDescent="0.2">
      <c r="A80" s="4" t="s">
        <v>118</v>
      </c>
      <c r="B80" s="5">
        <v>57</v>
      </c>
      <c r="C80" s="5">
        <v>4</v>
      </c>
      <c r="D80" s="5">
        <v>3</v>
      </c>
      <c r="E80" s="5">
        <v>8523</v>
      </c>
      <c r="F80" s="5">
        <v>32</v>
      </c>
      <c r="G80" s="5">
        <v>4721</v>
      </c>
      <c r="H80" s="5">
        <v>0</v>
      </c>
      <c r="I80" s="5">
        <v>128</v>
      </c>
      <c r="J80" s="5">
        <v>13</v>
      </c>
      <c r="K80" s="5">
        <v>28</v>
      </c>
      <c r="L80" s="5">
        <v>13509</v>
      </c>
      <c r="M80" s="6">
        <f t="shared" si="4"/>
        <v>0.63091272485009997</v>
      </c>
      <c r="N80" s="6">
        <f t="shared" si="5"/>
        <v>2.3687911762528685E-3</v>
      </c>
      <c r="O80" s="6">
        <f t="shared" si="6"/>
        <v>0.34947072322155598</v>
      </c>
      <c r="P80" t="str">
        <f t="shared" si="7"/>
        <v>Trump</v>
      </c>
      <c r="R80" s="6">
        <v>0.63091272485009997</v>
      </c>
      <c r="S80" s="6">
        <v>2.3687911762528685E-3</v>
      </c>
      <c r="T80" s="6">
        <v>0.34947072322155598</v>
      </c>
      <c r="U80" t="s">
        <v>145</v>
      </c>
    </row>
    <row r="81" spans="1:21" x14ac:dyDescent="0.2">
      <c r="A81" s="4" t="s">
        <v>119</v>
      </c>
      <c r="B81" s="5">
        <v>11</v>
      </c>
      <c r="C81" s="5">
        <v>1</v>
      </c>
      <c r="D81" s="5">
        <v>4</v>
      </c>
      <c r="E81" s="5">
        <v>6028</v>
      </c>
      <c r="F81" s="5">
        <v>8</v>
      </c>
      <c r="G81" s="5">
        <v>1898</v>
      </c>
      <c r="H81" s="5">
        <v>1</v>
      </c>
      <c r="I81" s="5">
        <v>65</v>
      </c>
      <c r="J81" s="5">
        <v>8</v>
      </c>
      <c r="K81" s="5">
        <v>23</v>
      </c>
      <c r="L81" s="5">
        <v>8047</v>
      </c>
      <c r="M81" s="6">
        <f t="shared" si="4"/>
        <v>0.7490990431216602</v>
      </c>
      <c r="N81" s="6">
        <f t="shared" si="5"/>
        <v>9.9415931403007331E-4</v>
      </c>
      <c r="O81" s="6">
        <f t="shared" si="6"/>
        <v>0.23586429725363489</v>
      </c>
      <c r="P81" t="str">
        <f t="shared" si="7"/>
        <v>Trump</v>
      </c>
      <c r="R81" s="6">
        <v>0.7490990431216602</v>
      </c>
      <c r="S81" s="6">
        <v>9.9415931403007331E-4</v>
      </c>
      <c r="T81" s="6">
        <v>0.23586429725363489</v>
      </c>
      <c r="U81" t="s">
        <v>145</v>
      </c>
    </row>
    <row r="82" spans="1:21" x14ac:dyDescent="0.2">
      <c r="A82" s="4" t="s">
        <v>120</v>
      </c>
      <c r="B82" s="5">
        <v>52</v>
      </c>
      <c r="C82" s="5">
        <v>4</v>
      </c>
      <c r="D82" s="5">
        <v>3</v>
      </c>
      <c r="E82" s="5">
        <v>6770</v>
      </c>
      <c r="F82" s="5">
        <v>28</v>
      </c>
      <c r="G82" s="5">
        <v>3402</v>
      </c>
      <c r="H82" s="5">
        <v>0</v>
      </c>
      <c r="I82" s="5">
        <v>93</v>
      </c>
      <c r="J82" s="5">
        <v>9</v>
      </c>
      <c r="K82" s="5">
        <v>26</v>
      </c>
      <c r="L82" s="5">
        <v>10387</v>
      </c>
      <c r="M82" s="6">
        <f t="shared" si="4"/>
        <v>0.65177625878501977</v>
      </c>
      <c r="N82" s="6">
        <f t="shared" si="5"/>
        <v>2.6956772889188407E-3</v>
      </c>
      <c r="O82" s="6">
        <f t="shared" si="6"/>
        <v>0.32752479060363915</v>
      </c>
      <c r="P82" t="str">
        <f t="shared" si="7"/>
        <v>Trump</v>
      </c>
      <c r="R82" s="6">
        <v>0.65177625878501977</v>
      </c>
      <c r="S82" s="6">
        <v>2.6956772889188407E-3</v>
      </c>
      <c r="T82" s="6">
        <v>0.32752479060363915</v>
      </c>
      <c r="U82" t="s">
        <v>145</v>
      </c>
    </row>
    <row r="83" spans="1:21" x14ac:dyDescent="0.2">
      <c r="A83" s="4" t="s">
        <v>121</v>
      </c>
      <c r="B83" s="5">
        <v>894</v>
      </c>
      <c r="C83" s="5">
        <v>78</v>
      </c>
      <c r="D83" s="5">
        <v>112</v>
      </c>
      <c r="E83" s="5">
        <v>75271</v>
      </c>
      <c r="F83" s="5">
        <v>753</v>
      </c>
      <c r="G83" s="5">
        <v>90324</v>
      </c>
      <c r="H83" s="5">
        <v>12</v>
      </c>
      <c r="I83" s="5">
        <v>1134</v>
      </c>
      <c r="J83" s="5">
        <v>165</v>
      </c>
      <c r="K83" s="5">
        <v>793</v>
      </c>
      <c r="L83" s="5">
        <v>169536</v>
      </c>
      <c r="M83" s="6">
        <f t="shared" si="4"/>
        <v>0.44398239901849756</v>
      </c>
      <c r="N83" s="6">
        <f t="shared" si="5"/>
        <v>4.4415345413363529E-3</v>
      </c>
      <c r="O83" s="6">
        <f t="shared" si="6"/>
        <v>0.53277180067950169</v>
      </c>
      <c r="P83" t="str">
        <f t="shared" si="7"/>
        <v>Harris</v>
      </c>
      <c r="R83" s="6">
        <v>0.44398239901849756</v>
      </c>
      <c r="S83" s="6">
        <v>4.4415345413363529E-3</v>
      </c>
      <c r="T83" s="6">
        <v>0.53277180067950169</v>
      </c>
      <c r="U83" t="s">
        <v>146</v>
      </c>
    </row>
    <row r="84" spans="1:21" x14ac:dyDescent="0.2">
      <c r="A84" s="4" t="s">
        <v>122</v>
      </c>
      <c r="B84" s="5">
        <v>21</v>
      </c>
      <c r="C84" s="5">
        <v>2</v>
      </c>
      <c r="D84" s="5">
        <v>0</v>
      </c>
      <c r="E84" s="5">
        <v>3087</v>
      </c>
      <c r="F84" s="5">
        <v>13</v>
      </c>
      <c r="G84" s="5">
        <v>1723</v>
      </c>
      <c r="H84" s="5">
        <v>0</v>
      </c>
      <c r="I84" s="5">
        <v>57</v>
      </c>
      <c r="J84" s="5">
        <v>7</v>
      </c>
      <c r="K84" s="5">
        <v>23</v>
      </c>
      <c r="L84" s="5">
        <v>4933</v>
      </c>
      <c r="M84" s="6">
        <f t="shared" si="4"/>
        <v>0.62578552604905735</v>
      </c>
      <c r="N84" s="6">
        <f t="shared" si="5"/>
        <v>2.6353131968376241E-3</v>
      </c>
      <c r="O84" s="6">
        <f t="shared" si="6"/>
        <v>0.34928035678086355</v>
      </c>
      <c r="P84" t="str">
        <f t="shared" si="7"/>
        <v>Trump</v>
      </c>
      <c r="R84" s="6">
        <v>0.62578552604905735</v>
      </c>
      <c r="S84" s="6">
        <v>2.6353131968376241E-3</v>
      </c>
      <c r="T84" s="6">
        <v>0.34928035678086355</v>
      </c>
      <c r="U84" t="s">
        <v>145</v>
      </c>
    </row>
    <row r="85" spans="1:21" x14ac:dyDescent="0.2">
      <c r="A85" s="4" t="s">
        <v>123</v>
      </c>
      <c r="B85" s="5">
        <v>15</v>
      </c>
      <c r="C85" s="5">
        <v>3</v>
      </c>
      <c r="D85" s="5">
        <v>1</v>
      </c>
      <c r="E85" s="5">
        <v>2290</v>
      </c>
      <c r="F85" s="5">
        <v>2</v>
      </c>
      <c r="G85" s="5">
        <v>986</v>
      </c>
      <c r="H85" s="5">
        <v>0</v>
      </c>
      <c r="I85" s="5">
        <v>38</v>
      </c>
      <c r="J85" s="5">
        <v>8</v>
      </c>
      <c r="K85" s="5">
        <v>10</v>
      </c>
      <c r="L85" s="5">
        <v>3353</v>
      </c>
      <c r="M85" s="6">
        <f t="shared" si="4"/>
        <v>0.68297047420220702</v>
      </c>
      <c r="N85" s="6">
        <f t="shared" si="5"/>
        <v>5.9648076349537731E-4</v>
      </c>
      <c r="O85" s="6">
        <f t="shared" si="6"/>
        <v>0.29406501640322097</v>
      </c>
      <c r="P85" t="str">
        <f t="shared" si="7"/>
        <v>Trump</v>
      </c>
      <c r="R85" s="6">
        <v>0.68297047420220702</v>
      </c>
      <c r="S85" s="6">
        <v>5.9648076349537731E-4</v>
      </c>
      <c r="T85" s="6">
        <v>0.29406501640322097</v>
      </c>
      <c r="U85" t="s">
        <v>145</v>
      </c>
    </row>
    <row r="86" spans="1:21" x14ac:dyDescent="0.2">
      <c r="A86" s="4" t="s">
        <v>124</v>
      </c>
      <c r="B86" s="5">
        <v>93</v>
      </c>
      <c r="C86" s="5">
        <v>26</v>
      </c>
      <c r="D86" s="5">
        <v>13</v>
      </c>
      <c r="E86" s="5">
        <v>14288</v>
      </c>
      <c r="F86" s="5">
        <v>95</v>
      </c>
      <c r="G86" s="5">
        <v>12929</v>
      </c>
      <c r="H86" s="5">
        <v>0</v>
      </c>
      <c r="I86" s="5">
        <v>246</v>
      </c>
      <c r="J86" s="5">
        <v>31</v>
      </c>
      <c r="K86" s="5">
        <v>76</v>
      </c>
      <c r="L86" s="5">
        <v>27797</v>
      </c>
      <c r="M86" s="6">
        <f t="shared" si="4"/>
        <v>0.5140123034859877</v>
      </c>
      <c r="N86" s="6">
        <f t="shared" si="5"/>
        <v>3.4176349965823649E-3</v>
      </c>
      <c r="O86" s="6">
        <f t="shared" si="6"/>
        <v>0.46512213548224629</v>
      </c>
      <c r="P86" t="str">
        <f t="shared" si="7"/>
        <v>Trump</v>
      </c>
      <c r="R86" s="6">
        <v>0.5140123034859877</v>
      </c>
      <c r="S86" s="6">
        <v>3.4176349965823649E-3</v>
      </c>
      <c r="T86" s="6">
        <v>0.46512213548224629</v>
      </c>
      <c r="U86" t="s">
        <v>145</v>
      </c>
    </row>
    <row r="87" spans="1:21" x14ac:dyDescent="0.2">
      <c r="A87" s="4" t="s">
        <v>125</v>
      </c>
      <c r="B87" s="5">
        <v>474</v>
      </c>
      <c r="C87" s="5">
        <v>27</v>
      </c>
      <c r="D87" s="5">
        <v>28</v>
      </c>
      <c r="E87" s="5">
        <v>57211</v>
      </c>
      <c r="F87" s="5">
        <v>224</v>
      </c>
      <c r="G87" s="5">
        <v>30883</v>
      </c>
      <c r="H87" s="5">
        <v>5</v>
      </c>
      <c r="I87" s="5">
        <v>768</v>
      </c>
      <c r="J87" s="5">
        <v>80</v>
      </c>
      <c r="K87" s="5">
        <v>341</v>
      </c>
      <c r="L87" s="5">
        <v>90041</v>
      </c>
      <c r="M87" s="6">
        <f t="shared" si="4"/>
        <v>0.63538832309725568</v>
      </c>
      <c r="N87" s="6">
        <f t="shared" si="5"/>
        <v>2.48775557801446E-3</v>
      </c>
      <c r="O87" s="6">
        <f t="shared" si="6"/>
        <v>0.34298819426705612</v>
      </c>
      <c r="P87" t="str">
        <f t="shared" si="7"/>
        <v>Trump</v>
      </c>
      <c r="R87" s="6">
        <v>0.63538832309725568</v>
      </c>
      <c r="S87" s="6">
        <v>2.48775557801446E-3</v>
      </c>
      <c r="T87" s="6">
        <v>0.34298819426705612</v>
      </c>
      <c r="U87" t="s">
        <v>145</v>
      </c>
    </row>
    <row r="88" spans="1:21" x14ac:dyDescent="0.2">
      <c r="A88" s="4" t="s">
        <v>126</v>
      </c>
      <c r="B88" s="5">
        <v>24</v>
      </c>
      <c r="C88" s="5">
        <v>0</v>
      </c>
      <c r="D88" s="5">
        <v>3</v>
      </c>
      <c r="E88" s="5">
        <v>3738</v>
      </c>
      <c r="F88" s="5">
        <v>9</v>
      </c>
      <c r="G88" s="5">
        <v>1548</v>
      </c>
      <c r="H88" s="5">
        <v>0</v>
      </c>
      <c r="I88" s="5">
        <v>63</v>
      </c>
      <c r="J88" s="5">
        <v>6</v>
      </c>
      <c r="K88" s="5">
        <v>19</v>
      </c>
      <c r="L88" s="5">
        <v>5410</v>
      </c>
      <c r="M88" s="6">
        <f t="shared" si="4"/>
        <v>0.69094269870609981</v>
      </c>
      <c r="N88" s="6">
        <f t="shared" si="5"/>
        <v>1.6635859519408503E-3</v>
      </c>
      <c r="O88" s="6">
        <f t="shared" si="6"/>
        <v>0.28613678373382623</v>
      </c>
      <c r="P88" t="str">
        <f t="shared" si="7"/>
        <v>Trump</v>
      </c>
      <c r="R88" s="6">
        <v>0.69094269870609981</v>
      </c>
      <c r="S88" s="6">
        <v>1.6635859519408503E-3</v>
      </c>
      <c r="T88" s="6">
        <v>0.28613678373382623</v>
      </c>
      <c r="U88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1"/>
  <sheetViews>
    <sheetView topLeftCell="E1" workbookViewId="0"/>
  </sheetViews>
  <sheetFormatPr baseColWidth="10" defaultColWidth="8.83203125" defaultRowHeight="15" x14ac:dyDescent="0.2"/>
  <cols>
    <col min="1" max="3" width="10.6640625" customWidth="1"/>
    <col min="4" max="5" width="27.1640625" customWidth="1"/>
    <col min="6" max="6" width="7.5" customWidth="1"/>
    <col min="7" max="7" width="29.1640625" bestFit="1" customWidth="1"/>
    <col min="8" max="8" width="10" customWidth="1"/>
    <col min="9" max="9" width="20.5" customWidth="1"/>
    <col min="10" max="10" width="39.5" bestFit="1" customWidth="1"/>
    <col min="11" max="11" width="18" customWidth="1"/>
    <col min="13" max="13" width="23.33203125" customWidth="1"/>
    <col min="14" max="14" width="8" customWidth="1"/>
    <col min="15" max="15" width="46.6640625" customWidth="1"/>
    <col min="16" max="16" width="24.5" customWidth="1"/>
  </cols>
  <sheetData>
    <row r="1" spans="1:15" ht="112" x14ac:dyDescent="0.2">
      <c r="A1" s="1" t="s">
        <v>23</v>
      </c>
      <c r="B1" s="1" t="s">
        <v>34</v>
      </c>
      <c r="C1" s="1" t="s">
        <v>35</v>
      </c>
      <c r="D1" s="1" t="s">
        <v>29</v>
      </c>
      <c r="E1" s="1" t="s">
        <v>37</v>
      </c>
      <c r="F1" s="1" t="s">
        <v>22</v>
      </c>
      <c r="G1" s="1" t="s">
        <v>25</v>
      </c>
      <c r="H1" s="1" t="s">
        <v>24</v>
      </c>
      <c r="I1" s="1" t="s">
        <v>26</v>
      </c>
      <c r="J1" s="1" t="s">
        <v>27</v>
      </c>
      <c r="K1" s="1" t="s">
        <v>28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">
      <c r="A2">
        <v>1</v>
      </c>
      <c r="B2" t="str">
        <f>VLOOKUP(Table1[[#This Row],[CountyID]],[1]!Table1[#All],2,FALSE)</f>
        <v>Aitkin</v>
      </c>
      <c r="C2">
        <f>VLOOKUP(Table1[[#This Row],[CountyID]],[1]!Table1[#All],3,FALSE)</f>
        <v>51</v>
      </c>
      <c r="D2">
        <v>51</v>
      </c>
      <c r="E2">
        <f>Table1[[#This Row],[Number of Counties]]-Table1[[#This Row],[Number of precincts Reporting]]</f>
        <v>0</v>
      </c>
      <c r="F2" t="s">
        <v>0</v>
      </c>
      <c r="G2" t="s">
        <v>1</v>
      </c>
      <c r="H2">
        <v>101</v>
      </c>
      <c r="I2">
        <v>101</v>
      </c>
      <c r="J2" t="s">
        <v>2</v>
      </c>
      <c r="K2" t="s">
        <v>3</v>
      </c>
      <c r="L2">
        <v>51</v>
      </c>
      <c r="M2">
        <v>6741</v>
      </c>
      <c r="N2">
        <v>64.53</v>
      </c>
      <c r="O2">
        <v>10446</v>
      </c>
    </row>
    <row r="3" spans="1:15" x14ac:dyDescent="0.2">
      <c r="A3">
        <v>1</v>
      </c>
      <c r="B3" t="str">
        <f>VLOOKUP(Table1[[#This Row],[CountyID]],[1]!Table1[#All],2,FALSE)</f>
        <v>Aitkin</v>
      </c>
      <c r="C3">
        <f>VLOOKUP(Table1[[#This Row],[CountyID]],[1]!Table1[#All],3,FALSE)</f>
        <v>51</v>
      </c>
      <c r="D3">
        <v>51</v>
      </c>
      <c r="E3">
        <f>Table1[[#This Row],[Number of Counties]]-Table1[[#This Row],[Number of precincts Reporting]]</f>
        <v>0</v>
      </c>
      <c r="F3" t="s">
        <v>0</v>
      </c>
      <c r="G3" t="s">
        <v>1</v>
      </c>
      <c r="H3">
        <v>101</v>
      </c>
      <c r="I3">
        <v>201</v>
      </c>
      <c r="J3" t="s">
        <v>4</v>
      </c>
      <c r="K3" t="s">
        <v>5</v>
      </c>
      <c r="L3">
        <v>51</v>
      </c>
      <c r="M3">
        <v>3524</v>
      </c>
      <c r="N3">
        <v>33.74</v>
      </c>
      <c r="O3">
        <v>10446</v>
      </c>
    </row>
    <row r="4" spans="1:15" x14ac:dyDescent="0.2">
      <c r="A4">
        <v>1</v>
      </c>
      <c r="B4" t="str">
        <f>VLOOKUP(Table1[[#This Row],[CountyID]],[1]!Table1[#All],2,FALSE)</f>
        <v>Aitkin</v>
      </c>
      <c r="C4">
        <f>VLOOKUP(Table1[[#This Row],[CountyID]],[1]!Table1[#All],3,FALSE)</f>
        <v>51</v>
      </c>
      <c r="D4">
        <v>51</v>
      </c>
      <c r="E4">
        <f>Table1[[#This Row],[Number of Counties]]-Table1[[#This Row],[Number of precincts Reporting]]</f>
        <v>0</v>
      </c>
      <c r="F4" t="s">
        <v>0</v>
      </c>
      <c r="G4" t="s">
        <v>1</v>
      </c>
      <c r="H4">
        <v>101</v>
      </c>
      <c r="I4">
        <v>301</v>
      </c>
      <c r="J4" t="s">
        <v>6</v>
      </c>
      <c r="K4" t="s">
        <v>7</v>
      </c>
      <c r="L4">
        <v>51</v>
      </c>
      <c r="M4">
        <v>31</v>
      </c>
      <c r="N4">
        <v>0.3</v>
      </c>
      <c r="O4">
        <v>10446</v>
      </c>
    </row>
    <row r="5" spans="1:15" x14ac:dyDescent="0.2">
      <c r="A5">
        <v>1</v>
      </c>
      <c r="B5" t="str">
        <f>VLOOKUP(Table1[[#This Row],[CountyID]],[1]!Table1[#All],2,FALSE)</f>
        <v>Aitkin</v>
      </c>
      <c r="C5">
        <f>VLOOKUP(Table1[[#This Row],[CountyID]],[1]!Table1[#All],3,FALSE)</f>
        <v>51</v>
      </c>
      <c r="D5">
        <v>51</v>
      </c>
      <c r="E5">
        <f>Table1[[#This Row],[Number of Counties]]-Table1[[#This Row],[Number of precincts Reporting]]</f>
        <v>0</v>
      </c>
      <c r="F5" t="s">
        <v>0</v>
      </c>
      <c r="G5" t="s">
        <v>1</v>
      </c>
      <c r="H5">
        <v>101</v>
      </c>
      <c r="I5">
        <v>401</v>
      </c>
      <c r="J5" t="s">
        <v>8</v>
      </c>
      <c r="K5" t="s">
        <v>9</v>
      </c>
      <c r="L5">
        <v>51</v>
      </c>
      <c r="M5">
        <v>82</v>
      </c>
      <c r="N5">
        <v>0.78</v>
      </c>
      <c r="O5">
        <v>10446</v>
      </c>
    </row>
    <row r="6" spans="1:15" x14ac:dyDescent="0.2">
      <c r="A6">
        <v>1</v>
      </c>
      <c r="B6" t="str">
        <f>VLOOKUP(Table1[[#This Row],[CountyID]],[1]!Table1[#All],2,FALSE)</f>
        <v>Aitkin</v>
      </c>
      <c r="C6">
        <f>VLOOKUP(Table1[[#This Row],[CountyID]],[1]!Table1[#All],3,FALSE)</f>
        <v>51</v>
      </c>
      <c r="D6">
        <v>51</v>
      </c>
      <c r="E6">
        <f>Table1[[#This Row],[Number of Counties]]-Table1[[#This Row],[Number of precincts Reporting]]</f>
        <v>0</v>
      </c>
      <c r="F6" t="s">
        <v>0</v>
      </c>
      <c r="G6" t="s">
        <v>1</v>
      </c>
      <c r="H6">
        <v>101</v>
      </c>
      <c r="I6">
        <v>501</v>
      </c>
      <c r="J6" t="s">
        <v>10</v>
      </c>
      <c r="K6" t="s">
        <v>11</v>
      </c>
      <c r="L6">
        <v>51</v>
      </c>
      <c r="M6">
        <v>25</v>
      </c>
      <c r="N6">
        <v>0.24</v>
      </c>
      <c r="O6">
        <v>10446</v>
      </c>
    </row>
    <row r="7" spans="1:15" x14ac:dyDescent="0.2">
      <c r="A7">
        <v>1</v>
      </c>
      <c r="B7" t="str">
        <f>VLOOKUP(Table1[[#This Row],[CountyID]],[1]!Table1[#All],2,FALSE)</f>
        <v>Aitkin</v>
      </c>
      <c r="C7">
        <f>VLOOKUP(Table1[[#This Row],[CountyID]],[1]!Table1[#All],3,FALSE)</f>
        <v>51</v>
      </c>
      <c r="D7">
        <v>51</v>
      </c>
      <c r="E7">
        <f>Table1[[#This Row],[Number of Counties]]-Table1[[#This Row],[Number of precincts Reporting]]</f>
        <v>0</v>
      </c>
      <c r="F7" t="s">
        <v>0</v>
      </c>
      <c r="G7" t="s">
        <v>1</v>
      </c>
      <c r="H7">
        <v>101</v>
      </c>
      <c r="I7">
        <v>601</v>
      </c>
      <c r="J7" t="s">
        <v>12</v>
      </c>
      <c r="K7" t="s">
        <v>13</v>
      </c>
      <c r="L7">
        <v>51</v>
      </c>
      <c r="M7">
        <v>0</v>
      </c>
      <c r="N7">
        <v>0</v>
      </c>
      <c r="O7">
        <v>10446</v>
      </c>
    </row>
    <row r="8" spans="1:15" x14ac:dyDescent="0.2">
      <c r="A8">
        <v>1</v>
      </c>
      <c r="B8" t="str">
        <f>VLOOKUP(Table1[[#This Row],[CountyID]],[1]!Table1[#All],2,FALSE)</f>
        <v>Aitkin</v>
      </c>
      <c r="C8">
        <f>VLOOKUP(Table1[[#This Row],[CountyID]],[1]!Table1[#All],3,FALSE)</f>
        <v>51</v>
      </c>
      <c r="D8">
        <v>51</v>
      </c>
      <c r="E8">
        <f>Table1[[#This Row],[Number of Counties]]-Table1[[#This Row],[Number of precincts Reporting]]</f>
        <v>0</v>
      </c>
      <c r="F8" t="s">
        <v>0</v>
      </c>
      <c r="G8" t="s">
        <v>1</v>
      </c>
      <c r="H8">
        <v>101</v>
      </c>
      <c r="I8">
        <v>701</v>
      </c>
      <c r="J8" t="s">
        <v>14</v>
      </c>
      <c r="K8" t="s">
        <v>15</v>
      </c>
      <c r="L8">
        <v>51</v>
      </c>
      <c r="M8">
        <v>0</v>
      </c>
      <c r="N8">
        <v>0</v>
      </c>
      <c r="O8">
        <v>10446</v>
      </c>
    </row>
    <row r="9" spans="1:15" x14ac:dyDescent="0.2">
      <c r="A9">
        <v>1</v>
      </c>
      <c r="B9" t="str">
        <f>VLOOKUP(Table1[[#This Row],[CountyID]],[1]!Table1[#All],2,FALSE)</f>
        <v>Aitkin</v>
      </c>
      <c r="C9">
        <f>VLOOKUP(Table1[[#This Row],[CountyID]],[1]!Table1[#All],3,FALSE)</f>
        <v>51</v>
      </c>
      <c r="D9">
        <v>51</v>
      </c>
      <c r="E9">
        <f>Table1[[#This Row],[Number of Counties]]-Table1[[#This Row],[Number of precincts Reporting]]</f>
        <v>0</v>
      </c>
      <c r="F9" t="s">
        <v>0</v>
      </c>
      <c r="G9" t="s">
        <v>1</v>
      </c>
      <c r="H9">
        <v>101</v>
      </c>
      <c r="I9">
        <v>801</v>
      </c>
      <c r="J9" t="s">
        <v>16</v>
      </c>
      <c r="K9" t="s">
        <v>17</v>
      </c>
      <c r="L9">
        <v>51</v>
      </c>
      <c r="M9">
        <v>1</v>
      </c>
      <c r="N9">
        <v>0.01</v>
      </c>
      <c r="O9">
        <v>10446</v>
      </c>
    </row>
    <row r="10" spans="1:15" x14ac:dyDescent="0.2">
      <c r="A10">
        <v>1</v>
      </c>
      <c r="B10" t="str">
        <f>VLOOKUP(Table1[[#This Row],[CountyID]],[1]!Table1[#All],2,FALSE)</f>
        <v>Aitkin</v>
      </c>
      <c r="C10">
        <f>VLOOKUP(Table1[[#This Row],[CountyID]],[1]!Table1[#All],3,FALSE)</f>
        <v>51</v>
      </c>
      <c r="D10">
        <v>51</v>
      </c>
      <c r="E10">
        <f>Table1[[#This Row],[Number of Counties]]-Table1[[#This Row],[Number of precincts Reporting]]</f>
        <v>0</v>
      </c>
      <c r="F10" t="s">
        <v>0</v>
      </c>
      <c r="G10" t="s">
        <v>1</v>
      </c>
      <c r="H10">
        <v>101</v>
      </c>
      <c r="I10">
        <v>901</v>
      </c>
      <c r="J10" t="s">
        <v>18</v>
      </c>
      <c r="K10" t="s">
        <v>19</v>
      </c>
      <c r="L10">
        <v>51</v>
      </c>
      <c r="M10">
        <v>15</v>
      </c>
      <c r="N10">
        <v>0.14000000000000001</v>
      </c>
      <c r="O10">
        <v>10446</v>
      </c>
    </row>
    <row r="11" spans="1:15" x14ac:dyDescent="0.2">
      <c r="A11">
        <v>1</v>
      </c>
      <c r="B11" t="str">
        <f>VLOOKUP(Table1[[#This Row],[CountyID]],[1]!Table1[#All],2,FALSE)</f>
        <v>Aitkin</v>
      </c>
      <c r="C11">
        <f>VLOOKUP(Table1[[#This Row],[CountyID]],[1]!Table1[#All],3,FALSE)</f>
        <v>51</v>
      </c>
      <c r="D11">
        <v>51</v>
      </c>
      <c r="E11">
        <f>Table1[[#This Row],[Number of Counties]]-Table1[[#This Row],[Number of precincts Reporting]]</f>
        <v>0</v>
      </c>
      <c r="F11" t="s">
        <v>0</v>
      </c>
      <c r="G11" t="s">
        <v>1</v>
      </c>
      <c r="H11">
        <v>101</v>
      </c>
      <c r="I11">
        <v>9901</v>
      </c>
      <c r="J11" t="s">
        <v>20</v>
      </c>
      <c r="K11" t="s">
        <v>21</v>
      </c>
      <c r="L11">
        <v>51</v>
      </c>
      <c r="M11">
        <v>27</v>
      </c>
      <c r="N11">
        <v>0.26</v>
      </c>
      <c r="O11">
        <v>10446</v>
      </c>
    </row>
    <row r="12" spans="1:15" x14ac:dyDescent="0.2">
      <c r="A12">
        <v>2</v>
      </c>
      <c r="B12" t="str">
        <f>VLOOKUP(Table1[[#This Row],[CountyID]],[1]!Table1[#All],2,FALSE)</f>
        <v>Anoka</v>
      </c>
      <c r="C12">
        <f>VLOOKUP(Table1[[#This Row],[CountyID]],[1]!Table1[#All],3,FALSE)</f>
        <v>128</v>
      </c>
      <c r="D12">
        <v>128</v>
      </c>
      <c r="E12">
        <f>Table1[[#This Row],[Number of Counties]]-Table1[[#This Row],[Number of precincts Reporting]]</f>
        <v>0</v>
      </c>
      <c r="F12" t="s">
        <v>0</v>
      </c>
      <c r="G12" t="s">
        <v>1</v>
      </c>
      <c r="H12">
        <v>101</v>
      </c>
      <c r="I12">
        <v>101</v>
      </c>
      <c r="J12" t="s">
        <v>2</v>
      </c>
      <c r="K12" t="s">
        <v>3</v>
      </c>
      <c r="L12">
        <v>128</v>
      </c>
      <c r="M12">
        <v>106974</v>
      </c>
      <c r="N12">
        <v>50.82</v>
      </c>
      <c r="O12">
        <v>210481</v>
      </c>
    </row>
    <row r="13" spans="1:15" x14ac:dyDescent="0.2">
      <c r="A13">
        <v>2</v>
      </c>
      <c r="B13" t="str">
        <f>VLOOKUP(Table1[[#This Row],[CountyID]],[1]!Table1[#All],2,FALSE)</f>
        <v>Anoka</v>
      </c>
      <c r="C13">
        <f>VLOOKUP(Table1[[#This Row],[CountyID]],[1]!Table1[#All],3,FALSE)</f>
        <v>128</v>
      </c>
      <c r="D13">
        <v>128</v>
      </c>
      <c r="E13">
        <f>Table1[[#This Row],[Number of Counties]]-Table1[[#This Row],[Number of precincts Reporting]]</f>
        <v>0</v>
      </c>
      <c r="F13" t="s">
        <v>0</v>
      </c>
      <c r="G13" t="s">
        <v>1</v>
      </c>
      <c r="H13">
        <v>101</v>
      </c>
      <c r="I13">
        <v>201</v>
      </c>
      <c r="J13" t="s">
        <v>4</v>
      </c>
      <c r="K13" t="s">
        <v>5</v>
      </c>
      <c r="L13">
        <v>128</v>
      </c>
      <c r="M13">
        <v>97667</v>
      </c>
      <c r="N13">
        <v>46.4</v>
      </c>
      <c r="O13">
        <v>210481</v>
      </c>
    </row>
    <row r="14" spans="1:15" x14ac:dyDescent="0.2">
      <c r="A14">
        <v>2</v>
      </c>
      <c r="B14" t="str">
        <f>VLOOKUP(Table1[[#This Row],[CountyID]],[1]!Table1[#All],2,FALSE)</f>
        <v>Anoka</v>
      </c>
      <c r="C14">
        <f>VLOOKUP(Table1[[#This Row],[CountyID]],[1]!Table1[#All],3,FALSE)</f>
        <v>128</v>
      </c>
      <c r="D14">
        <v>128</v>
      </c>
      <c r="E14">
        <f>Table1[[#This Row],[Number of Counties]]-Table1[[#This Row],[Number of precincts Reporting]]</f>
        <v>0</v>
      </c>
      <c r="F14" t="s">
        <v>0</v>
      </c>
      <c r="G14" t="s">
        <v>1</v>
      </c>
      <c r="H14">
        <v>101</v>
      </c>
      <c r="I14">
        <v>301</v>
      </c>
      <c r="J14" t="s">
        <v>6</v>
      </c>
      <c r="K14" t="s">
        <v>7</v>
      </c>
      <c r="L14">
        <v>128</v>
      </c>
      <c r="M14">
        <v>1137</v>
      </c>
      <c r="N14">
        <v>0.54</v>
      </c>
      <c r="O14">
        <v>210481</v>
      </c>
    </row>
    <row r="15" spans="1:15" x14ac:dyDescent="0.2">
      <c r="A15">
        <v>2</v>
      </c>
      <c r="B15" t="str">
        <f>VLOOKUP(Table1[[#This Row],[CountyID]],[1]!Table1[#All],2,FALSE)</f>
        <v>Anoka</v>
      </c>
      <c r="C15">
        <f>VLOOKUP(Table1[[#This Row],[CountyID]],[1]!Table1[#All],3,FALSE)</f>
        <v>128</v>
      </c>
      <c r="D15">
        <v>128</v>
      </c>
      <c r="E15">
        <f>Table1[[#This Row],[Number of Counties]]-Table1[[#This Row],[Number of precincts Reporting]]</f>
        <v>0</v>
      </c>
      <c r="F15" t="s">
        <v>0</v>
      </c>
      <c r="G15" t="s">
        <v>1</v>
      </c>
      <c r="H15">
        <v>101</v>
      </c>
      <c r="I15">
        <v>401</v>
      </c>
      <c r="J15" t="s">
        <v>8</v>
      </c>
      <c r="K15" t="s">
        <v>9</v>
      </c>
      <c r="L15">
        <v>128</v>
      </c>
      <c r="M15">
        <v>1591</v>
      </c>
      <c r="N15">
        <v>0.76</v>
      </c>
      <c r="O15">
        <v>210481</v>
      </c>
    </row>
    <row r="16" spans="1:15" x14ac:dyDescent="0.2">
      <c r="A16">
        <v>2</v>
      </c>
      <c r="B16" t="str">
        <f>VLOOKUP(Table1[[#This Row],[CountyID]],[1]!Table1[#All],2,FALSE)</f>
        <v>Anoka</v>
      </c>
      <c r="C16">
        <f>VLOOKUP(Table1[[#This Row],[CountyID]],[1]!Table1[#All],3,FALSE)</f>
        <v>128</v>
      </c>
      <c r="D16">
        <v>128</v>
      </c>
      <c r="E16">
        <f>Table1[[#This Row],[Number of Counties]]-Table1[[#This Row],[Number of precincts Reporting]]</f>
        <v>0</v>
      </c>
      <c r="F16" t="s">
        <v>0</v>
      </c>
      <c r="G16" t="s">
        <v>1</v>
      </c>
      <c r="H16">
        <v>101</v>
      </c>
      <c r="I16">
        <v>501</v>
      </c>
      <c r="J16" t="s">
        <v>10</v>
      </c>
      <c r="K16" t="s">
        <v>11</v>
      </c>
      <c r="L16">
        <v>128</v>
      </c>
      <c r="M16">
        <v>1725</v>
      </c>
      <c r="N16">
        <v>0.82</v>
      </c>
      <c r="O16">
        <v>210481</v>
      </c>
    </row>
    <row r="17" spans="1:15" x14ac:dyDescent="0.2">
      <c r="A17">
        <v>2</v>
      </c>
      <c r="B17" t="str">
        <f>VLOOKUP(Table1[[#This Row],[CountyID]],[1]!Table1[#All],2,FALSE)</f>
        <v>Anoka</v>
      </c>
      <c r="C17">
        <f>VLOOKUP(Table1[[#This Row],[CountyID]],[1]!Table1[#All],3,FALSE)</f>
        <v>128</v>
      </c>
      <c r="D17">
        <v>128</v>
      </c>
      <c r="E17">
        <f>Table1[[#This Row],[Number of Counties]]-Table1[[#This Row],[Number of precincts Reporting]]</f>
        <v>0</v>
      </c>
      <c r="F17" t="s">
        <v>0</v>
      </c>
      <c r="G17" t="s">
        <v>1</v>
      </c>
      <c r="H17">
        <v>101</v>
      </c>
      <c r="I17">
        <v>601</v>
      </c>
      <c r="J17" t="s">
        <v>12</v>
      </c>
      <c r="K17" t="s">
        <v>13</v>
      </c>
      <c r="L17">
        <v>128</v>
      </c>
      <c r="M17">
        <v>145</v>
      </c>
      <c r="N17">
        <v>7.0000000000000007E-2</v>
      </c>
      <c r="O17">
        <v>210481</v>
      </c>
    </row>
    <row r="18" spans="1:15" x14ac:dyDescent="0.2">
      <c r="A18">
        <v>2</v>
      </c>
      <c r="B18" t="str">
        <f>VLOOKUP(Table1[[#This Row],[CountyID]],[1]!Table1[#All],2,FALSE)</f>
        <v>Anoka</v>
      </c>
      <c r="C18">
        <f>VLOOKUP(Table1[[#This Row],[CountyID]],[1]!Table1[#All],3,FALSE)</f>
        <v>128</v>
      </c>
      <c r="D18">
        <v>128</v>
      </c>
      <c r="E18">
        <f>Table1[[#This Row],[Number of Counties]]-Table1[[#This Row],[Number of precincts Reporting]]</f>
        <v>0</v>
      </c>
      <c r="F18" t="s">
        <v>0</v>
      </c>
      <c r="G18" t="s">
        <v>1</v>
      </c>
      <c r="H18">
        <v>101</v>
      </c>
      <c r="I18">
        <v>701</v>
      </c>
      <c r="J18" t="s">
        <v>14</v>
      </c>
      <c r="K18" t="s">
        <v>15</v>
      </c>
      <c r="L18">
        <v>128</v>
      </c>
      <c r="M18">
        <v>22</v>
      </c>
      <c r="N18">
        <v>0.01</v>
      </c>
      <c r="O18">
        <v>210481</v>
      </c>
    </row>
    <row r="19" spans="1:15" x14ac:dyDescent="0.2">
      <c r="A19">
        <v>2</v>
      </c>
      <c r="B19" t="str">
        <f>VLOOKUP(Table1[[#This Row],[CountyID]],[1]!Table1[#All],2,FALSE)</f>
        <v>Anoka</v>
      </c>
      <c r="C19">
        <f>VLOOKUP(Table1[[#This Row],[CountyID]],[1]!Table1[#All],3,FALSE)</f>
        <v>128</v>
      </c>
      <c r="D19">
        <v>128</v>
      </c>
      <c r="E19">
        <f>Table1[[#This Row],[Number of Counties]]-Table1[[#This Row],[Number of precincts Reporting]]</f>
        <v>0</v>
      </c>
      <c r="F19" t="s">
        <v>0</v>
      </c>
      <c r="G19" t="s">
        <v>1</v>
      </c>
      <c r="H19">
        <v>101</v>
      </c>
      <c r="I19">
        <v>801</v>
      </c>
      <c r="J19" t="s">
        <v>16</v>
      </c>
      <c r="K19" t="s">
        <v>17</v>
      </c>
      <c r="L19">
        <v>128</v>
      </c>
      <c r="M19">
        <v>191</v>
      </c>
      <c r="N19">
        <v>0.09</v>
      </c>
      <c r="O19">
        <v>210481</v>
      </c>
    </row>
    <row r="20" spans="1:15" x14ac:dyDescent="0.2">
      <c r="A20">
        <v>2</v>
      </c>
      <c r="B20" t="str">
        <f>VLOOKUP(Table1[[#This Row],[CountyID]],[1]!Table1[#All],2,FALSE)</f>
        <v>Anoka</v>
      </c>
      <c r="C20">
        <f>VLOOKUP(Table1[[#This Row],[CountyID]],[1]!Table1[#All],3,FALSE)</f>
        <v>128</v>
      </c>
      <c r="D20">
        <v>128</v>
      </c>
      <c r="E20">
        <f>Table1[[#This Row],[Number of Counties]]-Table1[[#This Row],[Number of precincts Reporting]]</f>
        <v>0</v>
      </c>
      <c r="F20" t="s">
        <v>0</v>
      </c>
      <c r="G20" t="s">
        <v>1</v>
      </c>
      <c r="H20">
        <v>101</v>
      </c>
      <c r="I20">
        <v>901</v>
      </c>
      <c r="J20" t="s">
        <v>18</v>
      </c>
      <c r="K20" t="s">
        <v>19</v>
      </c>
      <c r="L20">
        <v>128</v>
      </c>
      <c r="M20">
        <v>204</v>
      </c>
      <c r="N20">
        <v>0.1</v>
      </c>
      <c r="O20">
        <v>210481</v>
      </c>
    </row>
    <row r="21" spans="1:15" x14ac:dyDescent="0.2">
      <c r="A21">
        <v>2</v>
      </c>
      <c r="B21" t="str">
        <f>VLOOKUP(Table1[[#This Row],[CountyID]],[1]!Table1[#All],2,FALSE)</f>
        <v>Anoka</v>
      </c>
      <c r="C21">
        <f>VLOOKUP(Table1[[#This Row],[CountyID]],[1]!Table1[#All],3,FALSE)</f>
        <v>128</v>
      </c>
      <c r="D21">
        <v>128</v>
      </c>
      <c r="E21">
        <f>Table1[[#This Row],[Number of Counties]]-Table1[[#This Row],[Number of precincts Reporting]]</f>
        <v>0</v>
      </c>
      <c r="F21" t="s">
        <v>0</v>
      </c>
      <c r="G21" t="s">
        <v>1</v>
      </c>
      <c r="H21">
        <v>101</v>
      </c>
      <c r="I21">
        <v>9901</v>
      </c>
      <c r="J21" t="s">
        <v>20</v>
      </c>
      <c r="K21" t="s">
        <v>21</v>
      </c>
      <c r="L21">
        <v>128</v>
      </c>
      <c r="M21">
        <v>825</v>
      </c>
      <c r="N21">
        <v>0.39</v>
      </c>
      <c r="O21">
        <v>210481</v>
      </c>
    </row>
    <row r="22" spans="1:15" x14ac:dyDescent="0.2">
      <c r="A22">
        <v>3</v>
      </c>
      <c r="B22" t="str">
        <f>VLOOKUP(Table1[[#This Row],[CountyID]],[1]!Table1[#All],2,FALSE)</f>
        <v>Becker</v>
      </c>
      <c r="C22">
        <f>VLOOKUP(Table1[[#This Row],[CountyID]],[1]!Table1[#All],3,FALSE)</f>
        <v>47</v>
      </c>
      <c r="D22">
        <v>47</v>
      </c>
      <c r="E22">
        <f>Table1[[#This Row],[Number of Counties]]-Table1[[#This Row],[Number of precincts Reporting]]</f>
        <v>0</v>
      </c>
      <c r="F22" t="s">
        <v>0</v>
      </c>
      <c r="G22" t="s">
        <v>1</v>
      </c>
      <c r="H22">
        <v>101</v>
      </c>
      <c r="I22">
        <v>101</v>
      </c>
      <c r="J22" t="s">
        <v>2</v>
      </c>
      <c r="K22" t="s">
        <v>3</v>
      </c>
      <c r="L22">
        <v>47</v>
      </c>
      <c r="M22">
        <v>12961</v>
      </c>
      <c r="N22">
        <v>65.66</v>
      </c>
      <c r="O22">
        <v>19739</v>
      </c>
    </row>
    <row r="23" spans="1:15" x14ac:dyDescent="0.2">
      <c r="A23">
        <v>3</v>
      </c>
      <c r="B23" t="str">
        <f>VLOOKUP(Table1[[#This Row],[CountyID]],[1]!Table1[#All],2,FALSE)</f>
        <v>Becker</v>
      </c>
      <c r="C23">
        <f>VLOOKUP(Table1[[#This Row],[CountyID]],[1]!Table1[#All],3,FALSE)</f>
        <v>47</v>
      </c>
      <c r="D23">
        <v>47</v>
      </c>
      <c r="E23">
        <f>Table1[[#This Row],[Number of Counties]]-Table1[[#This Row],[Number of precincts Reporting]]</f>
        <v>0</v>
      </c>
      <c r="F23" t="s">
        <v>0</v>
      </c>
      <c r="G23" t="s">
        <v>1</v>
      </c>
      <c r="H23">
        <v>101</v>
      </c>
      <c r="I23">
        <v>201</v>
      </c>
      <c r="J23" t="s">
        <v>4</v>
      </c>
      <c r="K23" t="s">
        <v>5</v>
      </c>
      <c r="L23">
        <v>47</v>
      </c>
      <c r="M23">
        <v>6435</v>
      </c>
      <c r="N23">
        <v>32.6</v>
      </c>
      <c r="O23">
        <v>19739</v>
      </c>
    </row>
    <row r="24" spans="1:15" x14ac:dyDescent="0.2">
      <c r="A24">
        <v>3</v>
      </c>
      <c r="B24" t="str">
        <f>VLOOKUP(Table1[[#This Row],[CountyID]],[1]!Table1[#All],2,FALSE)</f>
        <v>Becker</v>
      </c>
      <c r="C24">
        <f>VLOOKUP(Table1[[#This Row],[CountyID]],[1]!Table1[#All],3,FALSE)</f>
        <v>47</v>
      </c>
      <c r="D24">
        <v>47</v>
      </c>
      <c r="E24">
        <f>Table1[[#This Row],[Number of Counties]]-Table1[[#This Row],[Number of precincts Reporting]]</f>
        <v>0</v>
      </c>
      <c r="F24" t="s">
        <v>0</v>
      </c>
      <c r="G24" t="s">
        <v>1</v>
      </c>
      <c r="H24">
        <v>101</v>
      </c>
      <c r="I24">
        <v>301</v>
      </c>
      <c r="J24" t="s">
        <v>6</v>
      </c>
      <c r="K24" t="s">
        <v>7</v>
      </c>
      <c r="L24">
        <v>47</v>
      </c>
      <c r="M24">
        <v>58</v>
      </c>
      <c r="N24">
        <v>0.28999999999999998</v>
      </c>
      <c r="O24">
        <v>19739</v>
      </c>
    </row>
    <row r="25" spans="1:15" x14ac:dyDescent="0.2">
      <c r="A25">
        <v>3</v>
      </c>
      <c r="B25" t="str">
        <f>VLOOKUP(Table1[[#This Row],[CountyID]],[1]!Table1[#All],2,FALSE)</f>
        <v>Becker</v>
      </c>
      <c r="C25">
        <f>VLOOKUP(Table1[[#This Row],[CountyID]],[1]!Table1[#All],3,FALSE)</f>
        <v>47</v>
      </c>
      <c r="D25">
        <v>47</v>
      </c>
      <c r="E25">
        <f>Table1[[#This Row],[Number of Counties]]-Table1[[#This Row],[Number of precincts Reporting]]</f>
        <v>0</v>
      </c>
      <c r="F25" t="s">
        <v>0</v>
      </c>
      <c r="G25" t="s">
        <v>1</v>
      </c>
      <c r="H25">
        <v>101</v>
      </c>
      <c r="I25">
        <v>401</v>
      </c>
      <c r="J25" t="s">
        <v>8</v>
      </c>
      <c r="K25" t="s">
        <v>9</v>
      </c>
      <c r="L25">
        <v>47</v>
      </c>
      <c r="M25">
        <v>182</v>
      </c>
      <c r="N25">
        <v>0.92</v>
      </c>
      <c r="O25">
        <v>19739</v>
      </c>
    </row>
    <row r="26" spans="1:15" x14ac:dyDescent="0.2">
      <c r="A26">
        <v>3</v>
      </c>
      <c r="B26" t="str">
        <f>VLOOKUP(Table1[[#This Row],[CountyID]],[1]!Table1[#All],2,FALSE)</f>
        <v>Becker</v>
      </c>
      <c r="C26">
        <f>VLOOKUP(Table1[[#This Row],[CountyID]],[1]!Table1[#All],3,FALSE)</f>
        <v>47</v>
      </c>
      <c r="D26">
        <v>47</v>
      </c>
      <c r="E26">
        <f>Table1[[#This Row],[Number of Counties]]-Table1[[#This Row],[Number of precincts Reporting]]</f>
        <v>0</v>
      </c>
      <c r="F26" t="s">
        <v>0</v>
      </c>
      <c r="G26" t="s">
        <v>1</v>
      </c>
      <c r="H26">
        <v>101</v>
      </c>
      <c r="I26">
        <v>501</v>
      </c>
      <c r="J26" t="s">
        <v>10</v>
      </c>
      <c r="K26" t="s">
        <v>11</v>
      </c>
      <c r="L26">
        <v>47</v>
      </c>
      <c r="M26">
        <v>31</v>
      </c>
      <c r="N26">
        <v>0.16</v>
      </c>
      <c r="O26">
        <v>19739</v>
      </c>
    </row>
    <row r="27" spans="1:15" x14ac:dyDescent="0.2">
      <c r="A27">
        <v>3</v>
      </c>
      <c r="B27" t="str">
        <f>VLOOKUP(Table1[[#This Row],[CountyID]],[1]!Table1[#All],2,FALSE)</f>
        <v>Becker</v>
      </c>
      <c r="C27">
        <f>VLOOKUP(Table1[[#This Row],[CountyID]],[1]!Table1[#All],3,FALSE)</f>
        <v>47</v>
      </c>
      <c r="D27">
        <v>47</v>
      </c>
      <c r="E27">
        <f>Table1[[#This Row],[Number of Counties]]-Table1[[#This Row],[Number of precincts Reporting]]</f>
        <v>0</v>
      </c>
      <c r="F27" t="s">
        <v>0</v>
      </c>
      <c r="G27" t="s">
        <v>1</v>
      </c>
      <c r="H27">
        <v>101</v>
      </c>
      <c r="I27">
        <v>601</v>
      </c>
      <c r="J27" t="s">
        <v>12</v>
      </c>
      <c r="K27" t="s">
        <v>13</v>
      </c>
      <c r="L27">
        <v>47</v>
      </c>
      <c r="M27">
        <v>1</v>
      </c>
      <c r="N27">
        <v>0.01</v>
      </c>
      <c r="O27">
        <v>19739</v>
      </c>
    </row>
    <row r="28" spans="1:15" x14ac:dyDescent="0.2">
      <c r="A28">
        <v>3</v>
      </c>
      <c r="B28" t="str">
        <f>VLOOKUP(Table1[[#This Row],[CountyID]],[1]!Table1[#All],2,FALSE)</f>
        <v>Becker</v>
      </c>
      <c r="C28">
        <f>VLOOKUP(Table1[[#This Row],[CountyID]],[1]!Table1[#All],3,FALSE)</f>
        <v>47</v>
      </c>
      <c r="D28">
        <v>47</v>
      </c>
      <c r="E28">
        <f>Table1[[#This Row],[Number of Counties]]-Table1[[#This Row],[Number of precincts Reporting]]</f>
        <v>0</v>
      </c>
      <c r="F28" t="s">
        <v>0</v>
      </c>
      <c r="G28" t="s">
        <v>1</v>
      </c>
      <c r="H28">
        <v>101</v>
      </c>
      <c r="I28">
        <v>701</v>
      </c>
      <c r="J28" t="s">
        <v>14</v>
      </c>
      <c r="K28" t="s">
        <v>15</v>
      </c>
      <c r="L28">
        <v>47</v>
      </c>
      <c r="M28">
        <v>2</v>
      </c>
      <c r="N28">
        <v>0.01</v>
      </c>
      <c r="O28">
        <v>19739</v>
      </c>
    </row>
    <row r="29" spans="1:15" x14ac:dyDescent="0.2">
      <c r="A29">
        <v>3</v>
      </c>
      <c r="B29" t="str">
        <f>VLOOKUP(Table1[[#This Row],[CountyID]],[1]!Table1[#All],2,FALSE)</f>
        <v>Becker</v>
      </c>
      <c r="C29">
        <f>VLOOKUP(Table1[[#This Row],[CountyID]],[1]!Table1[#All],3,FALSE)</f>
        <v>47</v>
      </c>
      <c r="D29">
        <v>47</v>
      </c>
      <c r="E29">
        <f>Table1[[#This Row],[Number of Counties]]-Table1[[#This Row],[Number of precincts Reporting]]</f>
        <v>0</v>
      </c>
      <c r="F29" t="s">
        <v>0</v>
      </c>
      <c r="G29" t="s">
        <v>1</v>
      </c>
      <c r="H29">
        <v>101</v>
      </c>
      <c r="I29">
        <v>801</v>
      </c>
      <c r="J29" t="s">
        <v>16</v>
      </c>
      <c r="K29" t="s">
        <v>17</v>
      </c>
      <c r="L29">
        <v>47</v>
      </c>
      <c r="M29">
        <v>8</v>
      </c>
      <c r="N29">
        <v>0.04</v>
      </c>
      <c r="O29">
        <v>19739</v>
      </c>
    </row>
    <row r="30" spans="1:15" x14ac:dyDescent="0.2">
      <c r="A30">
        <v>3</v>
      </c>
      <c r="B30" t="str">
        <f>VLOOKUP(Table1[[#This Row],[CountyID]],[1]!Table1[#All],2,FALSE)</f>
        <v>Becker</v>
      </c>
      <c r="C30">
        <f>VLOOKUP(Table1[[#This Row],[CountyID]],[1]!Table1[#All],3,FALSE)</f>
        <v>47</v>
      </c>
      <c r="D30">
        <v>47</v>
      </c>
      <c r="E30">
        <f>Table1[[#This Row],[Number of Counties]]-Table1[[#This Row],[Number of precincts Reporting]]</f>
        <v>0</v>
      </c>
      <c r="F30" t="s">
        <v>0</v>
      </c>
      <c r="G30" t="s">
        <v>1</v>
      </c>
      <c r="H30">
        <v>101</v>
      </c>
      <c r="I30">
        <v>901</v>
      </c>
      <c r="J30" t="s">
        <v>18</v>
      </c>
      <c r="K30" t="s">
        <v>19</v>
      </c>
      <c r="L30">
        <v>47</v>
      </c>
      <c r="M30">
        <v>18</v>
      </c>
      <c r="N30">
        <v>0.09</v>
      </c>
      <c r="O30">
        <v>19739</v>
      </c>
    </row>
    <row r="31" spans="1:15" x14ac:dyDescent="0.2">
      <c r="A31">
        <v>3</v>
      </c>
      <c r="B31" t="str">
        <f>VLOOKUP(Table1[[#This Row],[CountyID]],[1]!Table1[#All],2,FALSE)</f>
        <v>Becker</v>
      </c>
      <c r="C31">
        <f>VLOOKUP(Table1[[#This Row],[CountyID]],[1]!Table1[#All],3,FALSE)</f>
        <v>47</v>
      </c>
      <c r="D31">
        <v>47</v>
      </c>
      <c r="E31">
        <f>Table1[[#This Row],[Number of Counties]]-Table1[[#This Row],[Number of precincts Reporting]]</f>
        <v>0</v>
      </c>
      <c r="F31" t="s">
        <v>0</v>
      </c>
      <c r="G31" t="s">
        <v>1</v>
      </c>
      <c r="H31">
        <v>101</v>
      </c>
      <c r="I31">
        <v>9901</v>
      </c>
      <c r="J31" t="s">
        <v>20</v>
      </c>
      <c r="K31" t="s">
        <v>21</v>
      </c>
      <c r="L31">
        <v>47</v>
      </c>
      <c r="M31">
        <v>43</v>
      </c>
      <c r="N31">
        <v>0.22</v>
      </c>
      <c r="O31">
        <v>19739</v>
      </c>
    </row>
    <row r="32" spans="1:15" x14ac:dyDescent="0.2">
      <c r="A32">
        <v>4</v>
      </c>
      <c r="B32" t="str">
        <f>VLOOKUP(Table1[[#This Row],[CountyID]],[1]!Table1[#All],2,FALSE)</f>
        <v>Beltrami</v>
      </c>
      <c r="C32">
        <f>VLOOKUP(Table1[[#This Row],[CountyID]],[1]!Table1[#All],3,FALSE)</f>
        <v>61</v>
      </c>
      <c r="D32">
        <v>61</v>
      </c>
      <c r="E32">
        <f>Table1[[#This Row],[Number of Counties]]-Table1[[#This Row],[Number of precincts Reporting]]</f>
        <v>0</v>
      </c>
      <c r="F32" t="s">
        <v>0</v>
      </c>
      <c r="G32" t="s">
        <v>1</v>
      </c>
      <c r="H32">
        <v>101</v>
      </c>
      <c r="I32">
        <v>101</v>
      </c>
      <c r="J32" t="s">
        <v>2</v>
      </c>
      <c r="K32" t="s">
        <v>3</v>
      </c>
      <c r="L32">
        <v>61</v>
      </c>
      <c r="M32">
        <v>12898</v>
      </c>
      <c r="N32">
        <v>51.85</v>
      </c>
      <c r="O32">
        <v>24874</v>
      </c>
    </row>
    <row r="33" spans="1:15" x14ac:dyDescent="0.2">
      <c r="A33">
        <v>4</v>
      </c>
      <c r="B33" t="str">
        <f>VLOOKUP(Table1[[#This Row],[CountyID]],[1]!Table1[#All],2,FALSE)</f>
        <v>Beltrami</v>
      </c>
      <c r="C33">
        <f>VLOOKUP(Table1[[#This Row],[CountyID]],[1]!Table1[#All],3,FALSE)</f>
        <v>61</v>
      </c>
      <c r="D33">
        <v>61</v>
      </c>
      <c r="E33">
        <f>Table1[[#This Row],[Number of Counties]]-Table1[[#This Row],[Number of precincts Reporting]]</f>
        <v>0</v>
      </c>
      <c r="F33" t="s">
        <v>0</v>
      </c>
      <c r="G33" t="s">
        <v>1</v>
      </c>
      <c r="H33">
        <v>101</v>
      </c>
      <c r="I33">
        <v>201</v>
      </c>
      <c r="J33" t="s">
        <v>4</v>
      </c>
      <c r="K33" t="s">
        <v>5</v>
      </c>
      <c r="L33">
        <v>61</v>
      </c>
      <c r="M33">
        <v>11493</v>
      </c>
      <c r="N33">
        <v>46.2</v>
      </c>
      <c r="O33">
        <v>24874</v>
      </c>
    </row>
    <row r="34" spans="1:15" x14ac:dyDescent="0.2">
      <c r="A34">
        <v>4</v>
      </c>
      <c r="B34" t="str">
        <f>VLOOKUP(Table1[[#This Row],[CountyID]],[1]!Table1[#All],2,FALSE)</f>
        <v>Beltrami</v>
      </c>
      <c r="C34">
        <f>VLOOKUP(Table1[[#This Row],[CountyID]],[1]!Table1[#All],3,FALSE)</f>
        <v>61</v>
      </c>
      <c r="D34">
        <v>61</v>
      </c>
      <c r="E34">
        <f>Table1[[#This Row],[Number of Counties]]-Table1[[#This Row],[Number of precincts Reporting]]</f>
        <v>0</v>
      </c>
      <c r="F34" t="s">
        <v>0</v>
      </c>
      <c r="G34" t="s">
        <v>1</v>
      </c>
      <c r="H34">
        <v>101</v>
      </c>
      <c r="I34">
        <v>301</v>
      </c>
      <c r="J34" t="s">
        <v>6</v>
      </c>
      <c r="K34" t="s">
        <v>7</v>
      </c>
      <c r="L34">
        <v>61</v>
      </c>
      <c r="M34">
        <v>97</v>
      </c>
      <c r="N34">
        <v>0.39</v>
      </c>
      <c r="O34">
        <v>24874</v>
      </c>
    </row>
    <row r="35" spans="1:15" x14ac:dyDescent="0.2">
      <c r="A35">
        <v>4</v>
      </c>
      <c r="B35" t="str">
        <f>VLOOKUP(Table1[[#This Row],[CountyID]],[1]!Table1[#All],2,FALSE)</f>
        <v>Beltrami</v>
      </c>
      <c r="C35">
        <f>VLOOKUP(Table1[[#This Row],[CountyID]],[1]!Table1[#All],3,FALSE)</f>
        <v>61</v>
      </c>
      <c r="D35">
        <v>61</v>
      </c>
      <c r="E35">
        <f>Table1[[#This Row],[Number of Counties]]-Table1[[#This Row],[Number of precincts Reporting]]</f>
        <v>0</v>
      </c>
      <c r="F35" t="s">
        <v>0</v>
      </c>
      <c r="G35" t="s">
        <v>1</v>
      </c>
      <c r="H35">
        <v>101</v>
      </c>
      <c r="I35">
        <v>401</v>
      </c>
      <c r="J35" t="s">
        <v>8</v>
      </c>
      <c r="K35" t="s">
        <v>9</v>
      </c>
      <c r="L35">
        <v>61</v>
      </c>
      <c r="M35">
        <v>192</v>
      </c>
      <c r="N35">
        <v>0.77</v>
      </c>
      <c r="O35">
        <v>24874</v>
      </c>
    </row>
    <row r="36" spans="1:15" x14ac:dyDescent="0.2">
      <c r="A36">
        <v>4</v>
      </c>
      <c r="B36" t="str">
        <f>VLOOKUP(Table1[[#This Row],[CountyID]],[1]!Table1[#All],2,FALSE)</f>
        <v>Beltrami</v>
      </c>
      <c r="C36">
        <f>VLOOKUP(Table1[[#This Row],[CountyID]],[1]!Table1[#All],3,FALSE)</f>
        <v>61</v>
      </c>
      <c r="D36">
        <v>61</v>
      </c>
      <c r="E36">
        <f>Table1[[#This Row],[Number of Counties]]-Table1[[#This Row],[Number of precincts Reporting]]</f>
        <v>0</v>
      </c>
      <c r="F36" t="s">
        <v>0</v>
      </c>
      <c r="G36" t="s">
        <v>1</v>
      </c>
      <c r="H36">
        <v>101</v>
      </c>
      <c r="I36">
        <v>501</v>
      </c>
      <c r="J36" t="s">
        <v>10</v>
      </c>
      <c r="K36" t="s">
        <v>11</v>
      </c>
      <c r="L36">
        <v>61</v>
      </c>
      <c r="M36">
        <v>62</v>
      </c>
      <c r="N36">
        <v>0.25</v>
      </c>
      <c r="O36">
        <v>24874</v>
      </c>
    </row>
    <row r="37" spans="1:15" x14ac:dyDescent="0.2">
      <c r="A37">
        <v>4</v>
      </c>
      <c r="B37" t="str">
        <f>VLOOKUP(Table1[[#This Row],[CountyID]],[1]!Table1[#All],2,FALSE)</f>
        <v>Beltrami</v>
      </c>
      <c r="C37">
        <f>VLOOKUP(Table1[[#This Row],[CountyID]],[1]!Table1[#All],3,FALSE)</f>
        <v>61</v>
      </c>
      <c r="D37">
        <v>61</v>
      </c>
      <c r="E37">
        <f>Table1[[#This Row],[Number of Counties]]-Table1[[#This Row],[Number of precincts Reporting]]</f>
        <v>0</v>
      </c>
      <c r="F37" t="s">
        <v>0</v>
      </c>
      <c r="G37" t="s">
        <v>1</v>
      </c>
      <c r="H37">
        <v>101</v>
      </c>
      <c r="I37">
        <v>601</v>
      </c>
      <c r="J37" t="s">
        <v>12</v>
      </c>
      <c r="K37" t="s">
        <v>13</v>
      </c>
      <c r="L37">
        <v>61</v>
      </c>
      <c r="M37">
        <v>13</v>
      </c>
      <c r="N37">
        <v>0.05</v>
      </c>
      <c r="O37">
        <v>24874</v>
      </c>
    </row>
    <row r="38" spans="1:15" x14ac:dyDescent="0.2">
      <c r="A38">
        <v>4</v>
      </c>
      <c r="B38" t="str">
        <f>VLOOKUP(Table1[[#This Row],[CountyID]],[1]!Table1[#All],2,FALSE)</f>
        <v>Beltrami</v>
      </c>
      <c r="C38">
        <f>VLOOKUP(Table1[[#This Row],[CountyID]],[1]!Table1[#All],3,FALSE)</f>
        <v>61</v>
      </c>
      <c r="D38">
        <v>61</v>
      </c>
      <c r="E38">
        <f>Table1[[#This Row],[Number of Counties]]-Table1[[#This Row],[Number of precincts Reporting]]</f>
        <v>0</v>
      </c>
      <c r="F38" t="s">
        <v>0</v>
      </c>
      <c r="G38" t="s">
        <v>1</v>
      </c>
      <c r="H38">
        <v>101</v>
      </c>
      <c r="I38">
        <v>701</v>
      </c>
      <c r="J38" t="s">
        <v>14</v>
      </c>
      <c r="K38" t="s">
        <v>15</v>
      </c>
      <c r="L38">
        <v>61</v>
      </c>
      <c r="M38">
        <v>5</v>
      </c>
      <c r="N38">
        <v>0.02</v>
      </c>
      <c r="O38">
        <v>24874</v>
      </c>
    </row>
    <row r="39" spans="1:15" x14ac:dyDescent="0.2">
      <c r="A39">
        <v>4</v>
      </c>
      <c r="B39" t="str">
        <f>VLOOKUP(Table1[[#This Row],[CountyID]],[1]!Table1[#All],2,FALSE)</f>
        <v>Beltrami</v>
      </c>
      <c r="C39">
        <f>VLOOKUP(Table1[[#This Row],[CountyID]],[1]!Table1[#All],3,FALSE)</f>
        <v>61</v>
      </c>
      <c r="D39">
        <v>61</v>
      </c>
      <c r="E39">
        <f>Table1[[#This Row],[Number of Counties]]-Table1[[#This Row],[Number of precincts Reporting]]</f>
        <v>0</v>
      </c>
      <c r="F39" t="s">
        <v>0</v>
      </c>
      <c r="G39" t="s">
        <v>1</v>
      </c>
      <c r="H39">
        <v>101</v>
      </c>
      <c r="I39">
        <v>801</v>
      </c>
      <c r="J39" t="s">
        <v>16</v>
      </c>
      <c r="K39" t="s">
        <v>17</v>
      </c>
      <c r="L39">
        <v>61</v>
      </c>
      <c r="M39">
        <v>19</v>
      </c>
      <c r="N39">
        <v>0.08</v>
      </c>
      <c r="O39">
        <v>24874</v>
      </c>
    </row>
    <row r="40" spans="1:15" x14ac:dyDescent="0.2">
      <c r="A40">
        <v>4</v>
      </c>
      <c r="B40" t="str">
        <f>VLOOKUP(Table1[[#This Row],[CountyID]],[1]!Table1[#All],2,FALSE)</f>
        <v>Beltrami</v>
      </c>
      <c r="C40">
        <f>VLOOKUP(Table1[[#This Row],[CountyID]],[1]!Table1[#All],3,FALSE)</f>
        <v>61</v>
      </c>
      <c r="D40">
        <v>61</v>
      </c>
      <c r="E40">
        <f>Table1[[#This Row],[Number of Counties]]-Table1[[#This Row],[Number of precincts Reporting]]</f>
        <v>0</v>
      </c>
      <c r="F40" t="s">
        <v>0</v>
      </c>
      <c r="G40" t="s">
        <v>1</v>
      </c>
      <c r="H40">
        <v>101</v>
      </c>
      <c r="I40">
        <v>901</v>
      </c>
      <c r="J40" t="s">
        <v>18</v>
      </c>
      <c r="K40" t="s">
        <v>19</v>
      </c>
      <c r="L40">
        <v>61</v>
      </c>
      <c r="M40">
        <v>28</v>
      </c>
      <c r="N40">
        <v>0.11</v>
      </c>
      <c r="O40">
        <v>24874</v>
      </c>
    </row>
    <row r="41" spans="1:15" x14ac:dyDescent="0.2">
      <c r="A41">
        <v>4</v>
      </c>
      <c r="B41" t="str">
        <f>VLOOKUP(Table1[[#This Row],[CountyID]],[1]!Table1[#All],2,FALSE)</f>
        <v>Beltrami</v>
      </c>
      <c r="C41">
        <f>VLOOKUP(Table1[[#This Row],[CountyID]],[1]!Table1[#All],3,FALSE)</f>
        <v>61</v>
      </c>
      <c r="D41">
        <v>61</v>
      </c>
      <c r="E41">
        <f>Table1[[#This Row],[Number of Counties]]-Table1[[#This Row],[Number of precincts Reporting]]</f>
        <v>0</v>
      </c>
      <c r="F41" t="s">
        <v>0</v>
      </c>
      <c r="G41" t="s">
        <v>1</v>
      </c>
      <c r="H41">
        <v>101</v>
      </c>
      <c r="I41">
        <v>9901</v>
      </c>
      <c r="J41" t="s">
        <v>20</v>
      </c>
      <c r="K41" t="s">
        <v>21</v>
      </c>
      <c r="L41">
        <v>61</v>
      </c>
      <c r="M41">
        <v>67</v>
      </c>
      <c r="N41">
        <v>0.27</v>
      </c>
      <c r="O41">
        <v>24874</v>
      </c>
    </row>
    <row r="42" spans="1:15" x14ac:dyDescent="0.2">
      <c r="A42">
        <v>5</v>
      </c>
      <c r="B42" t="str">
        <f>VLOOKUP(Table1[[#This Row],[CountyID]],[1]!Table1[#All],2,FALSE)</f>
        <v>Benton</v>
      </c>
      <c r="C42">
        <f>VLOOKUP(Table1[[#This Row],[CountyID]],[1]!Table1[#All],3,FALSE)</f>
        <v>27</v>
      </c>
      <c r="D42">
        <v>27</v>
      </c>
      <c r="E42">
        <f>Table1[[#This Row],[Number of Counties]]-Table1[[#This Row],[Number of precincts Reporting]]</f>
        <v>0</v>
      </c>
      <c r="F42" t="s">
        <v>0</v>
      </c>
      <c r="G42" t="s">
        <v>1</v>
      </c>
      <c r="H42">
        <v>101</v>
      </c>
      <c r="I42">
        <v>101</v>
      </c>
      <c r="J42" t="s">
        <v>2</v>
      </c>
      <c r="K42" t="s">
        <v>3</v>
      </c>
      <c r="L42">
        <v>27</v>
      </c>
      <c r="M42">
        <v>15260</v>
      </c>
      <c r="N42">
        <v>66.86</v>
      </c>
      <c r="O42">
        <v>22824</v>
      </c>
    </row>
    <row r="43" spans="1:15" x14ac:dyDescent="0.2">
      <c r="A43">
        <v>5</v>
      </c>
      <c r="B43" t="str">
        <f>VLOOKUP(Table1[[#This Row],[CountyID]],[1]!Table1[#All],2,FALSE)</f>
        <v>Benton</v>
      </c>
      <c r="C43">
        <f>VLOOKUP(Table1[[#This Row],[CountyID]],[1]!Table1[#All],3,FALSE)</f>
        <v>27</v>
      </c>
      <c r="D43">
        <v>27</v>
      </c>
      <c r="E43">
        <f>Table1[[#This Row],[Number of Counties]]-Table1[[#This Row],[Number of precincts Reporting]]</f>
        <v>0</v>
      </c>
      <c r="F43" t="s">
        <v>0</v>
      </c>
      <c r="G43" t="s">
        <v>1</v>
      </c>
      <c r="H43">
        <v>101</v>
      </c>
      <c r="I43">
        <v>201</v>
      </c>
      <c r="J43" t="s">
        <v>4</v>
      </c>
      <c r="K43" t="s">
        <v>5</v>
      </c>
      <c r="L43">
        <v>27</v>
      </c>
      <c r="M43">
        <v>7084</v>
      </c>
      <c r="N43">
        <v>31.04</v>
      </c>
      <c r="O43">
        <v>22824</v>
      </c>
    </row>
    <row r="44" spans="1:15" x14ac:dyDescent="0.2">
      <c r="A44">
        <v>5</v>
      </c>
      <c r="B44" t="str">
        <f>VLOOKUP(Table1[[#This Row],[CountyID]],[1]!Table1[#All],2,FALSE)</f>
        <v>Benton</v>
      </c>
      <c r="C44">
        <f>VLOOKUP(Table1[[#This Row],[CountyID]],[1]!Table1[#All],3,FALSE)</f>
        <v>27</v>
      </c>
      <c r="D44">
        <v>27</v>
      </c>
      <c r="E44">
        <f>Table1[[#This Row],[Number of Counties]]-Table1[[#This Row],[Number of precincts Reporting]]</f>
        <v>0</v>
      </c>
      <c r="F44" t="s">
        <v>0</v>
      </c>
      <c r="G44" t="s">
        <v>1</v>
      </c>
      <c r="H44">
        <v>101</v>
      </c>
      <c r="I44">
        <v>301</v>
      </c>
      <c r="J44" t="s">
        <v>6</v>
      </c>
      <c r="K44" t="s">
        <v>7</v>
      </c>
      <c r="L44">
        <v>27</v>
      </c>
      <c r="M44">
        <v>118</v>
      </c>
      <c r="N44">
        <v>0.52</v>
      </c>
      <c r="O44">
        <v>22824</v>
      </c>
    </row>
    <row r="45" spans="1:15" x14ac:dyDescent="0.2">
      <c r="A45">
        <v>5</v>
      </c>
      <c r="B45" t="str">
        <f>VLOOKUP(Table1[[#This Row],[CountyID]],[1]!Table1[#All],2,FALSE)</f>
        <v>Benton</v>
      </c>
      <c r="C45">
        <f>VLOOKUP(Table1[[#This Row],[CountyID]],[1]!Table1[#All],3,FALSE)</f>
        <v>27</v>
      </c>
      <c r="D45">
        <v>27</v>
      </c>
      <c r="E45">
        <f>Table1[[#This Row],[Number of Counties]]-Table1[[#This Row],[Number of precincts Reporting]]</f>
        <v>0</v>
      </c>
      <c r="F45" t="s">
        <v>0</v>
      </c>
      <c r="G45" t="s">
        <v>1</v>
      </c>
      <c r="H45">
        <v>101</v>
      </c>
      <c r="I45">
        <v>401</v>
      </c>
      <c r="J45" t="s">
        <v>8</v>
      </c>
      <c r="K45" t="s">
        <v>9</v>
      </c>
      <c r="L45">
        <v>27</v>
      </c>
      <c r="M45">
        <v>195</v>
      </c>
      <c r="N45">
        <v>0.85</v>
      </c>
      <c r="O45">
        <v>22824</v>
      </c>
    </row>
    <row r="46" spans="1:15" x14ac:dyDescent="0.2">
      <c r="A46">
        <v>5</v>
      </c>
      <c r="B46" t="str">
        <f>VLOOKUP(Table1[[#This Row],[CountyID]],[1]!Table1[#All],2,FALSE)</f>
        <v>Benton</v>
      </c>
      <c r="C46">
        <f>VLOOKUP(Table1[[#This Row],[CountyID]],[1]!Table1[#All],3,FALSE)</f>
        <v>27</v>
      </c>
      <c r="D46">
        <v>27</v>
      </c>
      <c r="E46">
        <f>Table1[[#This Row],[Number of Counties]]-Table1[[#This Row],[Number of precincts Reporting]]</f>
        <v>0</v>
      </c>
      <c r="F46" t="s">
        <v>0</v>
      </c>
      <c r="G46" t="s">
        <v>1</v>
      </c>
      <c r="H46">
        <v>101</v>
      </c>
      <c r="I46">
        <v>501</v>
      </c>
      <c r="J46" t="s">
        <v>10</v>
      </c>
      <c r="K46" t="s">
        <v>11</v>
      </c>
      <c r="L46">
        <v>27</v>
      </c>
      <c r="M46">
        <v>75</v>
      </c>
      <c r="N46">
        <v>0.33</v>
      </c>
      <c r="O46">
        <v>22824</v>
      </c>
    </row>
    <row r="47" spans="1:15" x14ac:dyDescent="0.2">
      <c r="A47">
        <v>5</v>
      </c>
      <c r="B47" t="str">
        <f>VLOOKUP(Table1[[#This Row],[CountyID]],[1]!Table1[#All],2,FALSE)</f>
        <v>Benton</v>
      </c>
      <c r="C47">
        <f>VLOOKUP(Table1[[#This Row],[CountyID]],[1]!Table1[#All],3,FALSE)</f>
        <v>27</v>
      </c>
      <c r="D47">
        <v>27</v>
      </c>
      <c r="E47">
        <f>Table1[[#This Row],[Number of Counties]]-Table1[[#This Row],[Number of precincts Reporting]]</f>
        <v>0</v>
      </c>
      <c r="F47" t="s">
        <v>0</v>
      </c>
      <c r="G47" t="s">
        <v>1</v>
      </c>
      <c r="H47">
        <v>101</v>
      </c>
      <c r="I47">
        <v>601</v>
      </c>
      <c r="J47" t="s">
        <v>12</v>
      </c>
      <c r="K47" t="s">
        <v>13</v>
      </c>
      <c r="L47">
        <v>27</v>
      </c>
      <c r="M47">
        <v>14</v>
      </c>
      <c r="N47">
        <v>0.06</v>
      </c>
      <c r="O47">
        <v>22824</v>
      </c>
    </row>
    <row r="48" spans="1:15" x14ac:dyDescent="0.2">
      <c r="A48">
        <v>5</v>
      </c>
      <c r="B48" t="str">
        <f>VLOOKUP(Table1[[#This Row],[CountyID]],[1]!Table1[#All],2,FALSE)</f>
        <v>Benton</v>
      </c>
      <c r="C48">
        <f>VLOOKUP(Table1[[#This Row],[CountyID]],[1]!Table1[#All],3,FALSE)</f>
        <v>27</v>
      </c>
      <c r="D48">
        <v>27</v>
      </c>
      <c r="E48">
        <f>Table1[[#This Row],[Number of Counties]]-Table1[[#This Row],[Number of precincts Reporting]]</f>
        <v>0</v>
      </c>
      <c r="F48" t="s">
        <v>0</v>
      </c>
      <c r="G48" t="s">
        <v>1</v>
      </c>
      <c r="H48">
        <v>101</v>
      </c>
      <c r="I48">
        <v>701</v>
      </c>
      <c r="J48" t="s">
        <v>14</v>
      </c>
      <c r="K48" t="s">
        <v>15</v>
      </c>
      <c r="L48">
        <v>27</v>
      </c>
      <c r="M48">
        <v>3</v>
      </c>
      <c r="N48">
        <v>0.01</v>
      </c>
      <c r="O48">
        <v>22824</v>
      </c>
    </row>
    <row r="49" spans="1:15" x14ac:dyDescent="0.2">
      <c r="A49">
        <v>5</v>
      </c>
      <c r="B49" t="str">
        <f>VLOOKUP(Table1[[#This Row],[CountyID]],[1]!Table1[#All],2,FALSE)</f>
        <v>Benton</v>
      </c>
      <c r="C49">
        <f>VLOOKUP(Table1[[#This Row],[CountyID]],[1]!Table1[#All],3,FALSE)</f>
        <v>27</v>
      </c>
      <c r="D49">
        <v>27</v>
      </c>
      <c r="E49">
        <f>Table1[[#This Row],[Number of Counties]]-Table1[[#This Row],[Number of precincts Reporting]]</f>
        <v>0</v>
      </c>
      <c r="F49" t="s">
        <v>0</v>
      </c>
      <c r="G49" t="s">
        <v>1</v>
      </c>
      <c r="H49">
        <v>101</v>
      </c>
      <c r="I49">
        <v>801</v>
      </c>
      <c r="J49" t="s">
        <v>16</v>
      </c>
      <c r="K49" t="s">
        <v>17</v>
      </c>
      <c r="L49">
        <v>27</v>
      </c>
      <c r="M49">
        <v>4</v>
      </c>
      <c r="N49">
        <v>0.02</v>
      </c>
      <c r="O49">
        <v>22824</v>
      </c>
    </row>
    <row r="50" spans="1:15" x14ac:dyDescent="0.2">
      <c r="A50">
        <v>5</v>
      </c>
      <c r="B50" t="str">
        <f>VLOOKUP(Table1[[#This Row],[CountyID]],[1]!Table1[#All],2,FALSE)</f>
        <v>Benton</v>
      </c>
      <c r="C50">
        <f>VLOOKUP(Table1[[#This Row],[CountyID]],[1]!Table1[#All],3,FALSE)</f>
        <v>27</v>
      </c>
      <c r="D50">
        <v>27</v>
      </c>
      <c r="E50">
        <f>Table1[[#This Row],[Number of Counties]]-Table1[[#This Row],[Number of precincts Reporting]]</f>
        <v>0</v>
      </c>
      <c r="F50" t="s">
        <v>0</v>
      </c>
      <c r="G50" t="s">
        <v>1</v>
      </c>
      <c r="H50">
        <v>101</v>
      </c>
      <c r="I50">
        <v>901</v>
      </c>
      <c r="J50" t="s">
        <v>18</v>
      </c>
      <c r="K50" t="s">
        <v>19</v>
      </c>
      <c r="L50">
        <v>27</v>
      </c>
      <c r="M50">
        <v>10</v>
      </c>
      <c r="N50">
        <v>0.04</v>
      </c>
      <c r="O50">
        <v>22824</v>
      </c>
    </row>
    <row r="51" spans="1:15" x14ac:dyDescent="0.2">
      <c r="A51">
        <v>5</v>
      </c>
      <c r="B51" t="str">
        <f>VLOOKUP(Table1[[#This Row],[CountyID]],[1]!Table1[#All],2,FALSE)</f>
        <v>Benton</v>
      </c>
      <c r="C51">
        <f>VLOOKUP(Table1[[#This Row],[CountyID]],[1]!Table1[#All],3,FALSE)</f>
        <v>27</v>
      </c>
      <c r="D51">
        <v>27</v>
      </c>
      <c r="E51">
        <f>Table1[[#This Row],[Number of Counties]]-Table1[[#This Row],[Number of precincts Reporting]]</f>
        <v>0</v>
      </c>
      <c r="F51" t="s">
        <v>0</v>
      </c>
      <c r="G51" t="s">
        <v>1</v>
      </c>
      <c r="H51">
        <v>101</v>
      </c>
      <c r="I51">
        <v>9901</v>
      </c>
      <c r="J51" t="s">
        <v>20</v>
      </c>
      <c r="K51" t="s">
        <v>21</v>
      </c>
      <c r="L51">
        <v>27</v>
      </c>
      <c r="M51">
        <v>61</v>
      </c>
      <c r="N51">
        <v>0.27</v>
      </c>
      <c r="O51">
        <v>22824</v>
      </c>
    </row>
    <row r="52" spans="1:15" x14ac:dyDescent="0.2">
      <c r="A52">
        <v>6</v>
      </c>
      <c r="B52" t="str">
        <f>VLOOKUP(Table1[[#This Row],[CountyID]],[1]!Table1[#All],2,FALSE)</f>
        <v>Big Stone</v>
      </c>
      <c r="C52">
        <f>VLOOKUP(Table1[[#This Row],[CountyID]],[1]!Table1[#All],3,FALSE)</f>
        <v>24</v>
      </c>
      <c r="D52">
        <v>24</v>
      </c>
      <c r="E52">
        <f>Table1[[#This Row],[Number of Counties]]-Table1[[#This Row],[Number of precincts Reporting]]</f>
        <v>0</v>
      </c>
      <c r="F52" t="s">
        <v>0</v>
      </c>
      <c r="G52" t="s">
        <v>1</v>
      </c>
      <c r="H52">
        <v>101</v>
      </c>
      <c r="I52">
        <v>101</v>
      </c>
      <c r="J52" t="s">
        <v>2</v>
      </c>
      <c r="K52" t="s">
        <v>3</v>
      </c>
      <c r="L52">
        <v>24</v>
      </c>
      <c r="M52">
        <v>1796</v>
      </c>
      <c r="N52">
        <v>63.6</v>
      </c>
      <c r="O52">
        <v>2824</v>
      </c>
    </row>
    <row r="53" spans="1:15" x14ac:dyDescent="0.2">
      <c r="A53">
        <v>6</v>
      </c>
      <c r="B53" t="str">
        <f>VLOOKUP(Table1[[#This Row],[CountyID]],[1]!Table1[#All],2,FALSE)</f>
        <v>Big Stone</v>
      </c>
      <c r="C53">
        <f>VLOOKUP(Table1[[#This Row],[CountyID]],[1]!Table1[#All],3,FALSE)</f>
        <v>24</v>
      </c>
      <c r="D53">
        <v>24</v>
      </c>
      <c r="E53">
        <f>Table1[[#This Row],[Number of Counties]]-Table1[[#This Row],[Number of precincts Reporting]]</f>
        <v>0</v>
      </c>
      <c r="F53" t="s">
        <v>0</v>
      </c>
      <c r="G53" t="s">
        <v>1</v>
      </c>
      <c r="H53">
        <v>101</v>
      </c>
      <c r="I53">
        <v>201</v>
      </c>
      <c r="J53" t="s">
        <v>4</v>
      </c>
      <c r="K53" t="s">
        <v>5</v>
      </c>
      <c r="L53">
        <v>24</v>
      </c>
      <c r="M53">
        <v>964</v>
      </c>
      <c r="N53">
        <v>34.14</v>
      </c>
      <c r="O53">
        <v>2824</v>
      </c>
    </row>
    <row r="54" spans="1:15" x14ac:dyDescent="0.2">
      <c r="A54">
        <v>6</v>
      </c>
      <c r="B54" t="str">
        <f>VLOOKUP(Table1[[#This Row],[CountyID]],[1]!Table1[#All],2,FALSE)</f>
        <v>Big Stone</v>
      </c>
      <c r="C54">
        <f>VLOOKUP(Table1[[#This Row],[CountyID]],[1]!Table1[#All],3,FALSE)</f>
        <v>24</v>
      </c>
      <c r="D54">
        <v>24</v>
      </c>
      <c r="E54">
        <f>Table1[[#This Row],[Number of Counties]]-Table1[[#This Row],[Number of precincts Reporting]]</f>
        <v>0</v>
      </c>
      <c r="F54" t="s">
        <v>0</v>
      </c>
      <c r="G54" t="s">
        <v>1</v>
      </c>
      <c r="H54">
        <v>101</v>
      </c>
      <c r="I54">
        <v>301</v>
      </c>
      <c r="J54" t="s">
        <v>6</v>
      </c>
      <c r="K54" t="s">
        <v>7</v>
      </c>
      <c r="L54">
        <v>24</v>
      </c>
      <c r="M54">
        <v>6</v>
      </c>
      <c r="N54">
        <v>0.21</v>
      </c>
      <c r="O54">
        <v>2824</v>
      </c>
    </row>
    <row r="55" spans="1:15" x14ac:dyDescent="0.2">
      <c r="A55">
        <v>6</v>
      </c>
      <c r="B55" t="str">
        <f>VLOOKUP(Table1[[#This Row],[CountyID]],[1]!Table1[#All],2,FALSE)</f>
        <v>Big Stone</v>
      </c>
      <c r="C55">
        <f>VLOOKUP(Table1[[#This Row],[CountyID]],[1]!Table1[#All],3,FALSE)</f>
        <v>24</v>
      </c>
      <c r="D55">
        <v>24</v>
      </c>
      <c r="E55">
        <f>Table1[[#This Row],[Number of Counties]]-Table1[[#This Row],[Number of precincts Reporting]]</f>
        <v>0</v>
      </c>
      <c r="F55" t="s">
        <v>0</v>
      </c>
      <c r="G55" t="s">
        <v>1</v>
      </c>
      <c r="H55">
        <v>101</v>
      </c>
      <c r="I55">
        <v>401</v>
      </c>
      <c r="J55" t="s">
        <v>8</v>
      </c>
      <c r="K55" t="s">
        <v>9</v>
      </c>
      <c r="L55">
        <v>24</v>
      </c>
      <c r="M55">
        <v>44</v>
      </c>
      <c r="N55">
        <v>1.56</v>
      </c>
      <c r="O55">
        <v>2824</v>
      </c>
    </row>
    <row r="56" spans="1:15" x14ac:dyDescent="0.2">
      <c r="A56">
        <v>6</v>
      </c>
      <c r="B56" t="str">
        <f>VLOOKUP(Table1[[#This Row],[CountyID]],[1]!Table1[#All],2,FALSE)</f>
        <v>Big Stone</v>
      </c>
      <c r="C56">
        <f>VLOOKUP(Table1[[#This Row],[CountyID]],[1]!Table1[#All],3,FALSE)</f>
        <v>24</v>
      </c>
      <c r="D56">
        <v>24</v>
      </c>
      <c r="E56">
        <f>Table1[[#This Row],[Number of Counties]]-Table1[[#This Row],[Number of precincts Reporting]]</f>
        <v>0</v>
      </c>
      <c r="F56" t="s">
        <v>0</v>
      </c>
      <c r="G56" t="s">
        <v>1</v>
      </c>
      <c r="H56">
        <v>101</v>
      </c>
      <c r="I56">
        <v>501</v>
      </c>
      <c r="J56" t="s">
        <v>10</v>
      </c>
      <c r="K56" t="s">
        <v>11</v>
      </c>
      <c r="L56">
        <v>24</v>
      </c>
      <c r="M56">
        <v>3</v>
      </c>
      <c r="N56">
        <v>0.11</v>
      </c>
      <c r="O56">
        <v>2824</v>
      </c>
    </row>
    <row r="57" spans="1:15" x14ac:dyDescent="0.2">
      <c r="A57">
        <v>6</v>
      </c>
      <c r="B57" t="str">
        <f>VLOOKUP(Table1[[#This Row],[CountyID]],[1]!Table1[#All],2,FALSE)</f>
        <v>Big Stone</v>
      </c>
      <c r="C57">
        <f>VLOOKUP(Table1[[#This Row],[CountyID]],[1]!Table1[#All],3,FALSE)</f>
        <v>24</v>
      </c>
      <c r="D57">
        <v>24</v>
      </c>
      <c r="E57">
        <f>Table1[[#This Row],[Number of Counties]]-Table1[[#This Row],[Number of precincts Reporting]]</f>
        <v>0</v>
      </c>
      <c r="F57" t="s">
        <v>0</v>
      </c>
      <c r="G57" t="s">
        <v>1</v>
      </c>
      <c r="H57">
        <v>101</v>
      </c>
      <c r="I57">
        <v>601</v>
      </c>
      <c r="J57" t="s">
        <v>12</v>
      </c>
      <c r="K57" t="s">
        <v>13</v>
      </c>
      <c r="L57">
        <v>24</v>
      </c>
      <c r="M57">
        <v>0</v>
      </c>
      <c r="N57">
        <v>0</v>
      </c>
      <c r="O57">
        <v>2824</v>
      </c>
    </row>
    <row r="58" spans="1:15" x14ac:dyDescent="0.2">
      <c r="A58">
        <v>6</v>
      </c>
      <c r="B58" t="str">
        <f>VLOOKUP(Table1[[#This Row],[CountyID]],[1]!Table1[#All],2,FALSE)</f>
        <v>Big Stone</v>
      </c>
      <c r="C58">
        <f>VLOOKUP(Table1[[#This Row],[CountyID]],[1]!Table1[#All],3,FALSE)</f>
        <v>24</v>
      </c>
      <c r="D58">
        <v>24</v>
      </c>
      <c r="E58">
        <f>Table1[[#This Row],[Number of Counties]]-Table1[[#This Row],[Number of precincts Reporting]]</f>
        <v>0</v>
      </c>
      <c r="F58" t="s">
        <v>0</v>
      </c>
      <c r="G58" t="s">
        <v>1</v>
      </c>
      <c r="H58">
        <v>101</v>
      </c>
      <c r="I58">
        <v>701</v>
      </c>
      <c r="J58" t="s">
        <v>14</v>
      </c>
      <c r="K58" t="s">
        <v>15</v>
      </c>
      <c r="L58">
        <v>24</v>
      </c>
      <c r="M58">
        <v>0</v>
      </c>
      <c r="N58">
        <v>0</v>
      </c>
      <c r="O58">
        <v>2824</v>
      </c>
    </row>
    <row r="59" spans="1:15" x14ac:dyDescent="0.2">
      <c r="A59">
        <v>6</v>
      </c>
      <c r="B59" t="str">
        <f>VLOOKUP(Table1[[#This Row],[CountyID]],[1]!Table1[#All],2,FALSE)</f>
        <v>Big Stone</v>
      </c>
      <c r="C59">
        <f>VLOOKUP(Table1[[#This Row],[CountyID]],[1]!Table1[#All],3,FALSE)</f>
        <v>24</v>
      </c>
      <c r="D59">
        <v>24</v>
      </c>
      <c r="E59">
        <f>Table1[[#This Row],[Number of Counties]]-Table1[[#This Row],[Number of precincts Reporting]]</f>
        <v>0</v>
      </c>
      <c r="F59" t="s">
        <v>0</v>
      </c>
      <c r="G59" t="s">
        <v>1</v>
      </c>
      <c r="H59">
        <v>101</v>
      </c>
      <c r="I59">
        <v>801</v>
      </c>
      <c r="J59" t="s">
        <v>16</v>
      </c>
      <c r="K59" t="s">
        <v>17</v>
      </c>
      <c r="L59">
        <v>24</v>
      </c>
      <c r="M59">
        <v>0</v>
      </c>
      <c r="N59">
        <v>0</v>
      </c>
      <c r="O59">
        <v>2824</v>
      </c>
    </row>
    <row r="60" spans="1:15" x14ac:dyDescent="0.2">
      <c r="A60">
        <v>6</v>
      </c>
      <c r="B60" t="str">
        <f>VLOOKUP(Table1[[#This Row],[CountyID]],[1]!Table1[#All],2,FALSE)</f>
        <v>Big Stone</v>
      </c>
      <c r="C60">
        <f>VLOOKUP(Table1[[#This Row],[CountyID]],[1]!Table1[#All],3,FALSE)</f>
        <v>24</v>
      </c>
      <c r="D60">
        <v>24</v>
      </c>
      <c r="E60">
        <f>Table1[[#This Row],[Number of Counties]]-Table1[[#This Row],[Number of precincts Reporting]]</f>
        <v>0</v>
      </c>
      <c r="F60" t="s">
        <v>0</v>
      </c>
      <c r="G60" t="s">
        <v>1</v>
      </c>
      <c r="H60">
        <v>101</v>
      </c>
      <c r="I60">
        <v>901</v>
      </c>
      <c r="J60" t="s">
        <v>18</v>
      </c>
      <c r="K60" t="s">
        <v>19</v>
      </c>
      <c r="L60">
        <v>24</v>
      </c>
      <c r="M60">
        <v>3</v>
      </c>
      <c r="N60">
        <v>0.11</v>
      </c>
      <c r="O60">
        <v>2824</v>
      </c>
    </row>
    <row r="61" spans="1:15" x14ac:dyDescent="0.2">
      <c r="A61">
        <v>6</v>
      </c>
      <c r="B61" t="str">
        <f>VLOOKUP(Table1[[#This Row],[CountyID]],[1]!Table1[#All],2,FALSE)</f>
        <v>Big Stone</v>
      </c>
      <c r="C61">
        <f>VLOOKUP(Table1[[#This Row],[CountyID]],[1]!Table1[#All],3,FALSE)</f>
        <v>24</v>
      </c>
      <c r="D61">
        <v>24</v>
      </c>
      <c r="E61">
        <f>Table1[[#This Row],[Number of Counties]]-Table1[[#This Row],[Number of precincts Reporting]]</f>
        <v>0</v>
      </c>
      <c r="F61" t="s">
        <v>0</v>
      </c>
      <c r="G61" t="s">
        <v>1</v>
      </c>
      <c r="H61">
        <v>101</v>
      </c>
      <c r="I61">
        <v>9901</v>
      </c>
      <c r="J61" t="s">
        <v>20</v>
      </c>
      <c r="K61" t="s">
        <v>21</v>
      </c>
      <c r="L61">
        <v>24</v>
      </c>
      <c r="M61">
        <v>8</v>
      </c>
      <c r="N61">
        <v>0.28000000000000003</v>
      </c>
      <c r="O61">
        <v>2824</v>
      </c>
    </row>
    <row r="62" spans="1:15" x14ac:dyDescent="0.2">
      <c r="A62">
        <v>7</v>
      </c>
      <c r="B62" t="str">
        <f>VLOOKUP(Table1[[#This Row],[CountyID]],[1]!Table1[#All],2,FALSE)</f>
        <v>Blue Earth</v>
      </c>
      <c r="C62">
        <f>VLOOKUP(Table1[[#This Row],[CountyID]],[1]!Table1[#All],3,FALSE)</f>
        <v>56</v>
      </c>
      <c r="D62">
        <v>56</v>
      </c>
      <c r="E62">
        <f>Table1[[#This Row],[Number of Counties]]-Table1[[#This Row],[Number of precincts Reporting]]</f>
        <v>0</v>
      </c>
      <c r="F62" t="s">
        <v>0</v>
      </c>
      <c r="G62" t="s">
        <v>1</v>
      </c>
      <c r="H62">
        <v>101</v>
      </c>
      <c r="I62">
        <v>101</v>
      </c>
      <c r="J62" t="s">
        <v>2</v>
      </c>
      <c r="K62" t="s">
        <v>3</v>
      </c>
      <c r="L62">
        <v>56</v>
      </c>
      <c r="M62">
        <v>18001</v>
      </c>
      <c r="N62">
        <v>49.4</v>
      </c>
      <c r="O62">
        <v>36442</v>
      </c>
    </row>
    <row r="63" spans="1:15" x14ac:dyDescent="0.2">
      <c r="A63">
        <v>7</v>
      </c>
      <c r="B63" t="str">
        <f>VLOOKUP(Table1[[#This Row],[CountyID]],[1]!Table1[#All],2,FALSE)</f>
        <v>Blue Earth</v>
      </c>
      <c r="C63">
        <f>VLOOKUP(Table1[[#This Row],[CountyID]],[1]!Table1[#All],3,FALSE)</f>
        <v>56</v>
      </c>
      <c r="D63">
        <v>56</v>
      </c>
      <c r="E63">
        <f>Table1[[#This Row],[Number of Counties]]-Table1[[#This Row],[Number of precincts Reporting]]</f>
        <v>0</v>
      </c>
      <c r="F63" t="s">
        <v>0</v>
      </c>
      <c r="G63" t="s">
        <v>1</v>
      </c>
      <c r="H63">
        <v>101</v>
      </c>
      <c r="I63">
        <v>201</v>
      </c>
      <c r="J63" t="s">
        <v>4</v>
      </c>
      <c r="K63" t="s">
        <v>5</v>
      </c>
      <c r="L63">
        <v>56</v>
      </c>
      <c r="M63">
        <v>17558</v>
      </c>
      <c r="N63">
        <v>48.18</v>
      </c>
      <c r="O63">
        <v>36442</v>
      </c>
    </row>
    <row r="64" spans="1:15" x14ac:dyDescent="0.2">
      <c r="A64">
        <v>7</v>
      </c>
      <c r="B64" t="str">
        <f>VLOOKUP(Table1[[#This Row],[CountyID]],[1]!Table1[#All],2,FALSE)</f>
        <v>Blue Earth</v>
      </c>
      <c r="C64">
        <f>VLOOKUP(Table1[[#This Row],[CountyID]],[1]!Table1[#All],3,FALSE)</f>
        <v>56</v>
      </c>
      <c r="D64">
        <v>56</v>
      </c>
      <c r="E64">
        <f>Table1[[#This Row],[Number of Counties]]-Table1[[#This Row],[Number of precincts Reporting]]</f>
        <v>0</v>
      </c>
      <c r="F64" t="s">
        <v>0</v>
      </c>
      <c r="G64" t="s">
        <v>1</v>
      </c>
      <c r="H64">
        <v>101</v>
      </c>
      <c r="I64">
        <v>301</v>
      </c>
      <c r="J64" t="s">
        <v>6</v>
      </c>
      <c r="K64" t="s">
        <v>7</v>
      </c>
      <c r="L64">
        <v>56</v>
      </c>
      <c r="M64">
        <v>160</v>
      </c>
      <c r="N64">
        <v>0.44</v>
      </c>
      <c r="O64">
        <v>36442</v>
      </c>
    </row>
    <row r="65" spans="1:15" x14ac:dyDescent="0.2">
      <c r="A65">
        <v>7</v>
      </c>
      <c r="B65" t="str">
        <f>VLOOKUP(Table1[[#This Row],[CountyID]],[1]!Table1[#All],2,FALSE)</f>
        <v>Blue Earth</v>
      </c>
      <c r="C65">
        <f>VLOOKUP(Table1[[#This Row],[CountyID]],[1]!Table1[#All],3,FALSE)</f>
        <v>56</v>
      </c>
      <c r="D65">
        <v>56</v>
      </c>
      <c r="E65">
        <f>Table1[[#This Row],[Number of Counties]]-Table1[[#This Row],[Number of precincts Reporting]]</f>
        <v>0</v>
      </c>
      <c r="F65" t="s">
        <v>0</v>
      </c>
      <c r="G65" t="s">
        <v>1</v>
      </c>
      <c r="H65">
        <v>101</v>
      </c>
      <c r="I65">
        <v>401</v>
      </c>
      <c r="J65" t="s">
        <v>8</v>
      </c>
      <c r="K65" t="s">
        <v>9</v>
      </c>
      <c r="L65">
        <v>56</v>
      </c>
      <c r="M65">
        <v>351</v>
      </c>
      <c r="N65">
        <v>0.96</v>
      </c>
      <c r="O65">
        <v>36442</v>
      </c>
    </row>
    <row r="66" spans="1:15" x14ac:dyDescent="0.2">
      <c r="A66">
        <v>7</v>
      </c>
      <c r="B66" t="str">
        <f>VLOOKUP(Table1[[#This Row],[CountyID]],[1]!Table1[#All],2,FALSE)</f>
        <v>Blue Earth</v>
      </c>
      <c r="C66">
        <f>VLOOKUP(Table1[[#This Row],[CountyID]],[1]!Table1[#All],3,FALSE)</f>
        <v>56</v>
      </c>
      <c r="D66">
        <v>56</v>
      </c>
      <c r="E66">
        <f>Table1[[#This Row],[Number of Counties]]-Table1[[#This Row],[Number of precincts Reporting]]</f>
        <v>0</v>
      </c>
      <c r="F66" t="s">
        <v>0</v>
      </c>
      <c r="G66" t="s">
        <v>1</v>
      </c>
      <c r="H66">
        <v>101</v>
      </c>
      <c r="I66">
        <v>501</v>
      </c>
      <c r="J66" t="s">
        <v>10</v>
      </c>
      <c r="K66" t="s">
        <v>11</v>
      </c>
      <c r="L66">
        <v>56</v>
      </c>
      <c r="M66">
        <v>140</v>
      </c>
      <c r="N66">
        <v>0.38</v>
      </c>
      <c r="O66">
        <v>36442</v>
      </c>
    </row>
    <row r="67" spans="1:15" x14ac:dyDescent="0.2">
      <c r="A67">
        <v>7</v>
      </c>
      <c r="B67" t="str">
        <f>VLOOKUP(Table1[[#This Row],[CountyID]],[1]!Table1[#All],2,FALSE)</f>
        <v>Blue Earth</v>
      </c>
      <c r="C67">
        <f>VLOOKUP(Table1[[#This Row],[CountyID]],[1]!Table1[#All],3,FALSE)</f>
        <v>56</v>
      </c>
      <c r="D67">
        <v>56</v>
      </c>
      <c r="E67">
        <f>Table1[[#This Row],[Number of Counties]]-Table1[[#This Row],[Number of precincts Reporting]]</f>
        <v>0</v>
      </c>
      <c r="F67" t="s">
        <v>0</v>
      </c>
      <c r="G67" t="s">
        <v>1</v>
      </c>
      <c r="H67">
        <v>101</v>
      </c>
      <c r="I67">
        <v>601</v>
      </c>
      <c r="J67" t="s">
        <v>12</v>
      </c>
      <c r="K67" t="s">
        <v>13</v>
      </c>
      <c r="L67">
        <v>56</v>
      </c>
      <c r="M67">
        <v>40</v>
      </c>
      <c r="N67">
        <v>0.11</v>
      </c>
      <c r="O67">
        <v>36442</v>
      </c>
    </row>
    <row r="68" spans="1:15" x14ac:dyDescent="0.2">
      <c r="A68">
        <v>7</v>
      </c>
      <c r="B68" t="str">
        <f>VLOOKUP(Table1[[#This Row],[CountyID]],[1]!Table1[#All],2,FALSE)</f>
        <v>Blue Earth</v>
      </c>
      <c r="C68">
        <f>VLOOKUP(Table1[[#This Row],[CountyID]],[1]!Table1[#All],3,FALSE)</f>
        <v>56</v>
      </c>
      <c r="D68">
        <v>56</v>
      </c>
      <c r="E68">
        <f>Table1[[#This Row],[Number of Counties]]-Table1[[#This Row],[Number of precincts Reporting]]</f>
        <v>0</v>
      </c>
      <c r="F68" t="s">
        <v>0</v>
      </c>
      <c r="G68" t="s">
        <v>1</v>
      </c>
      <c r="H68">
        <v>101</v>
      </c>
      <c r="I68">
        <v>701</v>
      </c>
      <c r="J68" t="s">
        <v>14</v>
      </c>
      <c r="K68" t="s">
        <v>15</v>
      </c>
      <c r="L68">
        <v>56</v>
      </c>
      <c r="M68">
        <v>8</v>
      </c>
      <c r="N68">
        <v>0.02</v>
      </c>
      <c r="O68">
        <v>36442</v>
      </c>
    </row>
    <row r="69" spans="1:15" x14ac:dyDescent="0.2">
      <c r="A69">
        <v>7</v>
      </c>
      <c r="B69" t="str">
        <f>VLOOKUP(Table1[[#This Row],[CountyID]],[1]!Table1[#All],2,FALSE)</f>
        <v>Blue Earth</v>
      </c>
      <c r="C69">
        <f>VLOOKUP(Table1[[#This Row],[CountyID]],[1]!Table1[#All],3,FALSE)</f>
        <v>56</v>
      </c>
      <c r="D69">
        <v>56</v>
      </c>
      <c r="E69">
        <f>Table1[[#This Row],[Number of Counties]]-Table1[[#This Row],[Number of precincts Reporting]]</f>
        <v>0</v>
      </c>
      <c r="F69" t="s">
        <v>0</v>
      </c>
      <c r="G69" t="s">
        <v>1</v>
      </c>
      <c r="H69">
        <v>101</v>
      </c>
      <c r="I69">
        <v>801</v>
      </c>
      <c r="J69" t="s">
        <v>16</v>
      </c>
      <c r="K69" t="s">
        <v>17</v>
      </c>
      <c r="L69">
        <v>56</v>
      </c>
      <c r="M69">
        <v>24</v>
      </c>
      <c r="N69">
        <v>7.0000000000000007E-2</v>
      </c>
      <c r="O69">
        <v>36442</v>
      </c>
    </row>
    <row r="70" spans="1:15" x14ac:dyDescent="0.2">
      <c r="A70">
        <v>7</v>
      </c>
      <c r="B70" t="str">
        <f>VLOOKUP(Table1[[#This Row],[CountyID]],[1]!Table1[#All],2,FALSE)</f>
        <v>Blue Earth</v>
      </c>
      <c r="C70">
        <f>VLOOKUP(Table1[[#This Row],[CountyID]],[1]!Table1[#All],3,FALSE)</f>
        <v>56</v>
      </c>
      <c r="D70">
        <v>56</v>
      </c>
      <c r="E70">
        <f>Table1[[#This Row],[Number of Counties]]-Table1[[#This Row],[Number of precincts Reporting]]</f>
        <v>0</v>
      </c>
      <c r="F70" t="s">
        <v>0</v>
      </c>
      <c r="G70" t="s">
        <v>1</v>
      </c>
      <c r="H70">
        <v>101</v>
      </c>
      <c r="I70">
        <v>901</v>
      </c>
      <c r="J70" t="s">
        <v>18</v>
      </c>
      <c r="K70" t="s">
        <v>19</v>
      </c>
      <c r="L70">
        <v>56</v>
      </c>
      <c r="M70">
        <v>44</v>
      </c>
      <c r="N70">
        <v>0.12</v>
      </c>
      <c r="O70">
        <v>36442</v>
      </c>
    </row>
    <row r="71" spans="1:15" x14ac:dyDescent="0.2">
      <c r="A71">
        <v>7</v>
      </c>
      <c r="B71" t="str">
        <f>VLOOKUP(Table1[[#This Row],[CountyID]],[1]!Table1[#All],2,FALSE)</f>
        <v>Blue Earth</v>
      </c>
      <c r="C71">
        <f>VLOOKUP(Table1[[#This Row],[CountyID]],[1]!Table1[#All],3,FALSE)</f>
        <v>56</v>
      </c>
      <c r="D71">
        <v>56</v>
      </c>
      <c r="E71">
        <f>Table1[[#This Row],[Number of Counties]]-Table1[[#This Row],[Number of precincts Reporting]]</f>
        <v>0</v>
      </c>
      <c r="F71" t="s">
        <v>0</v>
      </c>
      <c r="G71" t="s">
        <v>1</v>
      </c>
      <c r="H71">
        <v>101</v>
      </c>
      <c r="I71">
        <v>9901</v>
      </c>
      <c r="J71" t="s">
        <v>20</v>
      </c>
      <c r="K71" t="s">
        <v>21</v>
      </c>
      <c r="L71">
        <v>56</v>
      </c>
      <c r="M71">
        <v>116</v>
      </c>
      <c r="N71">
        <v>0.32</v>
      </c>
      <c r="O71">
        <v>36442</v>
      </c>
    </row>
    <row r="72" spans="1:15" x14ac:dyDescent="0.2">
      <c r="A72">
        <v>8</v>
      </c>
      <c r="B72" t="str">
        <f>VLOOKUP(Table1[[#This Row],[CountyID]],[1]!Table1[#All],2,FALSE)</f>
        <v>Brown</v>
      </c>
      <c r="C72">
        <f>VLOOKUP(Table1[[#This Row],[CountyID]],[1]!Table1[#All],3,FALSE)</f>
        <v>33</v>
      </c>
      <c r="D72">
        <v>33</v>
      </c>
      <c r="E72">
        <f>Table1[[#This Row],[Number of Counties]]-Table1[[#This Row],[Number of precincts Reporting]]</f>
        <v>0</v>
      </c>
      <c r="F72" t="s">
        <v>0</v>
      </c>
      <c r="G72" t="s">
        <v>1</v>
      </c>
      <c r="H72">
        <v>101</v>
      </c>
      <c r="I72">
        <v>101</v>
      </c>
      <c r="J72" t="s">
        <v>2</v>
      </c>
      <c r="K72" t="s">
        <v>3</v>
      </c>
      <c r="L72">
        <v>33</v>
      </c>
      <c r="M72">
        <v>9692</v>
      </c>
      <c r="N72">
        <v>66.39</v>
      </c>
      <c r="O72">
        <v>14598</v>
      </c>
    </row>
    <row r="73" spans="1:15" x14ac:dyDescent="0.2">
      <c r="A73">
        <v>8</v>
      </c>
      <c r="B73" t="str">
        <f>VLOOKUP(Table1[[#This Row],[CountyID]],[1]!Table1[#All],2,FALSE)</f>
        <v>Brown</v>
      </c>
      <c r="C73">
        <f>VLOOKUP(Table1[[#This Row],[CountyID]],[1]!Table1[#All],3,FALSE)</f>
        <v>33</v>
      </c>
      <c r="D73">
        <v>33</v>
      </c>
      <c r="E73">
        <f>Table1[[#This Row],[Number of Counties]]-Table1[[#This Row],[Number of precincts Reporting]]</f>
        <v>0</v>
      </c>
      <c r="F73" t="s">
        <v>0</v>
      </c>
      <c r="G73" t="s">
        <v>1</v>
      </c>
      <c r="H73">
        <v>101</v>
      </c>
      <c r="I73">
        <v>201</v>
      </c>
      <c r="J73" t="s">
        <v>4</v>
      </c>
      <c r="K73" t="s">
        <v>5</v>
      </c>
      <c r="L73">
        <v>33</v>
      </c>
      <c r="M73">
        <v>4576</v>
      </c>
      <c r="N73">
        <v>31.35</v>
      </c>
      <c r="O73">
        <v>14598</v>
      </c>
    </row>
    <row r="74" spans="1:15" x14ac:dyDescent="0.2">
      <c r="A74">
        <v>8</v>
      </c>
      <c r="B74" t="str">
        <f>VLOOKUP(Table1[[#This Row],[CountyID]],[1]!Table1[#All],2,FALSE)</f>
        <v>Brown</v>
      </c>
      <c r="C74">
        <f>VLOOKUP(Table1[[#This Row],[CountyID]],[1]!Table1[#All],3,FALSE)</f>
        <v>33</v>
      </c>
      <c r="D74">
        <v>33</v>
      </c>
      <c r="E74">
        <f>Table1[[#This Row],[Number of Counties]]-Table1[[#This Row],[Number of precincts Reporting]]</f>
        <v>0</v>
      </c>
      <c r="F74" t="s">
        <v>0</v>
      </c>
      <c r="G74" t="s">
        <v>1</v>
      </c>
      <c r="H74">
        <v>101</v>
      </c>
      <c r="I74">
        <v>301</v>
      </c>
      <c r="J74" t="s">
        <v>6</v>
      </c>
      <c r="K74" t="s">
        <v>7</v>
      </c>
      <c r="L74">
        <v>33</v>
      </c>
      <c r="M74">
        <v>67</v>
      </c>
      <c r="N74">
        <v>0.46</v>
      </c>
      <c r="O74">
        <v>14598</v>
      </c>
    </row>
    <row r="75" spans="1:15" x14ac:dyDescent="0.2">
      <c r="A75">
        <v>8</v>
      </c>
      <c r="B75" t="str">
        <f>VLOOKUP(Table1[[#This Row],[CountyID]],[1]!Table1[#All],2,FALSE)</f>
        <v>Brown</v>
      </c>
      <c r="C75">
        <f>VLOOKUP(Table1[[#This Row],[CountyID]],[1]!Table1[#All],3,FALSE)</f>
        <v>33</v>
      </c>
      <c r="D75">
        <v>33</v>
      </c>
      <c r="E75">
        <f>Table1[[#This Row],[Number of Counties]]-Table1[[#This Row],[Number of precincts Reporting]]</f>
        <v>0</v>
      </c>
      <c r="F75" t="s">
        <v>0</v>
      </c>
      <c r="G75" t="s">
        <v>1</v>
      </c>
      <c r="H75">
        <v>101</v>
      </c>
      <c r="I75">
        <v>401</v>
      </c>
      <c r="J75" t="s">
        <v>8</v>
      </c>
      <c r="K75" t="s">
        <v>9</v>
      </c>
      <c r="L75">
        <v>33</v>
      </c>
      <c r="M75">
        <v>131</v>
      </c>
      <c r="N75">
        <v>0.9</v>
      </c>
      <c r="O75">
        <v>14598</v>
      </c>
    </row>
    <row r="76" spans="1:15" x14ac:dyDescent="0.2">
      <c r="A76">
        <v>8</v>
      </c>
      <c r="B76" t="str">
        <f>VLOOKUP(Table1[[#This Row],[CountyID]],[1]!Table1[#All],2,FALSE)</f>
        <v>Brown</v>
      </c>
      <c r="C76">
        <f>VLOOKUP(Table1[[#This Row],[CountyID]],[1]!Table1[#All],3,FALSE)</f>
        <v>33</v>
      </c>
      <c r="D76">
        <v>33</v>
      </c>
      <c r="E76">
        <f>Table1[[#This Row],[Number of Counties]]-Table1[[#This Row],[Number of precincts Reporting]]</f>
        <v>0</v>
      </c>
      <c r="F76" t="s">
        <v>0</v>
      </c>
      <c r="G76" t="s">
        <v>1</v>
      </c>
      <c r="H76">
        <v>101</v>
      </c>
      <c r="I76">
        <v>501</v>
      </c>
      <c r="J76" t="s">
        <v>10</v>
      </c>
      <c r="K76" t="s">
        <v>11</v>
      </c>
      <c r="L76">
        <v>33</v>
      </c>
      <c r="M76">
        <v>27</v>
      </c>
      <c r="N76">
        <v>0.18</v>
      </c>
      <c r="O76">
        <v>14598</v>
      </c>
    </row>
    <row r="77" spans="1:15" x14ac:dyDescent="0.2">
      <c r="A77">
        <v>8</v>
      </c>
      <c r="B77" t="str">
        <f>VLOOKUP(Table1[[#This Row],[CountyID]],[1]!Table1[#All],2,FALSE)</f>
        <v>Brown</v>
      </c>
      <c r="C77">
        <f>VLOOKUP(Table1[[#This Row],[CountyID]],[1]!Table1[#All],3,FALSE)</f>
        <v>33</v>
      </c>
      <c r="D77">
        <v>33</v>
      </c>
      <c r="E77">
        <f>Table1[[#This Row],[Number of Counties]]-Table1[[#This Row],[Number of precincts Reporting]]</f>
        <v>0</v>
      </c>
      <c r="F77" t="s">
        <v>0</v>
      </c>
      <c r="G77" t="s">
        <v>1</v>
      </c>
      <c r="H77">
        <v>101</v>
      </c>
      <c r="I77">
        <v>601</v>
      </c>
      <c r="J77" t="s">
        <v>12</v>
      </c>
      <c r="K77" t="s">
        <v>13</v>
      </c>
      <c r="L77">
        <v>33</v>
      </c>
      <c r="M77">
        <v>5</v>
      </c>
      <c r="N77">
        <v>0.03</v>
      </c>
      <c r="O77">
        <v>14598</v>
      </c>
    </row>
    <row r="78" spans="1:15" x14ac:dyDescent="0.2">
      <c r="A78">
        <v>8</v>
      </c>
      <c r="B78" t="str">
        <f>VLOOKUP(Table1[[#This Row],[CountyID]],[1]!Table1[#All],2,FALSE)</f>
        <v>Brown</v>
      </c>
      <c r="C78">
        <f>VLOOKUP(Table1[[#This Row],[CountyID]],[1]!Table1[#All],3,FALSE)</f>
        <v>33</v>
      </c>
      <c r="D78">
        <v>33</v>
      </c>
      <c r="E78">
        <f>Table1[[#This Row],[Number of Counties]]-Table1[[#This Row],[Number of precincts Reporting]]</f>
        <v>0</v>
      </c>
      <c r="F78" t="s">
        <v>0</v>
      </c>
      <c r="G78" t="s">
        <v>1</v>
      </c>
      <c r="H78">
        <v>101</v>
      </c>
      <c r="I78">
        <v>701</v>
      </c>
      <c r="J78" t="s">
        <v>14</v>
      </c>
      <c r="K78" t="s">
        <v>15</v>
      </c>
      <c r="L78">
        <v>33</v>
      </c>
      <c r="M78">
        <v>0</v>
      </c>
      <c r="N78">
        <v>0</v>
      </c>
      <c r="O78">
        <v>14598</v>
      </c>
    </row>
    <row r="79" spans="1:15" x14ac:dyDescent="0.2">
      <c r="A79">
        <v>8</v>
      </c>
      <c r="B79" t="str">
        <f>VLOOKUP(Table1[[#This Row],[CountyID]],[1]!Table1[#All],2,FALSE)</f>
        <v>Brown</v>
      </c>
      <c r="C79">
        <f>VLOOKUP(Table1[[#This Row],[CountyID]],[1]!Table1[#All],3,FALSE)</f>
        <v>33</v>
      </c>
      <c r="D79">
        <v>33</v>
      </c>
      <c r="E79">
        <f>Table1[[#This Row],[Number of Counties]]-Table1[[#This Row],[Number of precincts Reporting]]</f>
        <v>0</v>
      </c>
      <c r="F79" t="s">
        <v>0</v>
      </c>
      <c r="G79" t="s">
        <v>1</v>
      </c>
      <c r="H79">
        <v>101</v>
      </c>
      <c r="I79">
        <v>801</v>
      </c>
      <c r="J79" t="s">
        <v>16</v>
      </c>
      <c r="K79" t="s">
        <v>17</v>
      </c>
      <c r="L79">
        <v>33</v>
      </c>
      <c r="M79">
        <v>7</v>
      </c>
      <c r="N79">
        <v>0.05</v>
      </c>
      <c r="O79">
        <v>14598</v>
      </c>
    </row>
    <row r="80" spans="1:15" x14ac:dyDescent="0.2">
      <c r="A80">
        <v>8</v>
      </c>
      <c r="B80" t="str">
        <f>VLOOKUP(Table1[[#This Row],[CountyID]],[1]!Table1[#All],2,FALSE)</f>
        <v>Brown</v>
      </c>
      <c r="C80">
        <f>VLOOKUP(Table1[[#This Row],[CountyID]],[1]!Table1[#All],3,FALSE)</f>
        <v>33</v>
      </c>
      <c r="D80">
        <v>33</v>
      </c>
      <c r="E80">
        <f>Table1[[#This Row],[Number of Counties]]-Table1[[#This Row],[Number of precincts Reporting]]</f>
        <v>0</v>
      </c>
      <c r="F80" t="s">
        <v>0</v>
      </c>
      <c r="G80" t="s">
        <v>1</v>
      </c>
      <c r="H80">
        <v>101</v>
      </c>
      <c r="I80">
        <v>901</v>
      </c>
      <c r="J80" t="s">
        <v>18</v>
      </c>
      <c r="K80" t="s">
        <v>19</v>
      </c>
      <c r="L80">
        <v>33</v>
      </c>
      <c r="M80">
        <v>21</v>
      </c>
      <c r="N80">
        <v>0.14000000000000001</v>
      </c>
      <c r="O80">
        <v>14598</v>
      </c>
    </row>
    <row r="81" spans="1:15" x14ac:dyDescent="0.2">
      <c r="A81">
        <v>8</v>
      </c>
      <c r="B81" t="str">
        <f>VLOOKUP(Table1[[#This Row],[CountyID]],[1]!Table1[#All],2,FALSE)</f>
        <v>Brown</v>
      </c>
      <c r="C81">
        <f>VLOOKUP(Table1[[#This Row],[CountyID]],[1]!Table1[#All],3,FALSE)</f>
        <v>33</v>
      </c>
      <c r="D81">
        <v>33</v>
      </c>
      <c r="E81">
        <f>Table1[[#This Row],[Number of Counties]]-Table1[[#This Row],[Number of precincts Reporting]]</f>
        <v>0</v>
      </c>
      <c r="F81" t="s">
        <v>0</v>
      </c>
      <c r="G81" t="s">
        <v>1</v>
      </c>
      <c r="H81">
        <v>101</v>
      </c>
      <c r="I81">
        <v>9901</v>
      </c>
      <c r="J81" t="s">
        <v>20</v>
      </c>
      <c r="K81" t="s">
        <v>21</v>
      </c>
      <c r="L81">
        <v>33</v>
      </c>
      <c r="M81">
        <v>72</v>
      </c>
      <c r="N81">
        <v>0.49</v>
      </c>
      <c r="O81">
        <v>14598</v>
      </c>
    </row>
    <row r="82" spans="1:15" x14ac:dyDescent="0.2">
      <c r="A82">
        <v>9</v>
      </c>
      <c r="B82" t="str">
        <f>VLOOKUP(Table1[[#This Row],[CountyID]],[1]!Table1[#All],2,FALSE)</f>
        <v>Carlton</v>
      </c>
      <c r="C82">
        <f>VLOOKUP(Table1[[#This Row],[CountyID]],[1]!Table1[#All],3,FALSE)</f>
        <v>39</v>
      </c>
      <c r="D82">
        <v>39</v>
      </c>
      <c r="E82">
        <f>Table1[[#This Row],[Number of Counties]]-Table1[[#This Row],[Number of precincts Reporting]]</f>
        <v>0</v>
      </c>
      <c r="F82" t="s">
        <v>0</v>
      </c>
      <c r="G82" t="s">
        <v>1</v>
      </c>
      <c r="H82">
        <v>101</v>
      </c>
      <c r="I82">
        <v>101</v>
      </c>
      <c r="J82" t="s">
        <v>2</v>
      </c>
      <c r="K82" t="s">
        <v>3</v>
      </c>
      <c r="L82">
        <v>39</v>
      </c>
      <c r="M82">
        <v>10435</v>
      </c>
      <c r="N82">
        <v>50.13</v>
      </c>
      <c r="O82">
        <v>20815</v>
      </c>
    </row>
    <row r="83" spans="1:15" x14ac:dyDescent="0.2">
      <c r="A83">
        <v>9</v>
      </c>
      <c r="B83" t="str">
        <f>VLOOKUP(Table1[[#This Row],[CountyID]],[1]!Table1[#All],2,FALSE)</f>
        <v>Carlton</v>
      </c>
      <c r="C83">
        <f>VLOOKUP(Table1[[#This Row],[CountyID]],[1]!Table1[#All],3,FALSE)</f>
        <v>39</v>
      </c>
      <c r="D83">
        <v>39</v>
      </c>
      <c r="E83">
        <f>Table1[[#This Row],[Number of Counties]]-Table1[[#This Row],[Number of precincts Reporting]]</f>
        <v>0</v>
      </c>
      <c r="F83" t="s">
        <v>0</v>
      </c>
      <c r="G83" t="s">
        <v>1</v>
      </c>
      <c r="H83">
        <v>101</v>
      </c>
      <c r="I83">
        <v>201</v>
      </c>
      <c r="J83" t="s">
        <v>4</v>
      </c>
      <c r="K83" t="s">
        <v>5</v>
      </c>
      <c r="L83">
        <v>39</v>
      </c>
      <c r="M83">
        <v>9905</v>
      </c>
      <c r="N83">
        <v>47.59</v>
      </c>
      <c r="O83">
        <v>20815</v>
      </c>
    </row>
    <row r="84" spans="1:15" x14ac:dyDescent="0.2">
      <c r="A84">
        <v>9</v>
      </c>
      <c r="B84" t="str">
        <f>VLOOKUP(Table1[[#This Row],[CountyID]],[1]!Table1[#All],2,FALSE)</f>
        <v>Carlton</v>
      </c>
      <c r="C84">
        <f>VLOOKUP(Table1[[#This Row],[CountyID]],[1]!Table1[#All],3,FALSE)</f>
        <v>39</v>
      </c>
      <c r="D84">
        <v>39</v>
      </c>
      <c r="E84">
        <f>Table1[[#This Row],[Number of Counties]]-Table1[[#This Row],[Number of precincts Reporting]]</f>
        <v>0</v>
      </c>
      <c r="F84" t="s">
        <v>0</v>
      </c>
      <c r="G84" t="s">
        <v>1</v>
      </c>
      <c r="H84">
        <v>101</v>
      </c>
      <c r="I84">
        <v>301</v>
      </c>
      <c r="J84" t="s">
        <v>6</v>
      </c>
      <c r="K84" t="s">
        <v>7</v>
      </c>
      <c r="L84">
        <v>39</v>
      </c>
      <c r="M84">
        <v>79</v>
      </c>
      <c r="N84">
        <v>0.38</v>
      </c>
      <c r="O84">
        <v>20815</v>
      </c>
    </row>
    <row r="85" spans="1:15" x14ac:dyDescent="0.2">
      <c r="A85">
        <v>9</v>
      </c>
      <c r="B85" t="str">
        <f>VLOOKUP(Table1[[#This Row],[CountyID]],[1]!Table1[#All],2,FALSE)</f>
        <v>Carlton</v>
      </c>
      <c r="C85">
        <f>VLOOKUP(Table1[[#This Row],[CountyID]],[1]!Table1[#All],3,FALSE)</f>
        <v>39</v>
      </c>
      <c r="D85">
        <v>39</v>
      </c>
      <c r="E85">
        <f>Table1[[#This Row],[Number of Counties]]-Table1[[#This Row],[Number of precincts Reporting]]</f>
        <v>0</v>
      </c>
      <c r="F85" t="s">
        <v>0</v>
      </c>
      <c r="G85" t="s">
        <v>1</v>
      </c>
      <c r="H85">
        <v>101</v>
      </c>
      <c r="I85">
        <v>401</v>
      </c>
      <c r="J85" t="s">
        <v>8</v>
      </c>
      <c r="K85" t="s">
        <v>9</v>
      </c>
      <c r="L85">
        <v>39</v>
      </c>
      <c r="M85">
        <v>229</v>
      </c>
      <c r="N85">
        <v>1.1000000000000001</v>
      </c>
      <c r="O85">
        <v>20815</v>
      </c>
    </row>
    <row r="86" spans="1:15" x14ac:dyDescent="0.2">
      <c r="A86">
        <v>9</v>
      </c>
      <c r="B86" t="str">
        <f>VLOOKUP(Table1[[#This Row],[CountyID]],[1]!Table1[#All],2,FALSE)</f>
        <v>Carlton</v>
      </c>
      <c r="C86">
        <f>VLOOKUP(Table1[[#This Row],[CountyID]],[1]!Table1[#All],3,FALSE)</f>
        <v>39</v>
      </c>
      <c r="D86">
        <v>39</v>
      </c>
      <c r="E86">
        <f>Table1[[#This Row],[Number of Counties]]-Table1[[#This Row],[Number of precincts Reporting]]</f>
        <v>0</v>
      </c>
      <c r="F86" t="s">
        <v>0</v>
      </c>
      <c r="G86" t="s">
        <v>1</v>
      </c>
      <c r="H86">
        <v>101</v>
      </c>
      <c r="I86">
        <v>501</v>
      </c>
      <c r="J86" t="s">
        <v>10</v>
      </c>
      <c r="K86" t="s">
        <v>11</v>
      </c>
      <c r="L86">
        <v>39</v>
      </c>
      <c r="M86">
        <v>52</v>
      </c>
      <c r="N86">
        <v>0.25</v>
      </c>
      <c r="O86">
        <v>20815</v>
      </c>
    </row>
    <row r="87" spans="1:15" x14ac:dyDescent="0.2">
      <c r="A87">
        <v>9</v>
      </c>
      <c r="B87" t="str">
        <f>VLOOKUP(Table1[[#This Row],[CountyID]],[1]!Table1[#All],2,FALSE)</f>
        <v>Carlton</v>
      </c>
      <c r="C87">
        <f>VLOOKUP(Table1[[#This Row],[CountyID]],[1]!Table1[#All],3,FALSE)</f>
        <v>39</v>
      </c>
      <c r="D87">
        <v>39</v>
      </c>
      <c r="E87">
        <f>Table1[[#This Row],[Number of Counties]]-Table1[[#This Row],[Number of precincts Reporting]]</f>
        <v>0</v>
      </c>
      <c r="F87" t="s">
        <v>0</v>
      </c>
      <c r="G87" t="s">
        <v>1</v>
      </c>
      <c r="H87">
        <v>101</v>
      </c>
      <c r="I87">
        <v>601</v>
      </c>
      <c r="J87" t="s">
        <v>12</v>
      </c>
      <c r="K87" t="s">
        <v>13</v>
      </c>
      <c r="L87">
        <v>39</v>
      </c>
      <c r="M87">
        <v>5</v>
      </c>
      <c r="N87">
        <v>0.02</v>
      </c>
      <c r="O87">
        <v>20815</v>
      </c>
    </row>
    <row r="88" spans="1:15" x14ac:dyDescent="0.2">
      <c r="A88">
        <v>9</v>
      </c>
      <c r="B88" t="str">
        <f>VLOOKUP(Table1[[#This Row],[CountyID]],[1]!Table1[#All],2,FALSE)</f>
        <v>Carlton</v>
      </c>
      <c r="C88">
        <f>VLOOKUP(Table1[[#This Row],[CountyID]],[1]!Table1[#All],3,FALSE)</f>
        <v>39</v>
      </c>
      <c r="D88">
        <v>39</v>
      </c>
      <c r="E88">
        <f>Table1[[#This Row],[Number of Counties]]-Table1[[#This Row],[Number of precincts Reporting]]</f>
        <v>0</v>
      </c>
      <c r="F88" t="s">
        <v>0</v>
      </c>
      <c r="G88" t="s">
        <v>1</v>
      </c>
      <c r="H88">
        <v>101</v>
      </c>
      <c r="I88">
        <v>701</v>
      </c>
      <c r="J88" t="s">
        <v>14</v>
      </c>
      <c r="K88" t="s">
        <v>15</v>
      </c>
      <c r="L88">
        <v>39</v>
      </c>
      <c r="M88">
        <v>4</v>
      </c>
      <c r="N88">
        <v>0.02</v>
      </c>
      <c r="O88">
        <v>20815</v>
      </c>
    </row>
    <row r="89" spans="1:15" x14ac:dyDescent="0.2">
      <c r="A89">
        <v>9</v>
      </c>
      <c r="B89" t="str">
        <f>VLOOKUP(Table1[[#This Row],[CountyID]],[1]!Table1[#All],2,FALSE)</f>
        <v>Carlton</v>
      </c>
      <c r="C89">
        <f>VLOOKUP(Table1[[#This Row],[CountyID]],[1]!Table1[#All],3,FALSE)</f>
        <v>39</v>
      </c>
      <c r="D89">
        <v>39</v>
      </c>
      <c r="E89">
        <f>Table1[[#This Row],[Number of Counties]]-Table1[[#This Row],[Number of precincts Reporting]]</f>
        <v>0</v>
      </c>
      <c r="F89" t="s">
        <v>0</v>
      </c>
      <c r="G89" t="s">
        <v>1</v>
      </c>
      <c r="H89">
        <v>101</v>
      </c>
      <c r="I89">
        <v>801</v>
      </c>
      <c r="J89" t="s">
        <v>16</v>
      </c>
      <c r="K89" t="s">
        <v>17</v>
      </c>
      <c r="L89">
        <v>39</v>
      </c>
      <c r="M89">
        <v>10</v>
      </c>
      <c r="N89">
        <v>0.05</v>
      </c>
      <c r="O89">
        <v>20815</v>
      </c>
    </row>
    <row r="90" spans="1:15" x14ac:dyDescent="0.2">
      <c r="A90">
        <v>9</v>
      </c>
      <c r="B90" t="str">
        <f>VLOOKUP(Table1[[#This Row],[CountyID]],[1]!Table1[#All],2,FALSE)</f>
        <v>Carlton</v>
      </c>
      <c r="C90">
        <f>VLOOKUP(Table1[[#This Row],[CountyID]],[1]!Table1[#All],3,FALSE)</f>
        <v>39</v>
      </c>
      <c r="D90">
        <v>39</v>
      </c>
      <c r="E90">
        <f>Table1[[#This Row],[Number of Counties]]-Table1[[#This Row],[Number of precincts Reporting]]</f>
        <v>0</v>
      </c>
      <c r="F90" t="s">
        <v>0</v>
      </c>
      <c r="G90" t="s">
        <v>1</v>
      </c>
      <c r="H90">
        <v>101</v>
      </c>
      <c r="I90">
        <v>901</v>
      </c>
      <c r="J90" t="s">
        <v>18</v>
      </c>
      <c r="K90" t="s">
        <v>19</v>
      </c>
      <c r="L90">
        <v>39</v>
      </c>
      <c r="M90">
        <v>27</v>
      </c>
      <c r="N90">
        <v>0.13</v>
      </c>
      <c r="O90">
        <v>20815</v>
      </c>
    </row>
    <row r="91" spans="1:15" x14ac:dyDescent="0.2">
      <c r="A91">
        <v>9</v>
      </c>
      <c r="B91" t="str">
        <f>VLOOKUP(Table1[[#This Row],[CountyID]],[1]!Table1[#All],2,FALSE)</f>
        <v>Carlton</v>
      </c>
      <c r="C91">
        <f>VLOOKUP(Table1[[#This Row],[CountyID]],[1]!Table1[#All],3,FALSE)</f>
        <v>39</v>
      </c>
      <c r="D91">
        <v>39</v>
      </c>
      <c r="E91">
        <f>Table1[[#This Row],[Number of Counties]]-Table1[[#This Row],[Number of precincts Reporting]]</f>
        <v>0</v>
      </c>
      <c r="F91" t="s">
        <v>0</v>
      </c>
      <c r="G91" t="s">
        <v>1</v>
      </c>
      <c r="H91">
        <v>101</v>
      </c>
      <c r="I91">
        <v>9901</v>
      </c>
      <c r="J91" t="s">
        <v>20</v>
      </c>
      <c r="K91" t="s">
        <v>21</v>
      </c>
      <c r="L91">
        <v>39</v>
      </c>
      <c r="M91">
        <v>69</v>
      </c>
      <c r="N91">
        <v>0.33</v>
      </c>
      <c r="O91">
        <v>20815</v>
      </c>
    </row>
    <row r="92" spans="1:15" x14ac:dyDescent="0.2">
      <c r="A92">
        <v>10</v>
      </c>
      <c r="B92" t="str">
        <f>VLOOKUP(Table1[[#This Row],[CountyID]],[1]!Table1[#All],2,FALSE)</f>
        <v>Carver</v>
      </c>
      <c r="C92">
        <f>VLOOKUP(Table1[[#This Row],[CountyID]],[1]!Table1[#All],3,FALSE)</f>
        <v>38</v>
      </c>
      <c r="D92">
        <v>38</v>
      </c>
      <c r="E92">
        <f>Table1[[#This Row],[Number of Counties]]-Table1[[#This Row],[Number of precincts Reporting]]</f>
        <v>0</v>
      </c>
      <c r="F92" t="s">
        <v>0</v>
      </c>
      <c r="G92" t="s">
        <v>1</v>
      </c>
      <c r="H92">
        <v>101</v>
      </c>
      <c r="I92">
        <v>101</v>
      </c>
      <c r="J92" t="s">
        <v>2</v>
      </c>
      <c r="K92" t="s">
        <v>3</v>
      </c>
      <c r="L92">
        <v>38</v>
      </c>
      <c r="M92">
        <v>35586</v>
      </c>
      <c r="N92">
        <v>51.45</v>
      </c>
      <c r="O92">
        <v>69160</v>
      </c>
    </row>
    <row r="93" spans="1:15" x14ac:dyDescent="0.2">
      <c r="A93">
        <v>10</v>
      </c>
      <c r="B93" t="str">
        <f>VLOOKUP(Table1[[#This Row],[CountyID]],[1]!Table1[#All],2,FALSE)</f>
        <v>Carver</v>
      </c>
      <c r="C93">
        <f>VLOOKUP(Table1[[#This Row],[CountyID]],[1]!Table1[#All],3,FALSE)</f>
        <v>38</v>
      </c>
      <c r="D93">
        <v>38</v>
      </c>
      <c r="E93">
        <f>Table1[[#This Row],[Number of Counties]]-Table1[[#This Row],[Number of precincts Reporting]]</f>
        <v>0</v>
      </c>
      <c r="F93" t="s">
        <v>0</v>
      </c>
      <c r="G93" t="s">
        <v>1</v>
      </c>
      <c r="H93">
        <v>101</v>
      </c>
      <c r="I93">
        <v>201</v>
      </c>
      <c r="J93" t="s">
        <v>4</v>
      </c>
      <c r="K93" t="s">
        <v>5</v>
      </c>
      <c r="L93">
        <v>38</v>
      </c>
      <c r="M93">
        <v>31869</v>
      </c>
      <c r="N93">
        <v>46.08</v>
      </c>
      <c r="O93">
        <v>69160</v>
      </c>
    </row>
    <row r="94" spans="1:15" x14ac:dyDescent="0.2">
      <c r="A94">
        <v>10</v>
      </c>
      <c r="B94" t="str">
        <f>VLOOKUP(Table1[[#This Row],[CountyID]],[1]!Table1[#All],2,FALSE)</f>
        <v>Carver</v>
      </c>
      <c r="C94">
        <f>VLOOKUP(Table1[[#This Row],[CountyID]],[1]!Table1[#All],3,FALSE)</f>
        <v>38</v>
      </c>
      <c r="D94">
        <v>38</v>
      </c>
      <c r="E94">
        <f>Table1[[#This Row],[Number of Counties]]-Table1[[#This Row],[Number of precincts Reporting]]</f>
        <v>0</v>
      </c>
      <c r="F94" t="s">
        <v>0</v>
      </c>
      <c r="G94" t="s">
        <v>1</v>
      </c>
      <c r="H94">
        <v>101</v>
      </c>
      <c r="I94">
        <v>301</v>
      </c>
      <c r="J94" t="s">
        <v>6</v>
      </c>
      <c r="K94" t="s">
        <v>7</v>
      </c>
      <c r="L94">
        <v>38</v>
      </c>
      <c r="M94">
        <v>413</v>
      </c>
      <c r="N94">
        <v>0.6</v>
      </c>
      <c r="O94">
        <v>69160</v>
      </c>
    </row>
    <row r="95" spans="1:15" x14ac:dyDescent="0.2">
      <c r="A95">
        <v>10</v>
      </c>
      <c r="B95" t="str">
        <f>VLOOKUP(Table1[[#This Row],[CountyID]],[1]!Table1[#All],2,FALSE)</f>
        <v>Carver</v>
      </c>
      <c r="C95">
        <f>VLOOKUP(Table1[[#This Row],[CountyID]],[1]!Table1[#All],3,FALSE)</f>
        <v>38</v>
      </c>
      <c r="D95">
        <v>38</v>
      </c>
      <c r="E95">
        <f>Table1[[#This Row],[Number of Counties]]-Table1[[#This Row],[Number of precincts Reporting]]</f>
        <v>0</v>
      </c>
      <c r="F95" t="s">
        <v>0</v>
      </c>
      <c r="G95" t="s">
        <v>1</v>
      </c>
      <c r="H95">
        <v>101</v>
      </c>
      <c r="I95">
        <v>401</v>
      </c>
      <c r="J95" t="s">
        <v>8</v>
      </c>
      <c r="K95" t="s">
        <v>9</v>
      </c>
      <c r="L95">
        <v>38</v>
      </c>
      <c r="M95">
        <v>561</v>
      </c>
      <c r="N95">
        <v>0.81</v>
      </c>
      <c r="O95">
        <v>69160</v>
      </c>
    </row>
    <row r="96" spans="1:15" x14ac:dyDescent="0.2">
      <c r="A96">
        <v>10</v>
      </c>
      <c r="B96" t="str">
        <f>VLOOKUP(Table1[[#This Row],[CountyID]],[1]!Table1[#All],2,FALSE)</f>
        <v>Carver</v>
      </c>
      <c r="C96">
        <f>VLOOKUP(Table1[[#This Row],[CountyID]],[1]!Table1[#All],3,FALSE)</f>
        <v>38</v>
      </c>
      <c r="D96">
        <v>38</v>
      </c>
      <c r="E96">
        <f>Table1[[#This Row],[Number of Counties]]-Table1[[#This Row],[Number of precincts Reporting]]</f>
        <v>0</v>
      </c>
      <c r="F96" t="s">
        <v>0</v>
      </c>
      <c r="G96" t="s">
        <v>1</v>
      </c>
      <c r="H96">
        <v>101</v>
      </c>
      <c r="I96">
        <v>501</v>
      </c>
      <c r="J96" t="s">
        <v>10</v>
      </c>
      <c r="K96" t="s">
        <v>11</v>
      </c>
      <c r="L96">
        <v>38</v>
      </c>
      <c r="M96">
        <v>262</v>
      </c>
      <c r="N96">
        <v>0.38</v>
      </c>
      <c r="O96">
        <v>69160</v>
      </c>
    </row>
    <row r="97" spans="1:15" x14ac:dyDescent="0.2">
      <c r="A97">
        <v>10</v>
      </c>
      <c r="B97" t="str">
        <f>VLOOKUP(Table1[[#This Row],[CountyID]],[1]!Table1[#All],2,FALSE)</f>
        <v>Carver</v>
      </c>
      <c r="C97">
        <f>VLOOKUP(Table1[[#This Row],[CountyID]],[1]!Table1[#All],3,FALSE)</f>
        <v>38</v>
      </c>
      <c r="D97">
        <v>38</v>
      </c>
      <c r="E97">
        <f>Table1[[#This Row],[Number of Counties]]-Table1[[#This Row],[Number of precincts Reporting]]</f>
        <v>0</v>
      </c>
      <c r="F97" t="s">
        <v>0</v>
      </c>
      <c r="G97" t="s">
        <v>1</v>
      </c>
      <c r="H97">
        <v>101</v>
      </c>
      <c r="I97">
        <v>601</v>
      </c>
      <c r="J97" t="s">
        <v>12</v>
      </c>
      <c r="K97" t="s">
        <v>13</v>
      </c>
      <c r="L97">
        <v>38</v>
      </c>
      <c r="M97">
        <v>23</v>
      </c>
      <c r="N97">
        <v>0.03</v>
      </c>
      <c r="O97">
        <v>69160</v>
      </c>
    </row>
    <row r="98" spans="1:15" x14ac:dyDescent="0.2">
      <c r="A98">
        <v>10</v>
      </c>
      <c r="B98" t="str">
        <f>VLOOKUP(Table1[[#This Row],[CountyID]],[1]!Table1[#All],2,FALSE)</f>
        <v>Carver</v>
      </c>
      <c r="C98">
        <f>VLOOKUP(Table1[[#This Row],[CountyID]],[1]!Table1[#All],3,FALSE)</f>
        <v>38</v>
      </c>
      <c r="D98">
        <v>38</v>
      </c>
      <c r="E98">
        <f>Table1[[#This Row],[Number of Counties]]-Table1[[#This Row],[Number of precincts Reporting]]</f>
        <v>0</v>
      </c>
      <c r="F98" t="s">
        <v>0</v>
      </c>
      <c r="G98" t="s">
        <v>1</v>
      </c>
      <c r="H98">
        <v>101</v>
      </c>
      <c r="I98">
        <v>701</v>
      </c>
      <c r="J98" t="s">
        <v>14</v>
      </c>
      <c r="K98" t="s">
        <v>15</v>
      </c>
      <c r="L98">
        <v>38</v>
      </c>
      <c r="M98">
        <v>7</v>
      </c>
      <c r="N98">
        <v>0.01</v>
      </c>
      <c r="O98">
        <v>69160</v>
      </c>
    </row>
    <row r="99" spans="1:15" x14ac:dyDescent="0.2">
      <c r="A99">
        <v>10</v>
      </c>
      <c r="B99" t="str">
        <f>VLOOKUP(Table1[[#This Row],[CountyID]],[1]!Table1[#All],2,FALSE)</f>
        <v>Carver</v>
      </c>
      <c r="C99">
        <f>VLOOKUP(Table1[[#This Row],[CountyID]],[1]!Table1[#All],3,FALSE)</f>
        <v>38</v>
      </c>
      <c r="D99">
        <v>38</v>
      </c>
      <c r="E99">
        <f>Table1[[#This Row],[Number of Counties]]-Table1[[#This Row],[Number of precincts Reporting]]</f>
        <v>0</v>
      </c>
      <c r="F99" t="s">
        <v>0</v>
      </c>
      <c r="G99" t="s">
        <v>1</v>
      </c>
      <c r="H99">
        <v>101</v>
      </c>
      <c r="I99">
        <v>801</v>
      </c>
      <c r="J99" t="s">
        <v>16</v>
      </c>
      <c r="K99" t="s">
        <v>17</v>
      </c>
      <c r="L99">
        <v>38</v>
      </c>
      <c r="M99">
        <v>30</v>
      </c>
      <c r="N99">
        <v>0.04</v>
      </c>
      <c r="O99">
        <v>69160</v>
      </c>
    </row>
    <row r="100" spans="1:15" x14ac:dyDescent="0.2">
      <c r="A100">
        <v>10</v>
      </c>
      <c r="B100" t="str">
        <f>VLOOKUP(Table1[[#This Row],[CountyID]],[1]!Table1[#All],2,FALSE)</f>
        <v>Carver</v>
      </c>
      <c r="C100">
        <f>VLOOKUP(Table1[[#This Row],[CountyID]],[1]!Table1[#All],3,FALSE)</f>
        <v>38</v>
      </c>
      <c r="D100">
        <v>38</v>
      </c>
      <c r="E100">
        <f>Table1[[#This Row],[Number of Counties]]-Table1[[#This Row],[Number of precincts Reporting]]</f>
        <v>0</v>
      </c>
      <c r="F100" t="s">
        <v>0</v>
      </c>
      <c r="G100" t="s">
        <v>1</v>
      </c>
      <c r="H100">
        <v>101</v>
      </c>
      <c r="I100">
        <v>901</v>
      </c>
      <c r="J100" t="s">
        <v>18</v>
      </c>
      <c r="K100" t="s">
        <v>19</v>
      </c>
      <c r="L100">
        <v>38</v>
      </c>
      <c r="M100">
        <v>53</v>
      </c>
      <c r="N100">
        <v>0.08</v>
      </c>
      <c r="O100">
        <v>69160</v>
      </c>
    </row>
    <row r="101" spans="1:15" x14ac:dyDescent="0.2">
      <c r="A101">
        <v>10</v>
      </c>
      <c r="B101" t="str">
        <f>VLOOKUP(Table1[[#This Row],[CountyID]],[1]!Table1[#All],2,FALSE)</f>
        <v>Carver</v>
      </c>
      <c r="C101">
        <f>VLOOKUP(Table1[[#This Row],[CountyID]],[1]!Table1[#All],3,FALSE)</f>
        <v>38</v>
      </c>
      <c r="D101">
        <v>38</v>
      </c>
      <c r="E101">
        <f>Table1[[#This Row],[Number of Counties]]-Table1[[#This Row],[Number of precincts Reporting]]</f>
        <v>0</v>
      </c>
      <c r="F101" t="s">
        <v>0</v>
      </c>
      <c r="G101" t="s">
        <v>1</v>
      </c>
      <c r="H101">
        <v>101</v>
      </c>
      <c r="I101">
        <v>9901</v>
      </c>
      <c r="J101" t="s">
        <v>20</v>
      </c>
      <c r="K101" t="s">
        <v>21</v>
      </c>
      <c r="L101">
        <v>38</v>
      </c>
      <c r="M101">
        <v>356</v>
      </c>
      <c r="N101">
        <v>0.51</v>
      </c>
      <c r="O101">
        <v>69160</v>
      </c>
    </row>
    <row r="102" spans="1:15" x14ac:dyDescent="0.2">
      <c r="A102">
        <v>11</v>
      </c>
      <c r="B102" t="str">
        <f>VLOOKUP(Table1[[#This Row],[CountyID]],[1]!Table1[#All],2,FALSE)</f>
        <v>Cass</v>
      </c>
      <c r="C102">
        <f>VLOOKUP(Table1[[#This Row],[CountyID]],[1]!Table1[#All],3,FALSE)</f>
        <v>71</v>
      </c>
      <c r="D102">
        <v>71</v>
      </c>
      <c r="E102">
        <f>Table1[[#This Row],[Number of Counties]]-Table1[[#This Row],[Number of precincts Reporting]]</f>
        <v>0</v>
      </c>
      <c r="F102" t="s">
        <v>0</v>
      </c>
      <c r="G102" t="s">
        <v>1</v>
      </c>
      <c r="H102">
        <v>101</v>
      </c>
      <c r="I102">
        <v>101</v>
      </c>
      <c r="J102" t="s">
        <v>2</v>
      </c>
      <c r="K102" t="s">
        <v>3</v>
      </c>
      <c r="L102">
        <v>71</v>
      </c>
      <c r="M102">
        <v>12759</v>
      </c>
      <c r="N102">
        <v>65.89</v>
      </c>
      <c r="O102">
        <v>19363</v>
      </c>
    </row>
    <row r="103" spans="1:15" x14ac:dyDescent="0.2">
      <c r="A103">
        <v>11</v>
      </c>
      <c r="B103" t="str">
        <f>VLOOKUP(Table1[[#This Row],[CountyID]],[1]!Table1[#All],2,FALSE)</f>
        <v>Cass</v>
      </c>
      <c r="C103">
        <f>VLOOKUP(Table1[[#This Row],[CountyID]],[1]!Table1[#All],3,FALSE)</f>
        <v>71</v>
      </c>
      <c r="D103">
        <v>71</v>
      </c>
      <c r="E103">
        <f>Table1[[#This Row],[Number of Counties]]-Table1[[#This Row],[Number of precincts Reporting]]</f>
        <v>0</v>
      </c>
      <c r="F103" t="s">
        <v>0</v>
      </c>
      <c r="G103" t="s">
        <v>1</v>
      </c>
      <c r="H103">
        <v>101</v>
      </c>
      <c r="I103">
        <v>201</v>
      </c>
      <c r="J103" t="s">
        <v>4</v>
      </c>
      <c r="K103" t="s">
        <v>5</v>
      </c>
      <c r="L103">
        <v>71</v>
      </c>
      <c r="M103">
        <v>6300</v>
      </c>
      <c r="N103">
        <v>32.54</v>
      </c>
      <c r="O103">
        <v>19363</v>
      </c>
    </row>
    <row r="104" spans="1:15" x14ac:dyDescent="0.2">
      <c r="A104">
        <v>11</v>
      </c>
      <c r="B104" t="str">
        <f>VLOOKUP(Table1[[#This Row],[CountyID]],[1]!Table1[#All],2,FALSE)</f>
        <v>Cass</v>
      </c>
      <c r="C104">
        <f>VLOOKUP(Table1[[#This Row],[CountyID]],[1]!Table1[#All],3,FALSE)</f>
        <v>71</v>
      </c>
      <c r="D104">
        <v>71</v>
      </c>
      <c r="E104">
        <f>Table1[[#This Row],[Number of Counties]]-Table1[[#This Row],[Number of precincts Reporting]]</f>
        <v>0</v>
      </c>
      <c r="F104" t="s">
        <v>0</v>
      </c>
      <c r="G104" t="s">
        <v>1</v>
      </c>
      <c r="H104">
        <v>101</v>
      </c>
      <c r="I104">
        <v>301</v>
      </c>
      <c r="J104" t="s">
        <v>6</v>
      </c>
      <c r="K104" t="s">
        <v>7</v>
      </c>
      <c r="L104">
        <v>71</v>
      </c>
      <c r="M104">
        <v>54</v>
      </c>
      <c r="N104">
        <v>0.28000000000000003</v>
      </c>
      <c r="O104">
        <v>19363</v>
      </c>
    </row>
    <row r="105" spans="1:15" x14ac:dyDescent="0.2">
      <c r="A105">
        <v>11</v>
      </c>
      <c r="B105" t="str">
        <f>VLOOKUP(Table1[[#This Row],[CountyID]],[1]!Table1[#All],2,FALSE)</f>
        <v>Cass</v>
      </c>
      <c r="C105">
        <f>VLOOKUP(Table1[[#This Row],[CountyID]],[1]!Table1[#All],3,FALSE)</f>
        <v>71</v>
      </c>
      <c r="D105">
        <v>71</v>
      </c>
      <c r="E105">
        <f>Table1[[#This Row],[Number of Counties]]-Table1[[#This Row],[Number of precincts Reporting]]</f>
        <v>0</v>
      </c>
      <c r="F105" t="s">
        <v>0</v>
      </c>
      <c r="G105" t="s">
        <v>1</v>
      </c>
      <c r="H105">
        <v>101</v>
      </c>
      <c r="I105">
        <v>401</v>
      </c>
      <c r="J105" t="s">
        <v>8</v>
      </c>
      <c r="K105" t="s">
        <v>9</v>
      </c>
      <c r="L105">
        <v>71</v>
      </c>
      <c r="M105">
        <v>145</v>
      </c>
      <c r="N105">
        <v>0.75</v>
      </c>
      <c r="O105">
        <v>19363</v>
      </c>
    </row>
    <row r="106" spans="1:15" x14ac:dyDescent="0.2">
      <c r="A106">
        <v>11</v>
      </c>
      <c r="B106" t="str">
        <f>VLOOKUP(Table1[[#This Row],[CountyID]],[1]!Table1[#All],2,FALSE)</f>
        <v>Cass</v>
      </c>
      <c r="C106">
        <f>VLOOKUP(Table1[[#This Row],[CountyID]],[1]!Table1[#All],3,FALSE)</f>
        <v>71</v>
      </c>
      <c r="D106">
        <v>71</v>
      </c>
      <c r="E106">
        <f>Table1[[#This Row],[Number of Counties]]-Table1[[#This Row],[Number of precincts Reporting]]</f>
        <v>0</v>
      </c>
      <c r="F106" t="s">
        <v>0</v>
      </c>
      <c r="G106" t="s">
        <v>1</v>
      </c>
      <c r="H106">
        <v>101</v>
      </c>
      <c r="I106">
        <v>501</v>
      </c>
      <c r="J106" t="s">
        <v>10</v>
      </c>
      <c r="K106" t="s">
        <v>11</v>
      </c>
      <c r="L106">
        <v>71</v>
      </c>
      <c r="M106">
        <v>34</v>
      </c>
      <c r="N106">
        <v>0.18</v>
      </c>
      <c r="O106">
        <v>19363</v>
      </c>
    </row>
    <row r="107" spans="1:15" x14ac:dyDescent="0.2">
      <c r="A107">
        <v>11</v>
      </c>
      <c r="B107" t="str">
        <f>VLOOKUP(Table1[[#This Row],[CountyID]],[1]!Table1[#All],2,FALSE)</f>
        <v>Cass</v>
      </c>
      <c r="C107">
        <f>VLOOKUP(Table1[[#This Row],[CountyID]],[1]!Table1[#All],3,FALSE)</f>
        <v>71</v>
      </c>
      <c r="D107">
        <v>71</v>
      </c>
      <c r="E107">
        <f>Table1[[#This Row],[Number of Counties]]-Table1[[#This Row],[Number of precincts Reporting]]</f>
        <v>0</v>
      </c>
      <c r="F107" t="s">
        <v>0</v>
      </c>
      <c r="G107" t="s">
        <v>1</v>
      </c>
      <c r="H107">
        <v>101</v>
      </c>
      <c r="I107">
        <v>601</v>
      </c>
      <c r="J107" t="s">
        <v>12</v>
      </c>
      <c r="K107" t="s">
        <v>13</v>
      </c>
      <c r="L107">
        <v>71</v>
      </c>
      <c r="M107">
        <v>3</v>
      </c>
      <c r="N107">
        <v>0.02</v>
      </c>
      <c r="O107">
        <v>19363</v>
      </c>
    </row>
    <row r="108" spans="1:15" x14ac:dyDescent="0.2">
      <c r="A108">
        <v>11</v>
      </c>
      <c r="B108" t="str">
        <f>VLOOKUP(Table1[[#This Row],[CountyID]],[1]!Table1[#All],2,FALSE)</f>
        <v>Cass</v>
      </c>
      <c r="C108">
        <f>VLOOKUP(Table1[[#This Row],[CountyID]],[1]!Table1[#All],3,FALSE)</f>
        <v>71</v>
      </c>
      <c r="D108">
        <v>71</v>
      </c>
      <c r="E108">
        <f>Table1[[#This Row],[Number of Counties]]-Table1[[#This Row],[Number of precincts Reporting]]</f>
        <v>0</v>
      </c>
      <c r="F108" t="s">
        <v>0</v>
      </c>
      <c r="G108" t="s">
        <v>1</v>
      </c>
      <c r="H108">
        <v>101</v>
      </c>
      <c r="I108">
        <v>701</v>
      </c>
      <c r="J108" t="s">
        <v>14</v>
      </c>
      <c r="K108" t="s">
        <v>15</v>
      </c>
      <c r="L108">
        <v>71</v>
      </c>
      <c r="M108">
        <v>0</v>
      </c>
      <c r="N108">
        <v>0</v>
      </c>
      <c r="O108">
        <v>19363</v>
      </c>
    </row>
    <row r="109" spans="1:15" x14ac:dyDescent="0.2">
      <c r="A109">
        <v>11</v>
      </c>
      <c r="B109" t="str">
        <f>VLOOKUP(Table1[[#This Row],[CountyID]],[1]!Table1[#All],2,FALSE)</f>
        <v>Cass</v>
      </c>
      <c r="C109">
        <f>VLOOKUP(Table1[[#This Row],[CountyID]],[1]!Table1[#All],3,FALSE)</f>
        <v>71</v>
      </c>
      <c r="D109">
        <v>71</v>
      </c>
      <c r="E109">
        <f>Table1[[#This Row],[Number of Counties]]-Table1[[#This Row],[Number of precincts Reporting]]</f>
        <v>0</v>
      </c>
      <c r="F109" t="s">
        <v>0</v>
      </c>
      <c r="G109" t="s">
        <v>1</v>
      </c>
      <c r="H109">
        <v>101</v>
      </c>
      <c r="I109">
        <v>801</v>
      </c>
      <c r="J109" t="s">
        <v>16</v>
      </c>
      <c r="K109" t="s">
        <v>17</v>
      </c>
      <c r="L109">
        <v>71</v>
      </c>
      <c r="M109">
        <v>11</v>
      </c>
      <c r="N109">
        <v>0.06</v>
      </c>
      <c r="O109">
        <v>19363</v>
      </c>
    </row>
    <row r="110" spans="1:15" x14ac:dyDescent="0.2">
      <c r="A110">
        <v>11</v>
      </c>
      <c r="B110" t="str">
        <f>VLOOKUP(Table1[[#This Row],[CountyID]],[1]!Table1[#All],2,FALSE)</f>
        <v>Cass</v>
      </c>
      <c r="C110">
        <f>VLOOKUP(Table1[[#This Row],[CountyID]],[1]!Table1[#All],3,FALSE)</f>
        <v>71</v>
      </c>
      <c r="D110">
        <v>71</v>
      </c>
      <c r="E110">
        <f>Table1[[#This Row],[Number of Counties]]-Table1[[#This Row],[Number of precincts Reporting]]</f>
        <v>0</v>
      </c>
      <c r="F110" t="s">
        <v>0</v>
      </c>
      <c r="G110" t="s">
        <v>1</v>
      </c>
      <c r="H110">
        <v>101</v>
      </c>
      <c r="I110">
        <v>901</v>
      </c>
      <c r="J110" t="s">
        <v>18</v>
      </c>
      <c r="K110" t="s">
        <v>19</v>
      </c>
      <c r="L110">
        <v>71</v>
      </c>
      <c r="M110">
        <v>10</v>
      </c>
      <c r="N110">
        <v>0.05</v>
      </c>
      <c r="O110">
        <v>19363</v>
      </c>
    </row>
    <row r="111" spans="1:15" x14ac:dyDescent="0.2">
      <c r="A111">
        <v>11</v>
      </c>
      <c r="B111" t="str">
        <f>VLOOKUP(Table1[[#This Row],[CountyID]],[1]!Table1[#All],2,FALSE)</f>
        <v>Cass</v>
      </c>
      <c r="C111">
        <f>VLOOKUP(Table1[[#This Row],[CountyID]],[1]!Table1[#All],3,FALSE)</f>
        <v>71</v>
      </c>
      <c r="D111">
        <v>71</v>
      </c>
      <c r="E111">
        <f>Table1[[#This Row],[Number of Counties]]-Table1[[#This Row],[Number of precincts Reporting]]</f>
        <v>0</v>
      </c>
      <c r="F111" t="s">
        <v>0</v>
      </c>
      <c r="G111" t="s">
        <v>1</v>
      </c>
      <c r="H111">
        <v>101</v>
      </c>
      <c r="I111">
        <v>9901</v>
      </c>
      <c r="J111" t="s">
        <v>20</v>
      </c>
      <c r="K111" t="s">
        <v>21</v>
      </c>
      <c r="L111">
        <v>71</v>
      </c>
      <c r="M111">
        <v>47</v>
      </c>
      <c r="N111">
        <v>0.24</v>
      </c>
      <c r="O111">
        <v>19363</v>
      </c>
    </row>
    <row r="112" spans="1:15" x14ac:dyDescent="0.2">
      <c r="A112">
        <v>12</v>
      </c>
      <c r="B112" t="str">
        <f>VLOOKUP(Table1[[#This Row],[CountyID]],[1]!Table1[#All],2,FALSE)</f>
        <v>Chippewa</v>
      </c>
      <c r="C112">
        <f>VLOOKUP(Table1[[#This Row],[CountyID]],[1]!Table1[#All],3,FALSE)</f>
        <v>25</v>
      </c>
      <c r="D112">
        <v>25</v>
      </c>
      <c r="E112">
        <f>Table1[[#This Row],[Number of Counties]]-Table1[[#This Row],[Number of precincts Reporting]]</f>
        <v>0</v>
      </c>
      <c r="F112" t="s">
        <v>0</v>
      </c>
      <c r="G112" t="s">
        <v>1</v>
      </c>
      <c r="H112">
        <v>101</v>
      </c>
      <c r="I112">
        <v>101</v>
      </c>
      <c r="J112" t="s">
        <v>2</v>
      </c>
      <c r="K112" t="s">
        <v>3</v>
      </c>
      <c r="L112">
        <v>25</v>
      </c>
      <c r="M112">
        <v>4175</v>
      </c>
      <c r="N112">
        <v>66.08</v>
      </c>
      <c r="O112">
        <v>6318</v>
      </c>
    </row>
    <row r="113" spans="1:15" x14ac:dyDescent="0.2">
      <c r="A113">
        <v>12</v>
      </c>
      <c r="B113" t="str">
        <f>VLOOKUP(Table1[[#This Row],[CountyID]],[1]!Table1[#All],2,FALSE)</f>
        <v>Chippewa</v>
      </c>
      <c r="C113">
        <f>VLOOKUP(Table1[[#This Row],[CountyID]],[1]!Table1[#All],3,FALSE)</f>
        <v>25</v>
      </c>
      <c r="D113">
        <v>25</v>
      </c>
      <c r="E113">
        <f>Table1[[#This Row],[Number of Counties]]-Table1[[#This Row],[Number of precincts Reporting]]</f>
        <v>0</v>
      </c>
      <c r="F113" t="s">
        <v>0</v>
      </c>
      <c r="G113" t="s">
        <v>1</v>
      </c>
      <c r="H113">
        <v>101</v>
      </c>
      <c r="I113">
        <v>201</v>
      </c>
      <c r="J113" t="s">
        <v>4</v>
      </c>
      <c r="K113" t="s">
        <v>5</v>
      </c>
      <c r="L113">
        <v>25</v>
      </c>
      <c r="M113">
        <v>2026</v>
      </c>
      <c r="N113">
        <v>32.07</v>
      </c>
      <c r="O113">
        <v>6318</v>
      </c>
    </row>
    <row r="114" spans="1:15" x14ac:dyDescent="0.2">
      <c r="A114">
        <v>12</v>
      </c>
      <c r="B114" t="str">
        <f>VLOOKUP(Table1[[#This Row],[CountyID]],[1]!Table1[#All],2,FALSE)</f>
        <v>Chippewa</v>
      </c>
      <c r="C114">
        <f>VLOOKUP(Table1[[#This Row],[CountyID]],[1]!Table1[#All],3,FALSE)</f>
        <v>25</v>
      </c>
      <c r="D114">
        <v>25</v>
      </c>
      <c r="E114">
        <f>Table1[[#This Row],[Number of Counties]]-Table1[[#This Row],[Number of precincts Reporting]]</f>
        <v>0</v>
      </c>
      <c r="F114" t="s">
        <v>0</v>
      </c>
      <c r="G114" t="s">
        <v>1</v>
      </c>
      <c r="H114">
        <v>101</v>
      </c>
      <c r="I114">
        <v>301</v>
      </c>
      <c r="J114" t="s">
        <v>6</v>
      </c>
      <c r="K114" t="s">
        <v>7</v>
      </c>
      <c r="L114">
        <v>25</v>
      </c>
      <c r="M114">
        <v>16</v>
      </c>
      <c r="N114">
        <v>0.25</v>
      </c>
      <c r="O114">
        <v>6318</v>
      </c>
    </row>
    <row r="115" spans="1:15" x14ac:dyDescent="0.2">
      <c r="A115">
        <v>12</v>
      </c>
      <c r="B115" t="str">
        <f>VLOOKUP(Table1[[#This Row],[CountyID]],[1]!Table1[#All],2,FALSE)</f>
        <v>Chippewa</v>
      </c>
      <c r="C115">
        <f>VLOOKUP(Table1[[#This Row],[CountyID]],[1]!Table1[#All],3,FALSE)</f>
        <v>25</v>
      </c>
      <c r="D115">
        <v>25</v>
      </c>
      <c r="E115">
        <f>Table1[[#This Row],[Number of Counties]]-Table1[[#This Row],[Number of precincts Reporting]]</f>
        <v>0</v>
      </c>
      <c r="F115" t="s">
        <v>0</v>
      </c>
      <c r="G115" t="s">
        <v>1</v>
      </c>
      <c r="H115">
        <v>101</v>
      </c>
      <c r="I115">
        <v>401</v>
      </c>
      <c r="J115" t="s">
        <v>8</v>
      </c>
      <c r="K115" t="s">
        <v>9</v>
      </c>
      <c r="L115">
        <v>25</v>
      </c>
      <c r="M115">
        <v>57</v>
      </c>
      <c r="N115">
        <v>0.9</v>
      </c>
      <c r="O115">
        <v>6318</v>
      </c>
    </row>
    <row r="116" spans="1:15" x14ac:dyDescent="0.2">
      <c r="A116">
        <v>12</v>
      </c>
      <c r="B116" t="str">
        <f>VLOOKUP(Table1[[#This Row],[CountyID]],[1]!Table1[#All],2,FALSE)</f>
        <v>Chippewa</v>
      </c>
      <c r="C116">
        <f>VLOOKUP(Table1[[#This Row],[CountyID]],[1]!Table1[#All],3,FALSE)</f>
        <v>25</v>
      </c>
      <c r="D116">
        <v>25</v>
      </c>
      <c r="E116">
        <f>Table1[[#This Row],[Number of Counties]]-Table1[[#This Row],[Number of precincts Reporting]]</f>
        <v>0</v>
      </c>
      <c r="F116" t="s">
        <v>0</v>
      </c>
      <c r="G116" t="s">
        <v>1</v>
      </c>
      <c r="H116">
        <v>101</v>
      </c>
      <c r="I116">
        <v>501</v>
      </c>
      <c r="J116" t="s">
        <v>10</v>
      </c>
      <c r="K116" t="s">
        <v>11</v>
      </c>
      <c r="L116">
        <v>25</v>
      </c>
      <c r="M116">
        <v>11</v>
      </c>
      <c r="N116">
        <v>0.17</v>
      </c>
      <c r="O116">
        <v>6318</v>
      </c>
    </row>
    <row r="117" spans="1:15" x14ac:dyDescent="0.2">
      <c r="A117">
        <v>12</v>
      </c>
      <c r="B117" t="str">
        <f>VLOOKUP(Table1[[#This Row],[CountyID]],[1]!Table1[#All],2,FALSE)</f>
        <v>Chippewa</v>
      </c>
      <c r="C117">
        <f>VLOOKUP(Table1[[#This Row],[CountyID]],[1]!Table1[#All],3,FALSE)</f>
        <v>25</v>
      </c>
      <c r="D117">
        <v>25</v>
      </c>
      <c r="E117">
        <f>Table1[[#This Row],[Number of Counties]]-Table1[[#This Row],[Number of precincts Reporting]]</f>
        <v>0</v>
      </c>
      <c r="F117" t="s">
        <v>0</v>
      </c>
      <c r="G117" t="s">
        <v>1</v>
      </c>
      <c r="H117">
        <v>101</v>
      </c>
      <c r="I117">
        <v>601</v>
      </c>
      <c r="J117" t="s">
        <v>12</v>
      </c>
      <c r="K117" t="s">
        <v>13</v>
      </c>
      <c r="L117">
        <v>25</v>
      </c>
      <c r="M117">
        <v>4</v>
      </c>
      <c r="N117">
        <v>0.06</v>
      </c>
      <c r="O117">
        <v>6318</v>
      </c>
    </row>
    <row r="118" spans="1:15" x14ac:dyDescent="0.2">
      <c r="A118">
        <v>12</v>
      </c>
      <c r="B118" t="str">
        <f>VLOOKUP(Table1[[#This Row],[CountyID]],[1]!Table1[#All],2,FALSE)</f>
        <v>Chippewa</v>
      </c>
      <c r="C118">
        <f>VLOOKUP(Table1[[#This Row],[CountyID]],[1]!Table1[#All],3,FALSE)</f>
        <v>25</v>
      </c>
      <c r="D118">
        <v>25</v>
      </c>
      <c r="E118">
        <f>Table1[[#This Row],[Number of Counties]]-Table1[[#This Row],[Number of precincts Reporting]]</f>
        <v>0</v>
      </c>
      <c r="F118" t="s">
        <v>0</v>
      </c>
      <c r="G118" t="s">
        <v>1</v>
      </c>
      <c r="H118">
        <v>101</v>
      </c>
      <c r="I118">
        <v>701</v>
      </c>
      <c r="J118" t="s">
        <v>14</v>
      </c>
      <c r="K118" t="s">
        <v>15</v>
      </c>
      <c r="L118">
        <v>25</v>
      </c>
      <c r="M118">
        <v>0</v>
      </c>
      <c r="N118">
        <v>0</v>
      </c>
      <c r="O118">
        <v>6318</v>
      </c>
    </row>
    <row r="119" spans="1:15" x14ac:dyDescent="0.2">
      <c r="A119">
        <v>12</v>
      </c>
      <c r="B119" t="str">
        <f>VLOOKUP(Table1[[#This Row],[CountyID]],[1]!Table1[#All],2,FALSE)</f>
        <v>Chippewa</v>
      </c>
      <c r="C119">
        <f>VLOOKUP(Table1[[#This Row],[CountyID]],[1]!Table1[#All],3,FALSE)</f>
        <v>25</v>
      </c>
      <c r="D119">
        <v>25</v>
      </c>
      <c r="E119">
        <f>Table1[[#This Row],[Number of Counties]]-Table1[[#This Row],[Number of precincts Reporting]]</f>
        <v>0</v>
      </c>
      <c r="F119" t="s">
        <v>0</v>
      </c>
      <c r="G119" t="s">
        <v>1</v>
      </c>
      <c r="H119">
        <v>101</v>
      </c>
      <c r="I119">
        <v>801</v>
      </c>
      <c r="J119" t="s">
        <v>16</v>
      </c>
      <c r="K119" t="s">
        <v>17</v>
      </c>
      <c r="L119">
        <v>25</v>
      </c>
      <c r="M119">
        <v>4</v>
      </c>
      <c r="N119">
        <v>0.06</v>
      </c>
      <c r="O119">
        <v>6318</v>
      </c>
    </row>
    <row r="120" spans="1:15" x14ac:dyDescent="0.2">
      <c r="A120">
        <v>12</v>
      </c>
      <c r="B120" t="str">
        <f>VLOOKUP(Table1[[#This Row],[CountyID]],[1]!Table1[#All],2,FALSE)</f>
        <v>Chippewa</v>
      </c>
      <c r="C120">
        <f>VLOOKUP(Table1[[#This Row],[CountyID]],[1]!Table1[#All],3,FALSE)</f>
        <v>25</v>
      </c>
      <c r="D120">
        <v>25</v>
      </c>
      <c r="E120">
        <f>Table1[[#This Row],[Number of Counties]]-Table1[[#This Row],[Number of precincts Reporting]]</f>
        <v>0</v>
      </c>
      <c r="F120" t="s">
        <v>0</v>
      </c>
      <c r="G120" t="s">
        <v>1</v>
      </c>
      <c r="H120">
        <v>101</v>
      </c>
      <c r="I120">
        <v>901</v>
      </c>
      <c r="J120" t="s">
        <v>18</v>
      </c>
      <c r="K120" t="s">
        <v>19</v>
      </c>
      <c r="L120">
        <v>25</v>
      </c>
      <c r="M120">
        <v>7</v>
      </c>
      <c r="N120">
        <v>0.11</v>
      </c>
      <c r="O120">
        <v>6318</v>
      </c>
    </row>
    <row r="121" spans="1:15" x14ac:dyDescent="0.2">
      <c r="A121">
        <v>12</v>
      </c>
      <c r="B121" t="str">
        <f>VLOOKUP(Table1[[#This Row],[CountyID]],[1]!Table1[#All],2,FALSE)</f>
        <v>Chippewa</v>
      </c>
      <c r="C121">
        <f>VLOOKUP(Table1[[#This Row],[CountyID]],[1]!Table1[#All],3,FALSE)</f>
        <v>25</v>
      </c>
      <c r="D121">
        <v>25</v>
      </c>
      <c r="E121">
        <f>Table1[[#This Row],[Number of Counties]]-Table1[[#This Row],[Number of precincts Reporting]]</f>
        <v>0</v>
      </c>
      <c r="F121" t="s">
        <v>0</v>
      </c>
      <c r="G121" t="s">
        <v>1</v>
      </c>
      <c r="H121">
        <v>101</v>
      </c>
      <c r="I121">
        <v>9901</v>
      </c>
      <c r="J121" t="s">
        <v>20</v>
      </c>
      <c r="K121" t="s">
        <v>21</v>
      </c>
      <c r="L121">
        <v>25</v>
      </c>
      <c r="M121">
        <v>18</v>
      </c>
      <c r="N121">
        <v>0.28000000000000003</v>
      </c>
      <c r="O121">
        <v>6318</v>
      </c>
    </row>
    <row r="122" spans="1:15" x14ac:dyDescent="0.2">
      <c r="A122">
        <v>13</v>
      </c>
      <c r="B122" t="str">
        <f>VLOOKUP(Table1[[#This Row],[CountyID]],[1]!Table1[#All],2,FALSE)</f>
        <v>Chisago</v>
      </c>
      <c r="C122">
        <f>VLOOKUP(Table1[[#This Row],[CountyID]],[1]!Table1[#All],3,FALSE)</f>
        <v>25</v>
      </c>
      <c r="D122">
        <v>25</v>
      </c>
      <c r="E122">
        <f>Table1[[#This Row],[Number of Counties]]-Table1[[#This Row],[Number of precincts Reporting]]</f>
        <v>0</v>
      </c>
      <c r="F122" t="s">
        <v>0</v>
      </c>
      <c r="G122" t="s">
        <v>1</v>
      </c>
      <c r="H122">
        <v>101</v>
      </c>
      <c r="I122">
        <v>101</v>
      </c>
      <c r="J122" t="s">
        <v>2</v>
      </c>
      <c r="K122" t="s">
        <v>3</v>
      </c>
      <c r="L122">
        <v>25</v>
      </c>
      <c r="M122">
        <v>23047</v>
      </c>
      <c r="N122">
        <v>64.739999999999995</v>
      </c>
      <c r="O122">
        <v>35601</v>
      </c>
    </row>
    <row r="123" spans="1:15" x14ac:dyDescent="0.2">
      <c r="A123">
        <v>13</v>
      </c>
      <c r="B123" t="str">
        <f>VLOOKUP(Table1[[#This Row],[CountyID]],[1]!Table1[#All],2,FALSE)</f>
        <v>Chisago</v>
      </c>
      <c r="C123">
        <f>VLOOKUP(Table1[[#This Row],[CountyID]],[1]!Table1[#All],3,FALSE)</f>
        <v>25</v>
      </c>
      <c r="D123">
        <v>25</v>
      </c>
      <c r="E123">
        <f>Table1[[#This Row],[Number of Counties]]-Table1[[#This Row],[Number of precincts Reporting]]</f>
        <v>0</v>
      </c>
      <c r="F123" t="s">
        <v>0</v>
      </c>
      <c r="G123" t="s">
        <v>1</v>
      </c>
      <c r="H123">
        <v>101</v>
      </c>
      <c r="I123">
        <v>201</v>
      </c>
      <c r="J123" t="s">
        <v>4</v>
      </c>
      <c r="K123" t="s">
        <v>5</v>
      </c>
      <c r="L123">
        <v>25</v>
      </c>
      <c r="M123">
        <v>11894</v>
      </c>
      <c r="N123">
        <v>33.409999999999997</v>
      </c>
      <c r="O123">
        <v>35601</v>
      </c>
    </row>
    <row r="124" spans="1:15" x14ac:dyDescent="0.2">
      <c r="A124">
        <v>13</v>
      </c>
      <c r="B124" t="str">
        <f>VLOOKUP(Table1[[#This Row],[CountyID]],[1]!Table1[#All],2,FALSE)</f>
        <v>Chisago</v>
      </c>
      <c r="C124">
        <f>VLOOKUP(Table1[[#This Row],[CountyID]],[1]!Table1[#All],3,FALSE)</f>
        <v>25</v>
      </c>
      <c r="D124">
        <v>25</v>
      </c>
      <c r="E124">
        <f>Table1[[#This Row],[Number of Counties]]-Table1[[#This Row],[Number of precincts Reporting]]</f>
        <v>0</v>
      </c>
      <c r="F124" t="s">
        <v>0</v>
      </c>
      <c r="G124" t="s">
        <v>1</v>
      </c>
      <c r="H124">
        <v>101</v>
      </c>
      <c r="I124">
        <v>301</v>
      </c>
      <c r="J124" t="s">
        <v>6</v>
      </c>
      <c r="K124" t="s">
        <v>7</v>
      </c>
      <c r="L124">
        <v>25</v>
      </c>
      <c r="M124">
        <v>185</v>
      </c>
      <c r="N124">
        <v>0.52</v>
      </c>
      <c r="O124">
        <v>35601</v>
      </c>
    </row>
    <row r="125" spans="1:15" x14ac:dyDescent="0.2">
      <c r="A125">
        <v>13</v>
      </c>
      <c r="B125" t="str">
        <f>VLOOKUP(Table1[[#This Row],[CountyID]],[1]!Table1[#All],2,FALSE)</f>
        <v>Chisago</v>
      </c>
      <c r="C125">
        <f>VLOOKUP(Table1[[#This Row],[CountyID]],[1]!Table1[#All],3,FALSE)</f>
        <v>25</v>
      </c>
      <c r="D125">
        <v>25</v>
      </c>
      <c r="E125">
        <f>Table1[[#This Row],[Number of Counties]]-Table1[[#This Row],[Number of precincts Reporting]]</f>
        <v>0</v>
      </c>
      <c r="F125" t="s">
        <v>0</v>
      </c>
      <c r="G125" t="s">
        <v>1</v>
      </c>
      <c r="H125">
        <v>101</v>
      </c>
      <c r="I125">
        <v>401</v>
      </c>
      <c r="J125" t="s">
        <v>8</v>
      </c>
      <c r="K125" t="s">
        <v>9</v>
      </c>
      <c r="L125">
        <v>25</v>
      </c>
      <c r="M125">
        <v>255</v>
      </c>
      <c r="N125">
        <v>0.72</v>
      </c>
      <c r="O125">
        <v>35601</v>
      </c>
    </row>
    <row r="126" spans="1:15" x14ac:dyDescent="0.2">
      <c r="A126">
        <v>13</v>
      </c>
      <c r="B126" t="str">
        <f>VLOOKUP(Table1[[#This Row],[CountyID]],[1]!Table1[#All],2,FALSE)</f>
        <v>Chisago</v>
      </c>
      <c r="C126">
        <f>VLOOKUP(Table1[[#This Row],[CountyID]],[1]!Table1[#All],3,FALSE)</f>
        <v>25</v>
      </c>
      <c r="D126">
        <v>25</v>
      </c>
      <c r="E126">
        <f>Table1[[#This Row],[Number of Counties]]-Table1[[#This Row],[Number of precincts Reporting]]</f>
        <v>0</v>
      </c>
      <c r="F126" t="s">
        <v>0</v>
      </c>
      <c r="G126" t="s">
        <v>1</v>
      </c>
      <c r="H126">
        <v>101</v>
      </c>
      <c r="I126">
        <v>501</v>
      </c>
      <c r="J126" t="s">
        <v>10</v>
      </c>
      <c r="K126" t="s">
        <v>11</v>
      </c>
      <c r="L126">
        <v>25</v>
      </c>
      <c r="M126">
        <v>67</v>
      </c>
      <c r="N126">
        <v>0.19</v>
      </c>
      <c r="O126">
        <v>35601</v>
      </c>
    </row>
    <row r="127" spans="1:15" x14ac:dyDescent="0.2">
      <c r="A127">
        <v>13</v>
      </c>
      <c r="B127" t="str">
        <f>VLOOKUP(Table1[[#This Row],[CountyID]],[1]!Table1[#All],2,FALSE)</f>
        <v>Chisago</v>
      </c>
      <c r="C127">
        <f>VLOOKUP(Table1[[#This Row],[CountyID]],[1]!Table1[#All],3,FALSE)</f>
        <v>25</v>
      </c>
      <c r="D127">
        <v>25</v>
      </c>
      <c r="E127">
        <f>Table1[[#This Row],[Number of Counties]]-Table1[[#This Row],[Number of precincts Reporting]]</f>
        <v>0</v>
      </c>
      <c r="F127" t="s">
        <v>0</v>
      </c>
      <c r="G127" t="s">
        <v>1</v>
      </c>
      <c r="H127">
        <v>101</v>
      </c>
      <c r="I127">
        <v>601</v>
      </c>
      <c r="J127" t="s">
        <v>12</v>
      </c>
      <c r="K127" t="s">
        <v>13</v>
      </c>
      <c r="L127">
        <v>25</v>
      </c>
      <c r="M127">
        <v>4</v>
      </c>
      <c r="N127">
        <v>0.01</v>
      </c>
      <c r="O127">
        <v>35601</v>
      </c>
    </row>
    <row r="128" spans="1:15" x14ac:dyDescent="0.2">
      <c r="A128">
        <v>13</v>
      </c>
      <c r="B128" t="str">
        <f>VLOOKUP(Table1[[#This Row],[CountyID]],[1]!Table1[#All],2,FALSE)</f>
        <v>Chisago</v>
      </c>
      <c r="C128">
        <f>VLOOKUP(Table1[[#This Row],[CountyID]],[1]!Table1[#All],3,FALSE)</f>
        <v>25</v>
      </c>
      <c r="D128">
        <v>25</v>
      </c>
      <c r="E128">
        <f>Table1[[#This Row],[Number of Counties]]-Table1[[#This Row],[Number of precincts Reporting]]</f>
        <v>0</v>
      </c>
      <c r="F128" t="s">
        <v>0</v>
      </c>
      <c r="G128" t="s">
        <v>1</v>
      </c>
      <c r="H128">
        <v>101</v>
      </c>
      <c r="I128">
        <v>701</v>
      </c>
      <c r="J128" t="s">
        <v>14</v>
      </c>
      <c r="K128" t="s">
        <v>15</v>
      </c>
      <c r="L128">
        <v>25</v>
      </c>
      <c r="M128">
        <v>3</v>
      </c>
      <c r="N128">
        <v>0.01</v>
      </c>
      <c r="O128">
        <v>35601</v>
      </c>
    </row>
    <row r="129" spans="1:15" x14ac:dyDescent="0.2">
      <c r="A129">
        <v>13</v>
      </c>
      <c r="B129" t="str">
        <f>VLOOKUP(Table1[[#This Row],[CountyID]],[1]!Table1[#All],2,FALSE)</f>
        <v>Chisago</v>
      </c>
      <c r="C129">
        <f>VLOOKUP(Table1[[#This Row],[CountyID]],[1]!Table1[#All],3,FALSE)</f>
        <v>25</v>
      </c>
      <c r="D129">
        <v>25</v>
      </c>
      <c r="E129">
        <f>Table1[[#This Row],[Number of Counties]]-Table1[[#This Row],[Number of precincts Reporting]]</f>
        <v>0</v>
      </c>
      <c r="F129" t="s">
        <v>0</v>
      </c>
      <c r="G129" t="s">
        <v>1</v>
      </c>
      <c r="H129">
        <v>101</v>
      </c>
      <c r="I129">
        <v>801</v>
      </c>
      <c r="J129" t="s">
        <v>16</v>
      </c>
      <c r="K129" t="s">
        <v>17</v>
      </c>
      <c r="L129">
        <v>25</v>
      </c>
      <c r="M129">
        <v>14</v>
      </c>
      <c r="N129">
        <v>0.04</v>
      </c>
      <c r="O129">
        <v>35601</v>
      </c>
    </row>
    <row r="130" spans="1:15" x14ac:dyDescent="0.2">
      <c r="A130">
        <v>13</v>
      </c>
      <c r="B130" t="str">
        <f>VLOOKUP(Table1[[#This Row],[CountyID]],[1]!Table1[#All],2,FALSE)</f>
        <v>Chisago</v>
      </c>
      <c r="C130">
        <f>VLOOKUP(Table1[[#This Row],[CountyID]],[1]!Table1[#All],3,FALSE)</f>
        <v>25</v>
      </c>
      <c r="D130">
        <v>25</v>
      </c>
      <c r="E130">
        <f>Table1[[#This Row],[Number of Counties]]-Table1[[#This Row],[Number of precincts Reporting]]</f>
        <v>0</v>
      </c>
      <c r="F130" t="s">
        <v>0</v>
      </c>
      <c r="G130" t="s">
        <v>1</v>
      </c>
      <c r="H130">
        <v>101</v>
      </c>
      <c r="I130">
        <v>901</v>
      </c>
      <c r="J130" t="s">
        <v>18</v>
      </c>
      <c r="K130" t="s">
        <v>19</v>
      </c>
      <c r="L130">
        <v>25</v>
      </c>
      <c r="M130">
        <v>33</v>
      </c>
      <c r="N130">
        <v>0.09</v>
      </c>
      <c r="O130">
        <v>35601</v>
      </c>
    </row>
    <row r="131" spans="1:15" x14ac:dyDescent="0.2">
      <c r="A131">
        <v>13</v>
      </c>
      <c r="B131" t="str">
        <f>VLOOKUP(Table1[[#This Row],[CountyID]],[1]!Table1[#All],2,FALSE)</f>
        <v>Chisago</v>
      </c>
      <c r="C131">
        <f>VLOOKUP(Table1[[#This Row],[CountyID]],[1]!Table1[#All],3,FALSE)</f>
        <v>25</v>
      </c>
      <c r="D131">
        <v>25</v>
      </c>
      <c r="E131">
        <f>Table1[[#This Row],[Number of Counties]]-Table1[[#This Row],[Number of precincts Reporting]]</f>
        <v>0</v>
      </c>
      <c r="F131" t="s">
        <v>0</v>
      </c>
      <c r="G131" t="s">
        <v>1</v>
      </c>
      <c r="H131">
        <v>101</v>
      </c>
      <c r="I131">
        <v>9901</v>
      </c>
      <c r="J131" t="s">
        <v>20</v>
      </c>
      <c r="K131" t="s">
        <v>21</v>
      </c>
      <c r="L131">
        <v>25</v>
      </c>
      <c r="M131">
        <v>99</v>
      </c>
      <c r="N131">
        <v>0.28000000000000003</v>
      </c>
      <c r="O131">
        <v>35601</v>
      </c>
    </row>
    <row r="132" spans="1:15" x14ac:dyDescent="0.2">
      <c r="A132">
        <v>14</v>
      </c>
      <c r="B132" t="str">
        <f>VLOOKUP(Table1[[#This Row],[CountyID]],[1]!Table1[#All],2,FALSE)</f>
        <v>Clay</v>
      </c>
      <c r="C132">
        <f>VLOOKUP(Table1[[#This Row],[CountyID]],[1]!Table1[#All],3,FALSE)</f>
        <v>56</v>
      </c>
      <c r="D132">
        <v>56</v>
      </c>
      <c r="E132">
        <f>Table1[[#This Row],[Number of Counties]]-Table1[[#This Row],[Number of precincts Reporting]]</f>
        <v>0</v>
      </c>
      <c r="F132" t="s">
        <v>0</v>
      </c>
      <c r="G132" t="s">
        <v>1</v>
      </c>
      <c r="H132">
        <v>101</v>
      </c>
      <c r="I132">
        <v>101</v>
      </c>
      <c r="J132" t="s">
        <v>2</v>
      </c>
      <c r="K132" t="s">
        <v>3</v>
      </c>
      <c r="L132">
        <v>56</v>
      </c>
      <c r="M132">
        <v>15965</v>
      </c>
      <c r="N132">
        <v>48.56</v>
      </c>
      <c r="O132">
        <v>32874</v>
      </c>
    </row>
    <row r="133" spans="1:15" x14ac:dyDescent="0.2">
      <c r="A133">
        <v>14</v>
      </c>
      <c r="B133" t="str">
        <f>VLOOKUP(Table1[[#This Row],[CountyID]],[1]!Table1[#All],2,FALSE)</f>
        <v>Clay</v>
      </c>
      <c r="C133">
        <f>VLOOKUP(Table1[[#This Row],[CountyID]],[1]!Table1[#All],3,FALSE)</f>
        <v>56</v>
      </c>
      <c r="D133">
        <v>56</v>
      </c>
      <c r="E133">
        <f>Table1[[#This Row],[Number of Counties]]-Table1[[#This Row],[Number of precincts Reporting]]</f>
        <v>0</v>
      </c>
      <c r="F133" t="s">
        <v>0</v>
      </c>
      <c r="G133" t="s">
        <v>1</v>
      </c>
      <c r="H133">
        <v>101</v>
      </c>
      <c r="I133">
        <v>201</v>
      </c>
      <c r="J133" t="s">
        <v>4</v>
      </c>
      <c r="K133" t="s">
        <v>5</v>
      </c>
      <c r="L133">
        <v>56</v>
      </c>
      <c r="M133">
        <v>16121</v>
      </c>
      <c r="N133">
        <v>49.04</v>
      </c>
      <c r="O133">
        <v>32874</v>
      </c>
    </row>
    <row r="134" spans="1:15" x14ac:dyDescent="0.2">
      <c r="A134">
        <v>14</v>
      </c>
      <c r="B134" t="str">
        <f>VLOOKUP(Table1[[#This Row],[CountyID]],[1]!Table1[#All],2,FALSE)</f>
        <v>Clay</v>
      </c>
      <c r="C134">
        <f>VLOOKUP(Table1[[#This Row],[CountyID]],[1]!Table1[#All],3,FALSE)</f>
        <v>56</v>
      </c>
      <c r="D134">
        <v>56</v>
      </c>
      <c r="E134">
        <f>Table1[[#This Row],[Number of Counties]]-Table1[[#This Row],[Number of precincts Reporting]]</f>
        <v>0</v>
      </c>
      <c r="F134" t="s">
        <v>0</v>
      </c>
      <c r="G134" t="s">
        <v>1</v>
      </c>
      <c r="H134">
        <v>101</v>
      </c>
      <c r="I134">
        <v>301</v>
      </c>
      <c r="J134" t="s">
        <v>6</v>
      </c>
      <c r="K134" t="s">
        <v>7</v>
      </c>
      <c r="L134">
        <v>56</v>
      </c>
      <c r="M134">
        <v>141</v>
      </c>
      <c r="N134">
        <v>0.43</v>
      </c>
      <c r="O134">
        <v>32874</v>
      </c>
    </row>
    <row r="135" spans="1:15" x14ac:dyDescent="0.2">
      <c r="A135">
        <v>14</v>
      </c>
      <c r="B135" t="str">
        <f>VLOOKUP(Table1[[#This Row],[CountyID]],[1]!Table1[#All],2,FALSE)</f>
        <v>Clay</v>
      </c>
      <c r="C135">
        <f>VLOOKUP(Table1[[#This Row],[CountyID]],[1]!Table1[#All],3,FALSE)</f>
        <v>56</v>
      </c>
      <c r="D135">
        <v>56</v>
      </c>
      <c r="E135">
        <f>Table1[[#This Row],[Number of Counties]]-Table1[[#This Row],[Number of precincts Reporting]]</f>
        <v>0</v>
      </c>
      <c r="F135" t="s">
        <v>0</v>
      </c>
      <c r="G135" t="s">
        <v>1</v>
      </c>
      <c r="H135">
        <v>101</v>
      </c>
      <c r="I135">
        <v>401</v>
      </c>
      <c r="J135" t="s">
        <v>8</v>
      </c>
      <c r="K135" t="s">
        <v>9</v>
      </c>
      <c r="L135">
        <v>56</v>
      </c>
      <c r="M135">
        <v>309</v>
      </c>
      <c r="N135">
        <v>0.94</v>
      </c>
      <c r="O135">
        <v>32874</v>
      </c>
    </row>
    <row r="136" spans="1:15" x14ac:dyDescent="0.2">
      <c r="A136">
        <v>14</v>
      </c>
      <c r="B136" t="str">
        <f>VLOOKUP(Table1[[#This Row],[CountyID]],[1]!Table1[#All],2,FALSE)</f>
        <v>Clay</v>
      </c>
      <c r="C136">
        <f>VLOOKUP(Table1[[#This Row],[CountyID]],[1]!Table1[#All],3,FALSE)</f>
        <v>56</v>
      </c>
      <c r="D136">
        <v>56</v>
      </c>
      <c r="E136">
        <f>Table1[[#This Row],[Number of Counties]]-Table1[[#This Row],[Number of precincts Reporting]]</f>
        <v>0</v>
      </c>
      <c r="F136" t="s">
        <v>0</v>
      </c>
      <c r="G136" t="s">
        <v>1</v>
      </c>
      <c r="H136">
        <v>101</v>
      </c>
      <c r="I136">
        <v>501</v>
      </c>
      <c r="J136" t="s">
        <v>10</v>
      </c>
      <c r="K136" t="s">
        <v>11</v>
      </c>
      <c r="L136">
        <v>56</v>
      </c>
      <c r="M136">
        <v>115</v>
      </c>
      <c r="N136">
        <v>0.35</v>
      </c>
      <c r="O136">
        <v>32874</v>
      </c>
    </row>
    <row r="137" spans="1:15" x14ac:dyDescent="0.2">
      <c r="A137">
        <v>14</v>
      </c>
      <c r="B137" t="str">
        <f>VLOOKUP(Table1[[#This Row],[CountyID]],[1]!Table1[#All],2,FALSE)</f>
        <v>Clay</v>
      </c>
      <c r="C137">
        <f>VLOOKUP(Table1[[#This Row],[CountyID]],[1]!Table1[#All],3,FALSE)</f>
        <v>56</v>
      </c>
      <c r="D137">
        <v>56</v>
      </c>
      <c r="E137">
        <f>Table1[[#This Row],[Number of Counties]]-Table1[[#This Row],[Number of precincts Reporting]]</f>
        <v>0</v>
      </c>
      <c r="F137" t="s">
        <v>0</v>
      </c>
      <c r="G137" t="s">
        <v>1</v>
      </c>
      <c r="H137">
        <v>101</v>
      </c>
      <c r="I137">
        <v>601</v>
      </c>
      <c r="J137" t="s">
        <v>12</v>
      </c>
      <c r="K137" t="s">
        <v>13</v>
      </c>
      <c r="L137">
        <v>56</v>
      </c>
      <c r="M137">
        <v>26</v>
      </c>
      <c r="N137">
        <v>0.08</v>
      </c>
      <c r="O137">
        <v>32874</v>
      </c>
    </row>
    <row r="138" spans="1:15" x14ac:dyDescent="0.2">
      <c r="A138">
        <v>14</v>
      </c>
      <c r="B138" t="str">
        <f>VLOOKUP(Table1[[#This Row],[CountyID]],[1]!Table1[#All],2,FALSE)</f>
        <v>Clay</v>
      </c>
      <c r="C138">
        <f>VLOOKUP(Table1[[#This Row],[CountyID]],[1]!Table1[#All],3,FALSE)</f>
        <v>56</v>
      </c>
      <c r="D138">
        <v>56</v>
      </c>
      <c r="E138">
        <f>Table1[[#This Row],[Number of Counties]]-Table1[[#This Row],[Number of precincts Reporting]]</f>
        <v>0</v>
      </c>
      <c r="F138" t="s">
        <v>0</v>
      </c>
      <c r="G138" t="s">
        <v>1</v>
      </c>
      <c r="H138">
        <v>101</v>
      </c>
      <c r="I138">
        <v>701</v>
      </c>
      <c r="J138" t="s">
        <v>14</v>
      </c>
      <c r="K138" t="s">
        <v>15</v>
      </c>
      <c r="L138">
        <v>56</v>
      </c>
      <c r="M138">
        <v>6</v>
      </c>
      <c r="N138">
        <v>0.02</v>
      </c>
      <c r="O138">
        <v>32874</v>
      </c>
    </row>
    <row r="139" spans="1:15" x14ac:dyDescent="0.2">
      <c r="A139">
        <v>14</v>
      </c>
      <c r="B139" t="str">
        <f>VLOOKUP(Table1[[#This Row],[CountyID]],[1]!Table1[#All],2,FALSE)</f>
        <v>Clay</v>
      </c>
      <c r="C139">
        <f>VLOOKUP(Table1[[#This Row],[CountyID]],[1]!Table1[#All],3,FALSE)</f>
        <v>56</v>
      </c>
      <c r="D139">
        <v>56</v>
      </c>
      <c r="E139">
        <f>Table1[[#This Row],[Number of Counties]]-Table1[[#This Row],[Number of precincts Reporting]]</f>
        <v>0</v>
      </c>
      <c r="F139" t="s">
        <v>0</v>
      </c>
      <c r="G139" t="s">
        <v>1</v>
      </c>
      <c r="H139">
        <v>101</v>
      </c>
      <c r="I139">
        <v>801</v>
      </c>
      <c r="J139" t="s">
        <v>16</v>
      </c>
      <c r="K139" t="s">
        <v>17</v>
      </c>
      <c r="L139">
        <v>56</v>
      </c>
      <c r="M139">
        <v>24</v>
      </c>
      <c r="N139">
        <v>7.0000000000000007E-2</v>
      </c>
      <c r="O139">
        <v>32874</v>
      </c>
    </row>
    <row r="140" spans="1:15" x14ac:dyDescent="0.2">
      <c r="A140">
        <v>14</v>
      </c>
      <c r="B140" t="str">
        <f>VLOOKUP(Table1[[#This Row],[CountyID]],[1]!Table1[#All],2,FALSE)</f>
        <v>Clay</v>
      </c>
      <c r="C140">
        <f>VLOOKUP(Table1[[#This Row],[CountyID]],[1]!Table1[#All],3,FALSE)</f>
        <v>56</v>
      </c>
      <c r="D140">
        <v>56</v>
      </c>
      <c r="E140">
        <f>Table1[[#This Row],[Number of Counties]]-Table1[[#This Row],[Number of precincts Reporting]]</f>
        <v>0</v>
      </c>
      <c r="F140" t="s">
        <v>0</v>
      </c>
      <c r="G140" t="s">
        <v>1</v>
      </c>
      <c r="H140">
        <v>101</v>
      </c>
      <c r="I140">
        <v>901</v>
      </c>
      <c r="J140" t="s">
        <v>18</v>
      </c>
      <c r="K140" t="s">
        <v>19</v>
      </c>
      <c r="L140">
        <v>56</v>
      </c>
      <c r="M140">
        <v>27</v>
      </c>
      <c r="N140">
        <v>0.08</v>
      </c>
      <c r="O140">
        <v>32874</v>
      </c>
    </row>
    <row r="141" spans="1:15" x14ac:dyDescent="0.2">
      <c r="A141">
        <v>14</v>
      </c>
      <c r="B141" t="str">
        <f>VLOOKUP(Table1[[#This Row],[CountyID]],[1]!Table1[#All],2,FALSE)</f>
        <v>Clay</v>
      </c>
      <c r="C141">
        <f>VLOOKUP(Table1[[#This Row],[CountyID]],[1]!Table1[#All],3,FALSE)</f>
        <v>56</v>
      </c>
      <c r="D141">
        <v>56</v>
      </c>
      <c r="E141">
        <f>Table1[[#This Row],[Number of Counties]]-Table1[[#This Row],[Number of precincts Reporting]]</f>
        <v>0</v>
      </c>
      <c r="F141" t="s">
        <v>0</v>
      </c>
      <c r="G141" t="s">
        <v>1</v>
      </c>
      <c r="H141">
        <v>101</v>
      </c>
      <c r="I141">
        <v>9901</v>
      </c>
      <c r="J141" t="s">
        <v>20</v>
      </c>
      <c r="K141" t="s">
        <v>21</v>
      </c>
      <c r="L141">
        <v>56</v>
      </c>
      <c r="M141">
        <v>140</v>
      </c>
      <c r="N141">
        <v>0.43</v>
      </c>
      <c r="O141">
        <v>32874</v>
      </c>
    </row>
    <row r="142" spans="1:15" x14ac:dyDescent="0.2">
      <c r="A142">
        <v>15</v>
      </c>
      <c r="B142" t="str">
        <f>VLOOKUP(Table1[[#This Row],[CountyID]],[1]!Table1[#All],2,FALSE)</f>
        <v>Clearwater</v>
      </c>
      <c r="C142">
        <f>VLOOKUP(Table1[[#This Row],[CountyID]],[1]!Table1[#All],3,FALSE)</f>
        <v>29</v>
      </c>
      <c r="D142">
        <v>29</v>
      </c>
      <c r="E142">
        <f>Table1[[#This Row],[Number of Counties]]-Table1[[#This Row],[Number of precincts Reporting]]</f>
        <v>0</v>
      </c>
      <c r="F142" t="s">
        <v>0</v>
      </c>
      <c r="G142" t="s">
        <v>1</v>
      </c>
      <c r="H142">
        <v>101</v>
      </c>
      <c r="I142">
        <v>101</v>
      </c>
      <c r="J142" t="s">
        <v>2</v>
      </c>
      <c r="K142" t="s">
        <v>3</v>
      </c>
      <c r="L142">
        <v>29</v>
      </c>
      <c r="M142">
        <v>3575</v>
      </c>
      <c r="N142">
        <v>74.260000000000005</v>
      </c>
      <c r="O142">
        <v>4814</v>
      </c>
    </row>
    <row r="143" spans="1:15" x14ac:dyDescent="0.2">
      <c r="A143">
        <v>15</v>
      </c>
      <c r="B143" t="str">
        <f>VLOOKUP(Table1[[#This Row],[CountyID]],[1]!Table1[#All],2,FALSE)</f>
        <v>Clearwater</v>
      </c>
      <c r="C143">
        <f>VLOOKUP(Table1[[#This Row],[CountyID]],[1]!Table1[#All],3,FALSE)</f>
        <v>29</v>
      </c>
      <c r="D143">
        <v>29</v>
      </c>
      <c r="E143">
        <f>Table1[[#This Row],[Number of Counties]]-Table1[[#This Row],[Number of precincts Reporting]]</f>
        <v>0</v>
      </c>
      <c r="F143" t="s">
        <v>0</v>
      </c>
      <c r="G143" t="s">
        <v>1</v>
      </c>
      <c r="H143">
        <v>101</v>
      </c>
      <c r="I143">
        <v>201</v>
      </c>
      <c r="J143" t="s">
        <v>4</v>
      </c>
      <c r="K143" t="s">
        <v>5</v>
      </c>
      <c r="L143">
        <v>29</v>
      </c>
      <c r="M143">
        <v>1169</v>
      </c>
      <c r="N143">
        <v>24.28</v>
      </c>
      <c r="O143">
        <v>4814</v>
      </c>
    </row>
    <row r="144" spans="1:15" x14ac:dyDescent="0.2">
      <c r="A144">
        <v>15</v>
      </c>
      <c r="B144" t="str">
        <f>VLOOKUP(Table1[[#This Row],[CountyID]],[1]!Table1[#All],2,FALSE)</f>
        <v>Clearwater</v>
      </c>
      <c r="C144">
        <f>VLOOKUP(Table1[[#This Row],[CountyID]],[1]!Table1[#All],3,FALSE)</f>
        <v>29</v>
      </c>
      <c r="D144">
        <v>29</v>
      </c>
      <c r="E144">
        <f>Table1[[#This Row],[Number of Counties]]-Table1[[#This Row],[Number of precincts Reporting]]</f>
        <v>0</v>
      </c>
      <c r="F144" t="s">
        <v>0</v>
      </c>
      <c r="G144" t="s">
        <v>1</v>
      </c>
      <c r="H144">
        <v>101</v>
      </c>
      <c r="I144">
        <v>301</v>
      </c>
      <c r="J144" t="s">
        <v>6</v>
      </c>
      <c r="K144" t="s">
        <v>7</v>
      </c>
      <c r="L144">
        <v>29</v>
      </c>
      <c r="M144">
        <v>16</v>
      </c>
      <c r="N144">
        <v>0.33</v>
      </c>
      <c r="O144">
        <v>4814</v>
      </c>
    </row>
    <row r="145" spans="1:15" x14ac:dyDescent="0.2">
      <c r="A145">
        <v>15</v>
      </c>
      <c r="B145" t="str">
        <f>VLOOKUP(Table1[[#This Row],[CountyID]],[1]!Table1[#All],2,FALSE)</f>
        <v>Clearwater</v>
      </c>
      <c r="C145">
        <f>VLOOKUP(Table1[[#This Row],[CountyID]],[1]!Table1[#All],3,FALSE)</f>
        <v>29</v>
      </c>
      <c r="D145">
        <v>29</v>
      </c>
      <c r="E145">
        <f>Table1[[#This Row],[Number of Counties]]-Table1[[#This Row],[Number of precincts Reporting]]</f>
        <v>0</v>
      </c>
      <c r="F145" t="s">
        <v>0</v>
      </c>
      <c r="G145" t="s">
        <v>1</v>
      </c>
      <c r="H145">
        <v>101</v>
      </c>
      <c r="I145">
        <v>401</v>
      </c>
      <c r="J145" t="s">
        <v>8</v>
      </c>
      <c r="K145" t="s">
        <v>9</v>
      </c>
      <c r="L145">
        <v>29</v>
      </c>
      <c r="M145">
        <v>29</v>
      </c>
      <c r="N145">
        <v>0.6</v>
      </c>
      <c r="O145">
        <v>4814</v>
      </c>
    </row>
    <row r="146" spans="1:15" x14ac:dyDescent="0.2">
      <c r="A146">
        <v>15</v>
      </c>
      <c r="B146" t="str">
        <f>VLOOKUP(Table1[[#This Row],[CountyID]],[1]!Table1[#All],2,FALSE)</f>
        <v>Clearwater</v>
      </c>
      <c r="C146">
        <f>VLOOKUP(Table1[[#This Row],[CountyID]],[1]!Table1[#All],3,FALSE)</f>
        <v>29</v>
      </c>
      <c r="D146">
        <v>29</v>
      </c>
      <c r="E146">
        <f>Table1[[#This Row],[Number of Counties]]-Table1[[#This Row],[Number of precincts Reporting]]</f>
        <v>0</v>
      </c>
      <c r="F146" t="s">
        <v>0</v>
      </c>
      <c r="G146" t="s">
        <v>1</v>
      </c>
      <c r="H146">
        <v>101</v>
      </c>
      <c r="I146">
        <v>501</v>
      </c>
      <c r="J146" t="s">
        <v>10</v>
      </c>
      <c r="K146" t="s">
        <v>11</v>
      </c>
      <c r="L146">
        <v>29</v>
      </c>
      <c r="M146">
        <v>8</v>
      </c>
      <c r="N146">
        <v>0.17</v>
      </c>
      <c r="O146">
        <v>4814</v>
      </c>
    </row>
    <row r="147" spans="1:15" x14ac:dyDescent="0.2">
      <c r="A147">
        <v>15</v>
      </c>
      <c r="B147" t="str">
        <f>VLOOKUP(Table1[[#This Row],[CountyID]],[1]!Table1[#All],2,FALSE)</f>
        <v>Clearwater</v>
      </c>
      <c r="C147">
        <f>VLOOKUP(Table1[[#This Row],[CountyID]],[1]!Table1[#All],3,FALSE)</f>
        <v>29</v>
      </c>
      <c r="D147">
        <v>29</v>
      </c>
      <c r="E147">
        <f>Table1[[#This Row],[Number of Counties]]-Table1[[#This Row],[Number of precincts Reporting]]</f>
        <v>0</v>
      </c>
      <c r="F147" t="s">
        <v>0</v>
      </c>
      <c r="G147" t="s">
        <v>1</v>
      </c>
      <c r="H147">
        <v>101</v>
      </c>
      <c r="I147">
        <v>601</v>
      </c>
      <c r="J147" t="s">
        <v>12</v>
      </c>
      <c r="K147" t="s">
        <v>13</v>
      </c>
      <c r="L147">
        <v>29</v>
      </c>
      <c r="M147">
        <v>0</v>
      </c>
      <c r="N147">
        <v>0</v>
      </c>
      <c r="O147">
        <v>4814</v>
      </c>
    </row>
    <row r="148" spans="1:15" x14ac:dyDescent="0.2">
      <c r="A148">
        <v>15</v>
      </c>
      <c r="B148" t="str">
        <f>VLOOKUP(Table1[[#This Row],[CountyID]],[1]!Table1[#All],2,FALSE)</f>
        <v>Clearwater</v>
      </c>
      <c r="C148">
        <f>VLOOKUP(Table1[[#This Row],[CountyID]],[1]!Table1[#All],3,FALSE)</f>
        <v>29</v>
      </c>
      <c r="D148">
        <v>29</v>
      </c>
      <c r="E148">
        <f>Table1[[#This Row],[Number of Counties]]-Table1[[#This Row],[Number of precincts Reporting]]</f>
        <v>0</v>
      </c>
      <c r="F148" t="s">
        <v>0</v>
      </c>
      <c r="G148" t="s">
        <v>1</v>
      </c>
      <c r="H148">
        <v>101</v>
      </c>
      <c r="I148">
        <v>701</v>
      </c>
      <c r="J148" t="s">
        <v>14</v>
      </c>
      <c r="K148" t="s">
        <v>15</v>
      </c>
      <c r="L148">
        <v>29</v>
      </c>
      <c r="M148">
        <v>0</v>
      </c>
      <c r="N148">
        <v>0</v>
      </c>
      <c r="O148">
        <v>4814</v>
      </c>
    </row>
    <row r="149" spans="1:15" x14ac:dyDescent="0.2">
      <c r="A149">
        <v>15</v>
      </c>
      <c r="B149" t="str">
        <f>VLOOKUP(Table1[[#This Row],[CountyID]],[1]!Table1[#All],2,FALSE)</f>
        <v>Clearwater</v>
      </c>
      <c r="C149">
        <f>VLOOKUP(Table1[[#This Row],[CountyID]],[1]!Table1[#All],3,FALSE)</f>
        <v>29</v>
      </c>
      <c r="D149">
        <v>29</v>
      </c>
      <c r="E149">
        <f>Table1[[#This Row],[Number of Counties]]-Table1[[#This Row],[Number of precincts Reporting]]</f>
        <v>0</v>
      </c>
      <c r="F149" t="s">
        <v>0</v>
      </c>
      <c r="G149" t="s">
        <v>1</v>
      </c>
      <c r="H149">
        <v>101</v>
      </c>
      <c r="I149">
        <v>801</v>
      </c>
      <c r="J149" t="s">
        <v>16</v>
      </c>
      <c r="K149" t="s">
        <v>17</v>
      </c>
      <c r="L149">
        <v>29</v>
      </c>
      <c r="M149">
        <v>4</v>
      </c>
      <c r="N149">
        <v>0.08</v>
      </c>
      <c r="O149">
        <v>4814</v>
      </c>
    </row>
    <row r="150" spans="1:15" x14ac:dyDescent="0.2">
      <c r="A150">
        <v>15</v>
      </c>
      <c r="B150" t="str">
        <f>VLOOKUP(Table1[[#This Row],[CountyID]],[1]!Table1[#All],2,FALSE)</f>
        <v>Clearwater</v>
      </c>
      <c r="C150">
        <f>VLOOKUP(Table1[[#This Row],[CountyID]],[1]!Table1[#All],3,FALSE)</f>
        <v>29</v>
      </c>
      <c r="D150">
        <v>29</v>
      </c>
      <c r="E150">
        <f>Table1[[#This Row],[Number of Counties]]-Table1[[#This Row],[Number of precincts Reporting]]</f>
        <v>0</v>
      </c>
      <c r="F150" t="s">
        <v>0</v>
      </c>
      <c r="G150" t="s">
        <v>1</v>
      </c>
      <c r="H150">
        <v>101</v>
      </c>
      <c r="I150">
        <v>901</v>
      </c>
      <c r="J150" t="s">
        <v>18</v>
      </c>
      <c r="K150" t="s">
        <v>19</v>
      </c>
      <c r="L150">
        <v>29</v>
      </c>
      <c r="M150">
        <v>4</v>
      </c>
      <c r="N150">
        <v>0.08</v>
      </c>
      <c r="O150">
        <v>4814</v>
      </c>
    </row>
    <row r="151" spans="1:15" x14ac:dyDescent="0.2">
      <c r="A151">
        <v>15</v>
      </c>
      <c r="B151" t="str">
        <f>VLOOKUP(Table1[[#This Row],[CountyID]],[1]!Table1[#All],2,FALSE)</f>
        <v>Clearwater</v>
      </c>
      <c r="C151">
        <f>VLOOKUP(Table1[[#This Row],[CountyID]],[1]!Table1[#All],3,FALSE)</f>
        <v>29</v>
      </c>
      <c r="D151">
        <v>29</v>
      </c>
      <c r="E151">
        <f>Table1[[#This Row],[Number of Counties]]-Table1[[#This Row],[Number of precincts Reporting]]</f>
        <v>0</v>
      </c>
      <c r="F151" t="s">
        <v>0</v>
      </c>
      <c r="G151" t="s">
        <v>1</v>
      </c>
      <c r="H151">
        <v>101</v>
      </c>
      <c r="I151">
        <v>9901</v>
      </c>
      <c r="J151" t="s">
        <v>20</v>
      </c>
      <c r="K151" t="s">
        <v>21</v>
      </c>
      <c r="L151">
        <v>29</v>
      </c>
      <c r="M151">
        <v>9</v>
      </c>
      <c r="N151">
        <v>0.19</v>
      </c>
      <c r="O151">
        <v>4814</v>
      </c>
    </row>
    <row r="152" spans="1:15" x14ac:dyDescent="0.2">
      <c r="A152">
        <v>16</v>
      </c>
      <c r="B152" t="str">
        <f>VLOOKUP(Table1[[#This Row],[CountyID]],[1]!Table1[#All],2,FALSE)</f>
        <v>Cook</v>
      </c>
      <c r="C152">
        <f>VLOOKUP(Table1[[#This Row],[CountyID]],[1]!Table1[#All],3,FALSE)</f>
        <v>14</v>
      </c>
      <c r="D152">
        <v>14</v>
      </c>
      <c r="E152">
        <f>Table1[[#This Row],[Number of Counties]]-Table1[[#This Row],[Number of precincts Reporting]]</f>
        <v>0</v>
      </c>
      <c r="F152" t="s">
        <v>0</v>
      </c>
      <c r="G152" t="s">
        <v>1</v>
      </c>
      <c r="H152">
        <v>101</v>
      </c>
      <c r="I152">
        <v>101</v>
      </c>
      <c r="J152" t="s">
        <v>2</v>
      </c>
      <c r="K152" t="s">
        <v>3</v>
      </c>
      <c r="L152">
        <v>14</v>
      </c>
      <c r="M152">
        <v>1142</v>
      </c>
      <c r="N152">
        <v>31.2</v>
      </c>
      <c r="O152">
        <v>3660</v>
      </c>
    </row>
    <row r="153" spans="1:15" x14ac:dyDescent="0.2">
      <c r="A153">
        <v>16</v>
      </c>
      <c r="B153" t="str">
        <f>VLOOKUP(Table1[[#This Row],[CountyID]],[1]!Table1[#All],2,FALSE)</f>
        <v>Cook</v>
      </c>
      <c r="C153">
        <f>VLOOKUP(Table1[[#This Row],[CountyID]],[1]!Table1[#All],3,FALSE)</f>
        <v>14</v>
      </c>
      <c r="D153">
        <v>14</v>
      </c>
      <c r="E153">
        <f>Table1[[#This Row],[Number of Counties]]-Table1[[#This Row],[Number of precincts Reporting]]</f>
        <v>0</v>
      </c>
      <c r="F153" t="s">
        <v>0</v>
      </c>
      <c r="G153" t="s">
        <v>1</v>
      </c>
      <c r="H153">
        <v>101</v>
      </c>
      <c r="I153">
        <v>201</v>
      </c>
      <c r="J153" t="s">
        <v>4</v>
      </c>
      <c r="K153" t="s">
        <v>5</v>
      </c>
      <c r="L153">
        <v>14</v>
      </c>
      <c r="M153">
        <v>2416</v>
      </c>
      <c r="N153">
        <v>66.010000000000005</v>
      </c>
      <c r="O153">
        <v>3660</v>
      </c>
    </row>
    <row r="154" spans="1:15" x14ac:dyDescent="0.2">
      <c r="A154">
        <v>16</v>
      </c>
      <c r="B154" t="str">
        <f>VLOOKUP(Table1[[#This Row],[CountyID]],[1]!Table1[#All],2,FALSE)</f>
        <v>Cook</v>
      </c>
      <c r="C154">
        <f>VLOOKUP(Table1[[#This Row],[CountyID]],[1]!Table1[#All],3,FALSE)</f>
        <v>14</v>
      </c>
      <c r="D154">
        <v>14</v>
      </c>
      <c r="E154">
        <f>Table1[[#This Row],[Number of Counties]]-Table1[[#This Row],[Number of precincts Reporting]]</f>
        <v>0</v>
      </c>
      <c r="F154" t="s">
        <v>0</v>
      </c>
      <c r="G154" t="s">
        <v>1</v>
      </c>
      <c r="H154">
        <v>101</v>
      </c>
      <c r="I154">
        <v>301</v>
      </c>
      <c r="J154" t="s">
        <v>6</v>
      </c>
      <c r="K154" t="s">
        <v>7</v>
      </c>
      <c r="L154">
        <v>14</v>
      </c>
      <c r="M154">
        <v>12</v>
      </c>
      <c r="N154">
        <v>0.33</v>
      </c>
      <c r="O154">
        <v>3660</v>
      </c>
    </row>
    <row r="155" spans="1:15" x14ac:dyDescent="0.2">
      <c r="A155">
        <v>16</v>
      </c>
      <c r="B155" t="str">
        <f>VLOOKUP(Table1[[#This Row],[CountyID]],[1]!Table1[#All],2,FALSE)</f>
        <v>Cook</v>
      </c>
      <c r="C155">
        <f>VLOOKUP(Table1[[#This Row],[CountyID]],[1]!Table1[#All],3,FALSE)</f>
        <v>14</v>
      </c>
      <c r="D155">
        <v>14</v>
      </c>
      <c r="E155">
        <f>Table1[[#This Row],[Number of Counties]]-Table1[[#This Row],[Number of precincts Reporting]]</f>
        <v>0</v>
      </c>
      <c r="F155" t="s">
        <v>0</v>
      </c>
      <c r="G155" t="s">
        <v>1</v>
      </c>
      <c r="H155">
        <v>101</v>
      </c>
      <c r="I155">
        <v>401</v>
      </c>
      <c r="J155" t="s">
        <v>8</v>
      </c>
      <c r="K155" t="s">
        <v>9</v>
      </c>
      <c r="L155">
        <v>14</v>
      </c>
      <c r="M155">
        <v>32</v>
      </c>
      <c r="N155">
        <v>0.87</v>
      </c>
      <c r="O155">
        <v>3660</v>
      </c>
    </row>
    <row r="156" spans="1:15" x14ac:dyDescent="0.2">
      <c r="A156">
        <v>16</v>
      </c>
      <c r="B156" t="str">
        <f>VLOOKUP(Table1[[#This Row],[CountyID]],[1]!Table1[#All],2,FALSE)</f>
        <v>Cook</v>
      </c>
      <c r="C156">
        <f>VLOOKUP(Table1[[#This Row],[CountyID]],[1]!Table1[#All],3,FALSE)</f>
        <v>14</v>
      </c>
      <c r="D156">
        <v>14</v>
      </c>
      <c r="E156">
        <f>Table1[[#This Row],[Number of Counties]]-Table1[[#This Row],[Number of precincts Reporting]]</f>
        <v>0</v>
      </c>
      <c r="F156" t="s">
        <v>0</v>
      </c>
      <c r="G156" t="s">
        <v>1</v>
      </c>
      <c r="H156">
        <v>101</v>
      </c>
      <c r="I156">
        <v>501</v>
      </c>
      <c r="J156" t="s">
        <v>10</v>
      </c>
      <c r="K156" t="s">
        <v>11</v>
      </c>
      <c r="L156">
        <v>14</v>
      </c>
      <c r="M156">
        <v>26</v>
      </c>
      <c r="N156">
        <v>0.71</v>
      </c>
      <c r="O156">
        <v>3660</v>
      </c>
    </row>
    <row r="157" spans="1:15" x14ac:dyDescent="0.2">
      <c r="A157">
        <v>16</v>
      </c>
      <c r="B157" t="str">
        <f>VLOOKUP(Table1[[#This Row],[CountyID]],[1]!Table1[#All],2,FALSE)</f>
        <v>Cook</v>
      </c>
      <c r="C157">
        <f>VLOOKUP(Table1[[#This Row],[CountyID]],[1]!Table1[#All],3,FALSE)</f>
        <v>14</v>
      </c>
      <c r="D157">
        <v>14</v>
      </c>
      <c r="E157">
        <f>Table1[[#This Row],[Number of Counties]]-Table1[[#This Row],[Number of precincts Reporting]]</f>
        <v>0</v>
      </c>
      <c r="F157" t="s">
        <v>0</v>
      </c>
      <c r="G157" t="s">
        <v>1</v>
      </c>
      <c r="H157">
        <v>101</v>
      </c>
      <c r="I157">
        <v>601</v>
      </c>
      <c r="J157" t="s">
        <v>12</v>
      </c>
      <c r="K157" t="s">
        <v>13</v>
      </c>
      <c r="L157">
        <v>14</v>
      </c>
      <c r="M157">
        <v>4</v>
      </c>
      <c r="N157">
        <v>0.11</v>
      </c>
      <c r="O157">
        <v>3660</v>
      </c>
    </row>
    <row r="158" spans="1:15" x14ac:dyDescent="0.2">
      <c r="A158">
        <v>16</v>
      </c>
      <c r="B158" t="str">
        <f>VLOOKUP(Table1[[#This Row],[CountyID]],[1]!Table1[#All],2,FALSE)</f>
        <v>Cook</v>
      </c>
      <c r="C158">
        <f>VLOOKUP(Table1[[#This Row],[CountyID]],[1]!Table1[#All],3,FALSE)</f>
        <v>14</v>
      </c>
      <c r="D158">
        <v>14</v>
      </c>
      <c r="E158">
        <f>Table1[[#This Row],[Number of Counties]]-Table1[[#This Row],[Number of precincts Reporting]]</f>
        <v>0</v>
      </c>
      <c r="F158" t="s">
        <v>0</v>
      </c>
      <c r="G158" t="s">
        <v>1</v>
      </c>
      <c r="H158">
        <v>101</v>
      </c>
      <c r="I158">
        <v>701</v>
      </c>
      <c r="J158" t="s">
        <v>14</v>
      </c>
      <c r="K158" t="s">
        <v>15</v>
      </c>
      <c r="L158">
        <v>14</v>
      </c>
      <c r="M158">
        <v>0</v>
      </c>
      <c r="N158">
        <v>0</v>
      </c>
      <c r="O158">
        <v>3660</v>
      </c>
    </row>
    <row r="159" spans="1:15" x14ac:dyDescent="0.2">
      <c r="A159">
        <v>16</v>
      </c>
      <c r="B159" t="str">
        <f>VLOOKUP(Table1[[#This Row],[CountyID]],[1]!Table1[#All],2,FALSE)</f>
        <v>Cook</v>
      </c>
      <c r="C159">
        <f>VLOOKUP(Table1[[#This Row],[CountyID]],[1]!Table1[#All],3,FALSE)</f>
        <v>14</v>
      </c>
      <c r="D159">
        <v>14</v>
      </c>
      <c r="E159">
        <f>Table1[[#This Row],[Number of Counties]]-Table1[[#This Row],[Number of precincts Reporting]]</f>
        <v>0</v>
      </c>
      <c r="F159" t="s">
        <v>0</v>
      </c>
      <c r="G159" t="s">
        <v>1</v>
      </c>
      <c r="H159">
        <v>101</v>
      </c>
      <c r="I159">
        <v>801</v>
      </c>
      <c r="J159" t="s">
        <v>16</v>
      </c>
      <c r="K159" t="s">
        <v>17</v>
      </c>
      <c r="L159">
        <v>14</v>
      </c>
      <c r="M159">
        <v>5</v>
      </c>
      <c r="N159">
        <v>0.14000000000000001</v>
      </c>
      <c r="O159">
        <v>3660</v>
      </c>
    </row>
    <row r="160" spans="1:15" x14ac:dyDescent="0.2">
      <c r="A160">
        <v>16</v>
      </c>
      <c r="B160" t="str">
        <f>VLOOKUP(Table1[[#This Row],[CountyID]],[1]!Table1[#All],2,FALSE)</f>
        <v>Cook</v>
      </c>
      <c r="C160">
        <f>VLOOKUP(Table1[[#This Row],[CountyID]],[1]!Table1[#All],3,FALSE)</f>
        <v>14</v>
      </c>
      <c r="D160">
        <v>14</v>
      </c>
      <c r="E160">
        <f>Table1[[#This Row],[Number of Counties]]-Table1[[#This Row],[Number of precincts Reporting]]</f>
        <v>0</v>
      </c>
      <c r="F160" t="s">
        <v>0</v>
      </c>
      <c r="G160" t="s">
        <v>1</v>
      </c>
      <c r="H160">
        <v>101</v>
      </c>
      <c r="I160">
        <v>901</v>
      </c>
      <c r="J160" t="s">
        <v>18</v>
      </c>
      <c r="K160" t="s">
        <v>19</v>
      </c>
      <c r="L160">
        <v>14</v>
      </c>
      <c r="M160">
        <v>4</v>
      </c>
      <c r="N160">
        <v>0.11</v>
      </c>
      <c r="O160">
        <v>3660</v>
      </c>
    </row>
    <row r="161" spans="1:15" x14ac:dyDescent="0.2">
      <c r="A161">
        <v>16</v>
      </c>
      <c r="B161" t="str">
        <f>VLOOKUP(Table1[[#This Row],[CountyID]],[1]!Table1[#All],2,FALSE)</f>
        <v>Cook</v>
      </c>
      <c r="C161">
        <f>VLOOKUP(Table1[[#This Row],[CountyID]],[1]!Table1[#All],3,FALSE)</f>
        <v>14</v>
      </c>
      <c r="D161">
        <v>14</v>
      </c>
      <c r="E161">
        <f>Table1[[#This Row],[Number of Counties]]-Table1[[#This Row],[Number of precincts Reporting]]</f>
        <v>0</v>
      </c>
      <c r="F161" t="s">
        <v>0</v>
      </c>
      <c r="G161" t="s">
        <v>1</v>
      </c>
      <c r="H161">
        <v>101</v>
      </c>
      <c r="I161">
        <v>9901</v>
      </c>
      <c r="J161" t="s">
        <v>20</v>
      </c>
      <c r="K161" t="s">
        <v>21</v>
      </c>
      <c r="L161">
        <v>14</v>
      </c>
      <c r="M161">
        <v>19</v>
      </c>
      <c r="N161">
        <v>0.52</v>
      </c>
      <c r="O161">
        <v>3660</v>
      </c>
    </row>
    <row r="162" spans="1:15" x14ac:dyDescent="0.2">
      <c r="A162">
        <v>17</v>
      </c>
      <c r="B162" t="str">
        <f>VLOOKUP(Table1[[#This Row],[CountyID]],[1]!Table1[#All],2,FALSE)</f>
        <v>Cottonwood</v>
      </c>
      <c r="C162">
        <f>VLOOKUP(Table1[[#This Row],[CountyID]],[1]!Table1[#All],3,FALSE)</f>
        <v>29</v>
      </c>
      <c r="D162">
        <v>29</v>
      </c>
      <c r="E162">
        <f>Table1[[#This Row],[Number of Counties]]-Table1[[#This Row],[Number of precincts Reporting]]</f>
        <v>0</v>
      </c>
      <c r="F162" t="s">
        <v>0</v>
      </c>
      <c r="G162" t="s">
        <v>1</v>
      </c>
      <c r="H162">
        <v>101</v>
      </c>
      <c r="I162">
        <v>101</v>
      </c>
      <c r="J162" t="s">
        <v>2</v>
      </c>
      <c r="K162" t="s">
        <v>3</v>
      </c>
      <c r="L162">
        <v>29</v>
      </c>
      <c r="M162">
        <v>4157</v>
      </c>
      <c r="N162">
        <v>69.42</v>
      </c>
      <c r="O162">
        <v>5988</v>
      </c>
    </row>
    <row r="163" spans="1:15" x14ac:dyDescent="0.2">
      <c r="A163">
        <v>17</v>
      </c>
      <c r="B163" t="str">
        <f>VLOOKUP(Table1[[#This Row],[CountyID]],[1]!Table1[#All],2,FALSE)</f>
        <v>Cottonwood</v>
      </c>
      <c r="C163">
        <f>VLOOKUP(Table1[[#This Row],[CountyID]],[1]!Table1[#All],3,FALSE)</f>
        <v>29</v>
      </c>
      <c r="D163">
        <v>29</v>
      </c>
      <c r="E163">
        <f>Table1[[#This Row],[Number of Counties]]-Table1[[#This Row],[Number of precincts Reporting]]</f>
        <v>0</v>
      </c>
      <c r="F163" t="s">
        <v>0</v>
      </c>
      <c r="G163" t="s">
        <v>1</v>
      </c>
      <c r="H163">
        <v>101</v>
      </c>
      <c r="I163">
        <v>201</v>
      </c>
      <c r="J163" t="s">
        <v>4</v>
      </c>
      <c r="K163" t="s">
        <v>5</v>
      </c>
      <c r="L163">
        <v>29</v>
      </c>
      <c r="M163">
        <v>1705</v>
      </c>
      <c r="N163">
        <v>28.47</v>
      </c>
      <c r="O163">
        <v>5988</v>
      </c>
    </row>
    <row r="164" spans="1:15" x14ac:dyDescent="0.2">
      <c r="A164">
        <v>17</v>
      </c>
      <c r="B164" t="str">
        <f>VLOOKUP(Table1[[#This Row],[CountyID]],[1]!Table1[#All],2,FALSE)</f>
        <v>Cottonwood</v>
      </c>
      <c r="C164">
        <f>VLOOKUP(Table1[[#This Row],[CountyID]],[1]!Table1[#All],3,FALSE)</f>
        <v>29</v>
      </c>
      <c r="D164">
        <v>29</v>
      </c>
      <c r="E164">
        <f>Table1[[#This Row],[Number of Counties]]-Table1[[#This Row],[Number of precincts Reporting]]</f>
        <v>0</v>
      </c>
      <c r="F164" t="s">
        <v>0</v>
      </c>
      <c r="G164" t="s">
        <v>1</v>
      </c>
      <c r="H164">
        <v>101</v>
      </c>
      <c r="I164">
        <v>301</v>
      </c>
      <c r="J164" t="s">
        <v>6</v>
      </c>
      <c r="K164" t="s">
        <v>7</v>
      </c>
      <c r="L164">
        <v>29</v>
      </c>
      <c r="M164">
        <v>15</v>
      </c>
      <c r="N164">
        <v>0.25</v>
      </c>
      <c r="O164">
        <v>5988</v>
      </c>
    </row>
    <row r="165" spans="1:15" x14ac:dyDescent="0.2">
      <c r="A165">
        <v>17</v>
      </c>
      <c r="B165" t="str">
        <f>VLOOKUP(Table1[[#This Row],[CountyID]],[1]!Table1[#All],2,FALSE)</f>
        <v>Cottonwood</v>
      </c>
      <c r="C165">
        <f>VLOOKUP(Table1[[#This Row],[CountyID]],[1]!Table1[#All],3,FALSE)</f>
        <v>29</v>
      </c>
      <c r="D165">
        <v>29</v>
      </c>
      <c r="E165">
        <f>Table1[[#This Row],[Number of Counties]]-Table1[[#This Row],[Number of precincts Reporting]]</f>
        <v>0</v>
      </c>
      <c r="F165" t="s">
        <v>0</v>
      </c>
      <c r="G165" t="s">
        <v>1</v>
      </c>
      <c r="H165">
        <v>101</v>
      </c>
      <c r="I165">
        <v>401</v>
      </c>
      <c r="J165" t="s">
        <v>8</v>
      </c>
      <c r="K165" t="s">
        <v>9</v>
      </c>
      <c r="L165">
        <v>29</v>
      </c>
      <c r="M165">
        <v>67</v>
      </c>
      <c r="N165">
        <v>1.1200000000000001</v>
      </c>
      <c r="O165">
        <v>5988</v>
      </c>
    </row>
    <row r="166" spans="1:15" x14ac:dyDescent="0.2">
      <c r="A166">
        <v>17</v>
      </c>
      <c r="B166" t="str">
        <f>VLOOKUP(Table1[[#This Row],[CountyID]],[1]!Table1[#All],2,FALSE)</f>
        <v>Cottonwood</v>
      </c>
      <c r="C166">
        <f>VLOOKUP(Table1[[#This Row],[CountyID]],[1]!Table1[#All],3,FALSE)</f>
        <v>29</v>
      </c>
      <c r="D166">
        <v>29</v>
      </c>
      <c r="E166">
        <f>Table1[[#This Row],[Number of Counties]]-Table1[[#This Row],[Number of precincts Reporting]]</f>
        <v>0</v>
      </c>
      <c r="F166" t="s">
        <v>0</v>
      </c>
      <c r="G166" t="s">
        <v>1</v>
      </c>
      <c r="H166">
        <v>101</v>
      </c>
      <c r="I166">
        <v>501</v>
      </c>
      <c r="J166" t="s">
        <v>10</v>
      </c>
      <c r="K166" t="s">
        <v>11</v>
      </c>
      <c r="L166">
        <v>29</v>
      </c>
      <c r="M166">
        <v>8</v>
      </c>
      <c r="N166">
        <v>0.13</v>
      </c>
      <c r="O166">
        <v>5988</v>
      </c>
    </row>
    <row r="167" spans="1:15" x14ac:dyDescent="0.2">
      <c r="A167">
        <v>17</v>
      </c>
      <c r="B167" t="str">
        <f>VLOOKUP(Table1[[#This Row],[CountyID]],[1]!Table1[#All],2,FALSE)</f>
        <v>Cottonwood</v>
      </c>
      <c r="C167">
        <f>VLOOKUP(Table1[[#This Row],[CountyID]],[1]!Table1[#All],3,FALSE)</f>
        <v>29</v>
      </c>
      <c r="D167">
        <v>29</v>
      </c>
      <c r="E167">
        <f>Table1[[#This Row],[Number of Counties]]-Table1[[#This Row],[Number of precincts Reporting]]</f>
        <v>0</v>
      </c>
      <c r="F167" t="s">
        <v>0</v>
      </c>
      <c r="G167" t="s">
        <v>1</v>
      </c>
      <c r="H167">
        <v>101</v>
      </c>
      <c r="I167">
        <v>601</v>
      </c>
      <c r="J167" t="s">
        <v>12</v>
      </c>
      <c r="K167" t="s">
        <v>13</v>
      </c>
      <c r="L167">
        <v>29</v>
      </c>
      <c r="M167">
        <v>4</v>
      </c>
      <c r="N167">
        <v>7.0000000000000007E-2</v>
      </c>
      <c r="O167">
        <v>5988</v>
      </c>
    </row>
    <row r="168" spans="1:15" x14ac:dyDescent="0.2">
      <c r="A168">
        <v>17</v>
      </c>
      <c r="B168" t="str">
        <f>VLOOKUP(Table1[[#This Row],[CountyID]],[1]!Table1[#All],2,FALSE)</f>
        <v>Cottonwood</v>
      </c>
      <c r="C168">
        <f>VLOOKUP(Table1[[#This Row],[CountyID]],[1]!Table1[#All],3,FALSE)</f>
        <v>29</v>
      </c>
      <c r="D168">
        <v>29</v>
      </c>
      <c r="E168">
        <f>Table1[[#This Row],[Number of Counties]]-Table1[[#This Row],[Number of precincts Reporting]]</f>
        <v>0</v>
      </c>
      <c r="F168" t="s">
        <v>0</v>
      </c>
      <c r="G168" t="s">
        <v>1</v>
      </c>
      <c r="H168">
        <v>101</v>
      </c>
      <c r="I168">
        <v>701</v>
      </c>
      <c r="J168" t="s">
        <v>14</v>
      </c>
      <c r="K168" t="s">
        <v>15</v>
      </c>
      <c r="L168">
        <v>29</v>
      </c>
      <c r="M168">
        <v>0</v>
      </c>
      <c r="N168">
        <v>0</v>
      </c>
      <c r="O168">
        <v>5988</v>
      </c>
    </row>
    <row r="169" spans="1:15" x14ac:dyDescent="0.2">
      <c r="A169">
        <v>17</v>
      </c>
      <c r="B169" t="str">
        <f>VLOOKUP(Table1[[#This Row],[CountyID]],[1]!Table1[#All],2,FALSE)</f>
        <v>Cottonwood</v>
      </c>
      <c r="C169">
        <f>VLOOKUP(Table1[[#This Row],[CountyID]],[1]!Table1[#All],3,FALSE)</f>
        <v>29</v>
      </c>
      <c r="D169">
        <v>29</v>
      </c>
      <c r="E169">
        <f>Table1[[#This Row],[Number of Counties]]-Table1[[#This Row],[Number of precincts Reporting]]</f>
        <v>0</v>
      </c>
      <c r="F169" t="s">
        <v>0</v>
      </c>
      <c r="G169" t="s">
        <v>1</v>
      </c>
      <c r="H169">
        <v>101</v>
      </c>
      <c r="I169">
        <v>801</v>
      </c>
      <c r="J169" t="s">
        <v>16</v>
      </c>
      <c r="K169" t="s">
        <v>17</v>
      </c>
      <c r="L169">
        <v>29</v>
      </c>
      <c r="M169">
        <v>4</v>
      </c>
      <c r="N169">
        <v>7.0000000000000007E-2</v>
      </c>
      <c r="O169">
        <v>5988</v>
      </c>
    </row>
    <row r="170" spans="1:15" x14ac:dyDescent="0.2">
      <c r="A170">
        <v>17</v>
      </c>
      <c r="B170" t="str">
        <f>VLOOKUP(Table1[[#This Row],[CountyID]],[1]!Table1[#All],2,FALSE)</f>
        <v>Cottonwood</v>
      </c>
      <c r="C170">
        <f>VLOOKUP(Table1[[#This Row],[CountyID]],[1]!Table1[#All],3,FALSE)</f>
        <v>29</v>
      </c>
      <c r="D170">
        <v>29</v>
      </c>
      <c r="E170">
        <f>Table1[[#This Row],[Number of Counties]]-Table1[[#This Row],[Number of precincts Reporting]]</f>
        <v>0</v>
      </c>
      <c r="F170" t="s">
        <v>0</v>
      </c>
      <c r="G170" t="s">
        <v>1</v>
      </c>
      <c r="H170">
        <v>101</v>
      </c>
      <c r="I170">
        <v>901</v>
      </c>
      <c r="J170" t="s">
        <v>18</v>
      </c>
      <c r="K170" t="s">
        <v>19</v>
      </c>
      <c r="L170">
        <v>29</v>
      </c>
      <c r="M170">
        <v>5</v>
      </c>
      <c r="N170">
        <v>0.08</v>
      </c>
      <c r="O170">
        <v>5988</v>
      </c>
    </row>
    <row r="171" spans="1:15" x14ac:dyDescent="0.2">
      <c r="A171">
        <v>17</v>
      </c>
      <c r="B171" t="str">
        <f>VLOOKUP(Table1[[#This Row],[CountyID]],[1]!Table1[#All],2,FALSE)</f>
        <v>Cottonwood</v>
      </c>
      <c r="C171">
        <f>VLOOKUP(Table1[[#This Row],[CountyID]],[1]!Table1[#All],3,FALSE)</f>
        <v>29</v>
      </c>
      <c r="D171">
        <v>29</v>
      </c>
      <c r="E171">
        <f>Table1[[#This Row],[Number of Counties]]-Table1[[#This Row],[Number of precincts Reporting]]</f>
        <v>0</v>
      </c>
      <c r="F171" t="s">
        <v>0</v>
      </c>
      <c r="G171" t="s">
        <v>1</v>
      </c>
      <c r="H171">
        <v>101</v>
      </c>
      <c r="I171">
        <v>9901</v>
      </c>
      <c r="J171" t="s">
        <v>20</v>
      </c>
      <c r="K171" t="s">
        <v>21</v>
      </c>
      <c r="L171">
        <v>29</v>
      </c>
      <c r="M171">
        <v>23</v>
      </c>
      <c r="N171">
        <v>0.38</v>
      </c>
      <c r="O171">
        <v>5988</v>
      </c>
    </row>
    <row r="172" spans="1:15" x14ac:dyDescent="0.2">
      <c r="A172">
        <v>18</v>
      </c>
      <c r="B172" t="str">
        <f>VLOOKUP(Table1[[#This Row],[CountyID]],[1]!Table1[#All],2,FALSE)</f>
        <v>Crow Wing</v>
      </c>
      <c r="C172">
        <f>VLOOKUP(Table1[[#This Row],[CountyID]],[1]!Table1[#All],3,FALSE)</f>
        <v>62</v>
      </c>
      <c r="D172">
        <v>62</v>
      </c>
      <c r="E172">
        <f>Table1[[#This Row],[Number of Counties]]-Table1[[#This Row],[Number of precincts Reporting]]</f>
        <v>0</v>
      </c>
      <c r="F172" t="s">
        <v>0</v>
      </c>
      <c r="G172" t="s">
        <v>1</v>
      </c>
      <c r="H172">
        <v>101</v>
      </c>
      <c r="I172">
        <v>101</v>
      </c>
      <c r="J172" t="s">
        <v>2</v>
      </c>
      <c r="K172" t="s">
        <v>3</v>
      </c>
      <c r="L172">
        <v>62</v>
      </c>
      <c r="M172">
        <v>27423</v>
      </c>
      <c r="N172">
        <v>64.73</v>
      </c>
      <c r="O172">
        <v>42366</v>
      </c>
    </row>
    <row r="173" spans="1:15" x14ac:dyDescent="0.2">
      <c r="A173">
        <v>18</v>
      </c>
      <c r="B173" t="str">
        <f>VLOOKUP(Table1[[#This Row],[CountyID]],[1]!Table1[#All],2,FALSE)</f>
        <v>Crow Wing</v>
      </c>
      <c r="C173">
        <f>VLOOKUP(Table1[[#This Row],[CountyID]],[1]!Table1[#All],3,FALSE)</f>
        <v>62</v>
      </c>
      <c r="D173">
        <v>62</v>
      </c>
      <c r="E173">
        <f>Table1[[#This Row],[Number of Counties]]-Table1[[#This Row],[Number of precincts Reporting]]</f>
        <v>0</v>
      </c>
      <c r="F173" t="s">
        <v>0</v>
      </c>
      <c r="G173" t="s">
        <v>1</v>
      </c>
      <c r="H173">
        <v>101</v>
      </c>
      <c r="I173">
        <v>201</v>
      </c>
      <c r="J173" t="s">
        <v>4</v>
      </c>
      <c r="K173" t="s">
        <v>5</v>
      </c>
      <c r="L173">
        <v>62</v>
      </c>
      <c r="M173">
        <v>14173</v>
      </c>
      <c r="N173">
        <v>33.450000000000003</v>
      </c>
      <c r="O173">
        <v>42366</v>
      </c>
    </row>
    <row r="174" spans="1:15" x14ac:dyDescent="0.2">
      <c r="A174">
        <v>18</v>
      </c>
      <c r="B174" t="str">
        <f>VLOOKUP(Table1[[#This Row],[CountyID]],[1]!Table1[#All],2,FALSE)</f>
        <v>Crow Wing</v>
      </c>
      <c r="C174">
        <f>VLOOKUP(Table1[[#This Row],[CountyID]],[1]!Table1[#All],3,FALSE)</f>
        <v>62</v>
      </c>
      <c r="D174">
        <v>62</v>
      </c>
      <c r="E174">
        <f>Table1[[#This Row],[Number of Counties]]-Table1[[#This Row],[Number of precincts Reporting]]</f>
        <v>0</v>
      </c>
      <c r="F174" t="s">
        <v>0</v>
      </c>
      <c r="G174" t="s">
        <v>1</v>
      </c>
      <c r="H174">
        <v>101</v>
      </c>
      <c r="I174">
        <v>301</v>
      </c>
      <c r="J174" t="s">
        <v>6</v>
      </c>
      <c r="K174" t="s">
        <v>7</v>
      </c>
      <c r="L174">
        <v>62</v>
      </c>
      <c r="M174">
        <v>157</v>
      </c>
      <c r="N174">
        <v>0.37</v>
      </c>
      <c r="O174">
        <v>42366</v>
      </c>
    </row>
    <row r="175" spans="1:15" x14ac:dyDescent="0.2">
      <c r="A175">
        <v>18</v>
      </c>
      <c r="B175" t="str">
        <f>VLOOKUP(Table1[[#This Row],[CountyID]],[1]!Table1[#All],2,FALSE)</f>
        <v>Crow Wing</v>
      </c>
      <c r="C175">
        <f>VLOOKUP(Table1[[#This Row],[CountyID]],[1]!Table1[#All],3,FALSE)</f>
        <v>62</v>
      </c>
      <c r="D175">
        <v>62</v>
      </c>
      <c r="E175">
        <f>Table1[[#This Row],[Number of Counties]]-Table1[[#This Row],[Number of precincts Reporting]]</f>
        <v>0</v>
      </c>
      <c r="F175" t="s">
        <v>0</v>
      </c>
      <c r="G175" t="s">
        <v>1</v>
      </c>
      <c r="H175">
        <v>101</v>
      </c>
      <c r="I175">
        <v>401</v>
      </c>
      <c r="J175" t="s">
        <v>8</v>
      </c>
      <c r="K175" t="s">
        <v>9</v>
      </c>
      <c r="L175">
        <v>62</v>
      </c>
      <c r="M175">
        <v>313</v>
      </c>
      <c r="N175">
        <v>0.74</v>
      </c>
      <c r="O175">
        <v>42366</v>
      </c>
    </row>
    <row r="176" spans="1:15" x14ac:dyDescent="0.2">
      <c r="A176">
        <v>18</v>
      </c>
      <c r="B176" t="str">
        <f>VLOOKUP(Table1[[#This Row],[CountyID]],[1]!Table1[#All],2,FALSE)</f>
        <v>Crow Wing</v>
      </c>
      <c r="C176">
        <f>VLOOKUP(Table1[[#This Row],[CountyID]],[1]!Table1[#All],3,FALSE)</f>
        <v>62</v>
      </c>
      <c r="D176">
        <v>62</v>
      </c>
      <c r="E176">
        <f>Table1[[#This Row],[Number of Counties]]-Table1[[#This Row],[Number of precincts Reporting]]</f>
        <v>0</v>
      </c>
      <c r="F176" t="s">
        <v>0</v>
      </c>
      <c r="G176" t="s">
        <v>1</v>
      </c>
      <c r="H176">
        <v>101</v>
      </c>
      <c r="I176">
        <v>501</v>
      </c>
      <c r="J176" t="s">
        <v>10</v>
      </c>
      <c r="K176" t="s">
        <v>11</v>
      </c>
      <c r="L176">
        <v>62</v>
      </c>
      <c r="M176">
        <v>91</v>
      </c>
      <c r="N176">
        <v>0.21</v>
      </c>
      <c r="O176">
        <v>42366</v>
      </c>
    </row>
    <row r="177" spans="1:15" x14ac:dyDescent="0.2">
      <c r="A177">
        <v>18</v>
      </c>
      <c r="B177" t="str">
        <f>VLOOKUP(Table1[[#This Row],[CountyID]],[1]!Table1[#All],2,FALSE)</f>
        <v>Crow Wing</v>
      </c>
      <c r="C177">
        <f>VLOOKUP(Table1[[#This Row],[CountyID]],[1]!Table1[#All],3,FALSE)</f>
        <v>62</v>
      </c>
      <c r="D177">
        <v>62</v>
      </c>
      <c r="E177">
        <f>Table1[[#This Row],[Number of Counties]]-Table1[[#This Row],[Number of precincts Reporting]]</f>
        <v>0</v>
      </c>
      <c r="F177" t="s">
        <v>0</v>
      </c>
      <c r="G177" t="s">
        <v>1</v>
      </c>
      <c r="H177">
        <v>101</v>
      </c>
      <c r="I177">
        <v>601</v>
      </c>
      <c r="J177" t="s">
        <v>12</v>
      </c>
      <c r="K177" t="s">
        <v>13</v>
      </c>
      <c r="L177">
        <v>62</v>
      </c>
      <c r="M177">
        <v>11</v>
      </c>
      <c r="N177">
        <v>0.03</v>
      </c>
      <c r="O177">
        <v>42366</v>
      </c>
    </row>
    <row r="178" spans="1:15" x14ac:dyDescent="0.2">
      <c r="A178">
        <v>18</v>
      </c>
      <c r="B178" t="str">
        <f>VLOOKUP(Table1[[#This Row],[CountyID]],[1]!Table1[#All],2,FALSE)</f>
        <v>Crow Wing</v>
      </c>
      <c r="C178">
        <f>VLOOKUP(Table1[[#This Row],[CountyID]],[1]!Table1[#All],3,FALSE)</f>
        <v>62</v>
      </c>
      <c r="D178">
        <v>62</v>
      </c>
      <c r="E178">
        <f>Table1[[#This Row],[Number of Counties]]-Table1[[#This Row],[Number of precincts Reporting]]</f>
        <v>0</v>
      </c>
      <c r="F178" t="s">
        <v>0</v>
      </c>
      <c r="G178" t="s">
        <v>1</v>
      </c>
      <c r="H178">
        <v>101</v>
      </c>
      <c r="I178">
        <v>701</v>
      </c>
      <c r="J178" t="s">
        <v>14</v>
      </c>
      <c r="K178" t="s">
        <v>15</v>
      </c>
      <c r="L178">
        <v>62</v>
      </c>
      <c r="M178">
        <v>5</v>
      </c>
      <c r="N178">
        <v>0.01</v>
      </c>
      <c r="O178">
        <v>42366</v>
      </c>
    </row>
    <row r="179" spans="1:15" x14ac:dyDescent="0.2">
      <c r="A179">
        <v>18</v>
      </c>
      <c r="B179" t="str">
        <f>VLOOKUP(Table1[[#This Row],[CountyID]],[1]!Table1[#All],2,FALSE)</f>
        <v>Crow Wing</v>
      </c>
      <c r="C179">
        <f>VLOOKUP(Table1[[#This Row],[CountyID]],[1]!Table1[#All],3,FALSE)</f>
        <v>62</v>
      </c>
      <c r="D179">
        <v>62</v>
      </c>
      <c r="E179">
        <f>Table1[[#This Row],[Number of Counties]]-Table1[[#This Row],[Number of precincts Reporting]]</f>
        <v>0</v>
      </c>
      <c r="F179" t="s">
        <v>0</v>
      </c>
      <c r="G179" t="s">
        <v>1</v>
      </c>
      <c r="H179">
        <v>101</v>
      </c>
      <c r="I179">
        <v>801</v>
      </c>
      <c r="J179" t="s">
        <v>16</v>
      </c>
      <c r="K179" t="s">
        <v>17</v>
      </c>
      <c r="L179">
        <v>62</v>
      </c>
      <c r="M179">
        <v>9</v>
      </c>
      <c r="N179">
        <v>0.02</v>
      </c>
      <c r="O179">
        <v>42366</v>
      </c>
    </row>
    <row r="180" spans="1:15" x14ac:dyDescent="0.2">
      <c r="A180">
        <v>18</v>
      </c>
      <c r="B180" t="str">
        <f>VLOOKUP(Table1[[#This Row],[CountyID]],[1]!Table1[#All],2,FALSE)</f>
        <v>Crow Wing</v>
      </c>
      <c r="C180">
        <f>VLOOKUP(Table1[[#This Row],[CountyID]],[1]!Table1[#All],3,FALSE)</f>
        <v>62</v>
      </c>
      <c r="D180">
        <v>62</v>
      </c>
      <c r="E180">
        <f>Table1[[#This Row],[Number of Counties]]-Table1[[#This Row],[Number of precincts Reporting]]</f>
        <v>0</v>
      </c>
      <c r="F180" t="s">
        <v>0</v>
      </c>
      <c r="G180" t="s">
        <v>1</v>
      </c>
      <c r="H180">
        <v>101</v>
      </c>
      <c r="I180">
        <v>901</v>
      </c>
      <c r="J180" t="s">
        <v>18</v>
      </c>
      <c r="K180" t="s">
        <v>19</v>
      </c>
      <c r="L180">
        <v>62</v>
      </c>
      <c r="M180">
        <v>30</v>
      </c>
      <c r="N180">
        <v>7.0000000000000007E-2</v>
      </c>
      <c r="O180">
        <v>42366</v>
      </c>
    </row>
    <row r="181" spans="1:15" x14ac:dyDescent="0.2">
      <c r="A181">
        <v>18</v>
      </c>
      <c r="B181" t="str">
        <f>VLOOKUP(Table1[[#This Row],[CountyID]],[1]!Table1[#All],2,FALSE)</f>
        <v>Crow Wing</v>
      </c>
      <c r="C181">
        <f>VLOOKUP(Table1[[#This Row],[CountyID]],[1]!Table1[#All],3,FALSE)</f>
        <v>62</v>
      </c>
      <c r="D181">
        <v>62</v>
      </c>
      <c r="E181">
        <f>Table1[[#This Row],[Number of Counties]]-Table1[[#This Row],[Number of precincts Reporting]]</f>
        <v>0</v>
      </c>
      <c r="F181" t="s">
        <v>0</v>
      </c>
      <c r="G181" t="s">
        <v>1</v>
      </c>
      <c r="H181">
        <v>101</v>
      </c>
      <c r="I181">
        <v>9901</v>
      </c>
      <c r="J181" t="s">
        <v>20</v>
      </c>
      <c r="K181" t="s">
        <v>21</v>
      </c>
      <c r="L181">
        <v>62</v>
      </c>
      <c r="M181">
        <v>154</v>
      </c>
      <c r="N181">
        <v>0.36</v>
      </c>
      <c r="O181">
        <v>42366</v>
      </c>
    </row>
    <row r="182" spans="1:15" x14ac:dyDescent="0.2">
      <c r="A182">
        <v>19</v>
      </c>
      <c r="B182" t="str">
        <f>VLOOKUP(Table1[[#This Row],[CountyID]],[1]!Table1[#All],2,FALSE)</f>
        <v>Dakota</v>
      </c>
      <c r="C182">
        <f>VLOOKUP(Table1[[#This Row],[CountyID]],[1]!Table1[#All],3,FALSE)</f>
        <v>142</v>
      </c>
      <c r="D182">
        <v>142</v>
      </c>
      <c r="E182">
        <f>Table1[[#This Row],[Number of Counties]]-Table1[[#This Row],[Number of precincts Reporting]]</f>
        <v>0</v>
      </c>
      <c r="F182" t="s">
        <v>0</v>
      </c>
      <c r="G182" t="s">
        <v>1</v>
      </c>
      <c r="H182">
        <v>101</v>
      </c>
      <c r="I182">
        <v>101</v>
      </c>
      <c r="J182" t="s">
        <v>2</v>
      </c>
      <c r="K182" t="s">
        <v>3</v>
      </c>
      <c r="L182">
        <v>142</v>
      </c>
      <c r="M182">
        <v>109995</v>
      </c>
      <c r="N182">
        <v>42.34</v>
      </c>
      <c r="O182">
        <v>259805</v>
      </c>
    </row>
    <row r="183" spans="1:15" x14ac:dyDescent="0.2">
      <c r="A183">
        <v>19</v>
      </c>
      <c r="B183" t="str">
        <f>VLOOKUP(Table1[[#This Row],[CountyID]],[1]!Table1[#All],2,FALSE)</f>
        <v>Dakota</v>
      </c>
      <c r="C183">
        <f>VLOOKUP(Table1[[#This Row],[CountyID]],[1]!Table1[#All],3,FALSE)</f>
        <v>142</v>
      </c>
      <c r="D183">
        <v>142</v>
      </c>
      <c r="E183">
        <f>Table1[[#This Row],[Number of Counties]]-Table1[[#This Row],[Number of precincts Reporting]]</f>
        <v>0</v>
      </c>
      <c r="F183" t="s">
        <v>0</v>
      </c>
      <c r="G183" t="s">
        <v>1</v>
      </c>
      <c r="H183">
        <v>101</v>
      </c>
      <c r="I183">
        <v>201</v>
      </c>
      <c r="J183" t="s">
        <v>4</v>
      </c>
      <c r="K183" t="s">
        <v>5</v>
      </c>
      <c r="L183">
        <v>142</v>
      </c>
      <c r="M183">
        <v>143267</v>
      </c>
      <c r="N183">
        <v>55.14</v>
      </c>
      <c r="O183">
        <v>259805</v>
      </c>
    </row>
    <row r="184" spans="1:15" x14ac:dyDescent="0.2">
      <c r="A184">
        <v>19</v>
      </c>
      <c r="B184" t="str">
        <f>VLOOKUP(Table1[[#This Row],[CountyID]],[1]!Table1[#All],2,FALSE)</f>
        <v>Dakota</v>
      </c>
      <c r="C184">
        <f>VLOOKUP(Table1[[#This Row],[CountyID]],[1]!Table1[#All],3,FALSE)</f>
        <v>142</v>
      </c>
      <c r="D184">
        <v>142</v>
      </c>
      <c r="E184">
        <f>Table1[[#This Row],[Number of Counties]]-Table1[[#This Row],[Number of precincts Reporting]]</f>
        <v>0</v>
      </c>
      <c r="F184" t="s">
        <v>0</v>
      </c>
      <c r="G184" t="s">
        <v>1</v>
      </c>
      <c r="H184">
        <v>101</v>
      </c>
      <c r="I184">
        <v>301</v>
      </c>
      <c r="J184" t="s">
        <v>6</v>
      </c>
      <c r="K184" t="s">
        <v>7</v>
      </c>
      <c r="L184">
        <v>142</v>
      </c>
      <c r="M184">
        <v>1346</v>
      </c>
      <c r="N184">
        <v>0.52</v>
      </c>
      <c r="O184">
        <v>259805</v>
      </c>
    </row>
    <row r="185" spans="1:15" x14ac:dyDescent="0.2">
      <c r="A185">
        <v>19</v>
      </c>
      <c r="B185" t="str">
        <f>VLOOKUP(Table1[[#This Row],[CountyID]],[1]!Table1[#All],2,FALSE)</f>
        <v>Dakota</v>
      </c>
      <c r="C185">
        <f>VLOOKUP(Table1[[#This Row],[CountyID]],[1]!Table1[#All],3,FALSE)</f>
        <v>142</v>
      </c>
      <c r="D185">
        <v>142</v>
      </c>
      <c r="E185">
        <f>Table1[[#This Row],[Number of Counties]]-Table1[[#This Row],[Number of precincts Reporting]]</f>
        <v>0</v>
      </c>
      <c r="F185" t="s">
        <v>0</v>
      </c>
      <c r="G185" t="s">
        <v>1</v>
      </c>
      <c r="H185">
        <v>101</v>
      </c>
      <c r="I185">
        <v>401</v>
      </c>
      <c r="J185" t="s">
        <v>8</v>
      </c>
      <c r="K185" t="s">
        <v>9</v>
      </c>
      <c r="L185">
        <v>142</v>
      </c>
      <c r="M185">
        <v>1777</v>
      </c>
      <c r="N185">
        <v>0.68</v>
      </c>
      <c r="O185">
        <v>259805</v>
      </c>
    </row>
    <row r="186" spans="1:15" x14ac:dyDescent="0.2">
      <c r="A186">
        <v>19</v>
      </c>
      <c r="B186" t="str">
        <f>VLOOKUP(Table1[[#This Row],[CountyID]],[1]!Table1[#All],2,FALSE)</f>
        <v>Dakota</v>
      </c>
      <c r="C186">
        <f>VLOOKUP(Table1[[#This Row],[CountyID]],[1]!Table1[#All],3,FALSE)</f>
        <v>142</v>
      </c>
      <c r="D186">
        <v>142</v>
      </c>
      <c r="E186">
        <f>Table1[[#This Row],[Number of Counties]]-Table1[[#This Row],[Number of precincts Reporting]]</f>
        <v>0</v>
      </c>
      <c r="F186" t="s">
        <v>0</v>
      </c>
      <c r="G186" t="s">
        <v>1</v>
      </c>
      <c r="H186">
        <v>101</v>
      </c>
      <c r="I186">
        <v>501</v>
      </c>
      <c r="J186" t="s">
        <v>10</v>
      </c>
      <c r="K186" t="s">
        <v>11</v>
      </c>
      <c r="L186">
        <v>142</v>
      </c>
      <c r="M186">
        <v>1499</v>
      </c>
      <c r="N186">
        <v>0.57999999999999996</v>
      </c>
      <c r="O186">
        <v>259805</v>
      </c>
    </row>
    <row r="187" spans="1:15" x14ac:dyDescent="0.2">
      <c r="A187">
        <v>19</v>
      </c>
      <c r="B187" t="str">
        <f>VLOOKUP(Table1[[#This Row],[CountyID]],[1]!Table1[#All],2,FALSE)</f>
        <v>Dakota</v>
      </c>
      <c r="C187">
        <f>VLOOKUP(Table1[[#This Row],[CountyID]],[1]!Table1[#All],3,FALSE)</f>
        <v>142</v>
      </c>
      <c r="D187">
        <v>142</v>
      </c>
      <c r="E187">
        <f>Table1[[#This Row],[Number of Counties]]-Table1[[#This Row],[Number of precincts Reporting]]</f>
        <v>0</v>
      </c>
      <c r="F187" t="s">
        <v>0</v>
      </c>
      <c r="G187" t="s">
        <v>1</v>
      </c>
      <c r="H187">
        <v>101</v>
      </c>
      <c r="I187">
        <v>601</v>
      </c>
      <c r="J187" t="s">
        <v>12</v>
      </c>
      <c r="K187" t="s">
        <v>13</v>
      </c>
      <c r="L187">
        <v>142</v>
      </c>
      <c r="M187">
        <v>173</v>
      </c>
      <c r="N187">
        <v>7.0000000000000007E-2</v>
      </c>
      <c r="O187">
        <v>259805</v>
      </c>
    </row>
    <row r="188" spans="1:15" x14ac:dyDescent="0.2">
      <c r="A188">
        <v>19</v>
      </c>
      <c r="B188" t="str">
        <f>VLOOKUP(Table1[[#This Row],[CountyID]],[1]!Table1[#All],2,FALSE)</f>
        <v>Dakota</v>
      </c>
      <c r="C188">
        <f>VLOOKUP(Table1[[#This Row],[CountyID]],[1]!Table1[#All],3,FALSE)</f>
        <v>142</v>
      </c>
      <c r="D188">
        <v>142</v>
      </c>
      <c r="E188">
        <f>Table1[[#This Row],[Number of Counties]]-Table1[[#This Row],[Number of precincts Reporting]]</f>
        <v>0</v>
      </c>
      <c r="F188" t="s">
        <v>0</v>
      </c>
      <c r="G188" t="s">
        <v>1</v>
      </c>
      <c r="H188">
        <v>101</v>
      </c>
      <c r="I188">
        <v>701</v>
      </c>
      <c r="J188" t="s">
        <v>14</v>
      </c>
      <c r="K188" t="s">
        <v>15</v>
      </c>
      <c r="L188">
        <v>142</v>
      </c>
      <c r="M188">
        <v>26</v>
      </c>
      <c r="N188">
        <v>0.01</v>
      </c>
      <c r="O188">
        <v>259805</v>
      </c>
    </row>
    <row r="189" spans="1:15" x14ac:dyDescent="0.2">
      <c r="A189">
        <v>19</v>
      </c>
      <c r="B189" t="str">
        <f>VLOOKUP(Table1[[#This Row],[CountyID]],[1]!Table1[#All],2,FALSE)</f>
        <v>Dakota</v>
      </c>
      <c r="C189">
        <f>VLOOKUP(Table1[[#This Row],[CountyID]],[1]!Table1[#All],3,FALSE)</f>
        <v>142</v>
      </c>
      <c r="D189">
        <v>142</v>
      </c>
      <c r="E189">
        <f>Table1[[#This Row],[Number of Counties]]-Table1[[#This Row],[Number of precincts Reporting]]</f>
        <v>0</v>
      </c>
      <c r="F189" t="s">
        <v>0</v>
      </c>
      <c r="G189" t="s">
        <v>1</v>
      </c>
      <c r="H189">
        <v>101</v>
      </c>
      <c r="I189">
        <v>801</v>
      </c>
      <c r="J189" t="s">
        <v>16</v>
      </c>
      <c r="K189" t="s">
        <v>17</v>
      </c>
      <c r="L189">
        <v>142</v>
      </c>
      <c r="M189">
        <v>235</v>
      </c>
      <c r="N189">
        <v>0.09</v>
      </c>
      <c r="O189">
        <v>259805</v>
      </c>
    </row>
    <row r="190" spans="1:15" x14ac:dyDescent="0.2">
      <c r="A190">
        <v>19</v>
      </c>
      <c r="B190" t="str">
        <f>VLOOKUP(Table1[[#This Row],[CountyID]],[1]!Table1[#All],2,FALSE)</f>
        <v>Dakota</v>
      </c>
      <c r="C190">
        <f>VLOOKUP(Table1[[#This Row],[CountyID]],[1]!Table1[#All],3,FALSE)</f>
        <v>142</v>
      </c>
      <c r="D190">
        <v>142</v>
      </c>
      <c r="E190">
        <f>Table1[[#This Row],[Number of Counties]]-Table1[[#This Row],[Number of precincts Reporting]]</f>
        <v>0</v>
      </c>
      <c r="F190" t="s">
        <v>0</v>
      </c>
      <c r="G190" t="s">
        <v>1</v>
      </c>
      <c r="H190">
        <v>101</v>
      </c>
      <c r="I190">
        <v>901</v>
      </c>
      <c r="J190" t="s">
        <v>18</v>
      </c>
      <c r="K190" t="s">
        <v>19</v>
      </c>
      <c r="L190">
        <v>142</v>
      </c>
      <c r="M190">
        <v>272</v>
      </c>
      <c r="N190">
        <v>0.1</v>
      </c>
      <c r="O190">
        <v>259805</v>
      </c>
    </row>
    <row r="191" spans="1:15" x14ac:dyDescent="0.2">
      <c r="A191">
        <v>19</v>
      </c>
      <c r="B191" t="str">
        <f>VLOOKUP(Table1[[#This Row],[CountyID]],[1]!Table1[#All],2,FALSE)</f>
        <v>Dakota</v>
      </c>
      <c r="C191">
        <f>VLOOKUP(Table1[[#This Row],[CountyID]],[1]!Table1[#All],3,FALSE)</f>
        <v>142</v>
      </c>
      <c r="D191">
        <v>142</v>
      </c>
      <c r="E191">
        <f>Table1[[#This Row],[Number of Counties]]-Table1[[#This Row],[Number of precincts Reporting]]</f>
        <v>0</v>
      </c>
      <c r="F191" t="s">
        <v>0</v>
      </c>
      <c r="G191" t="s">
        <v>1</v>
      </c>
      <c r="H191">
        <v>101</v>
      </c>
      <c r="I191">
        <v>9901</v>
      </c>
      <c r="J191" t="s">
        <v>20</v>
      </c>
      <c r="K191" t="s">
        <v>21</v>
      </c>
      <c r="L191">
        <v>142</v>
      </c>
      <c r="M191">
        <v>1215</v>
      </c>
      <c r="N191">
        <v>0.47</v>
      </c>
      <c r="O191">
        <v>259805</v>
      </c>
    </row>
    <row r="192" spans="1:15" x14ac:dyDescent="0.2">
      <c r="A192">
        <v>20</v>
      </c>
      <c r="B192" t="str">
        <f>VLOOKUP(Table1[[#This Row],[CountyID]],[1]!Table1[#All],2,FALSE)</f>
        <v>Dodge</v>
      </c>
      <c r="C192">
        <f>VLOOKUP(Table1[[#This Row],[CountyID]],[1]!Table1[#All],3,FALSE)</f>
        <v>22</v>
      </c>
      <c r="D192">
        <v>22</v>
      </c>
      <c r="E192">
        <f>Table1[[#This Row],[Number of Counties]]-Table1[[#This Row],[Number of precincts Reporting]]</f>
        <v>0</v>
      </c>
      <c r="F192" t="s">
        <v>0</v>
      </c>
      <c r="G192" t="s">
        <v>1</v>
      </c>
      <c r="H192">
        <v>101</v>
      </c>
      <c r="I192">
        <v>101</v>
      </c>
      <c r="J192" t="s">
        <v>2</v>
      </c>
      <c r="K192" t="s">
        <v>3</v>
      </c>
      <c r="L192">
        <v>22</v>
      </c>
      <c r="M192">
        <v>8095</v>
      </c>
      <c r="N192">
        <v>64.84</v>
      </c>
      <c r="O192">
        <v>12484</v>
      </c>
    </row>
    <row r="193" spans="1:15" x14ac:dyDescent="0.2">
      <c r="A193">
        <v>20</v>
      </c>
      <c r="B193" t="str">
        <f>VLOOKUP(Table1[[#This Row],[CountyID]],[1]!Table1[#All],2,FALSE)</f>
        <v>Dodge</v>
      </c>
      <c r="C193">
        <f>VLOOKUP(Table1[[#This Row],[CountyID]],[1]!Table1[#All],3,FALSE)</f>
        <v>22</v>
      </c>
      <c r="D193">
        <v>22</v>
      </c>
      <c r="E193">
        <f>Table1[[#This Row],[Number of Counties]]-Table1[[#This Row],[Number of precincts Reporting]]</f>
        <v>0</v>
      </c>
      <c r="F193" t="s">
        <v>0</v>
      </c>
      <c r="G193" t="s">
        <v>1</v>
      </c>
      <c r="H193">
        <v>101</v>
      </c>
      <c r="I193">
        <v>201</v>
      </c>
      <c r="J193" t="s">
        <v>4</v>
      </c>
      <c r="K193" t="s">
        <v>5</v>
      </c>
      <c r="L193">
        <v>22</v>
      </c>
      <c r="M193">
        <v>4108</v>
      </c>
      <c r="N193">
        <v>32.909999999999997</v>
      </c>
      <c r="O193">
        <v>12484</v>
      </c>
    </row>
    <row r="194" spans="1:15" x14ac:dyDescent="0.2">
      <c r="A194">
        <v>20</v>
      </c>
      <c r="B194" t="str">
        <f>VLOOKUP(Table1[[#This Row],[CountyID]],[1]!Table1[#All],2,FALSE)</f>
        <v>Dodge</v>
      </c>
      <c r="C194">
        <f>VLOOKUP(Table1[[#This Row],[CountyID]],[1]!Table1[#All],3,FALSE)</f>
        <v>22</v>
      </c>
      <c r="D194">
        <v>22</v>
      </c>
      <c r="E194">
        <f>Table1[[#This Row],[Number of Counties]]-Table1[[#This Row],[Number of precincts Reporting]]</f>
        <v>0</v>
      </c>
      <c r="F194" t="s">
        <v>0</v>
      </c>
      <c r="G194" t="s">
        <v>1</v>
      </c>
      <c r="H194">
        <v>101</v>
      </c>
      <c r="I194">
        <v>301</v>
      </c>
      <c r="J194" t="s">
        <v>6</v>
      </c>
      <c r="K194" t="s">
        <v>7</v>
      </c>
      <c r="L194">
        <v>22</v>
      </c>
      <c r="M194">
        <v>50</v>
      </c>
      <c r="N194">
        <v>0.4</v>
      </c>
      <c r="O194">
        <v>12484</v>
      </c>
    </row>
    <row r="195" spans="1:15" x14ac:dyDescent="0.2">
      <c r="A195">
        <v>20</v>
      </c>
      <c r="B195" t="str">
        <f>VLOOKUP(Table1[[#This Row],[CountyID]],[1]!Table1[#All],2,FALSE)</f>
        <v>Dodge</v>
      </c>
      <c r="C195">
        <f>VLOOKUP(Table1[[#This Row],[CountyID]],[1]!Table1[#All],3,FALSE)</f>
        <v>22</v>
      </c>
      <c r="D195">
        <v>22</v>
      </c>
      <c r="E195">
        <f>Table1[[#This Row],[Number of Counties]]-Table1[[#This Row],[Number of precincts Reporting]]</f>
        <v>0</v>
      </c>
      <c r="F195" t="s">
        <v>0</v>
      </c>
      <c r="G195" t="s">
        <v>1</v>
      </c>
      <c r="H195">
        <v>101</v>
      </c>
      <c r="I195">
        <v>401</v>
      </c>
      <c r="J195" t="s">
        <v>8</v>
      </c>
      <c r="K195" t="s">
        <v>9</v>
      </c>
      <c r="L195">
        <v>22</v>
      </c>
      <c r="M195">
        <v>137</v>
      </c>
      <c r="N195">
        <v>1.1000000000000001</v>
      </c>
      <c r="O195">
        <v>12484</v>
      </c>
    </row>
    <row r="196" spans="1:15" x14ac:dyDescent="0.2">
      <c r="A196">
        <v>20</v>
      </c>
      <c r="B196" t="str">
        <f>VLOOKUP(Table1[[#This Row],[CountyID]],[1]!Table1[#All],2,FALSE)</f>
        <v>Dodge</v>
      </c>
      <c r="C196">
        <f>VLOOKUP(Table1[[#This Row],[CountyID]],[1]!Table1[#All],3,FALSE)</f>
        <v>22</v>
      </c>
      <c r="D196">
        <v>22</v>
      </c>
      <c r="E196">
        <f>Table1[[#This Row],[Number of Counties]]-Table1[[#This Row],[Number of precincts Reporting]]</f>
        <v>0</v>
      </c>
      <c r="F196" t="s">
        <v>0</v>
      </c>
      <c r="G196" t="s">
        <v>1</v>
      </c>
      <c r="H196">
        <v>101</v>
      </c>
      <c r="I196">
        <v>501</v>
      </c>
      <c r="J196" t="s">
        <v>10</v>
      </c>
      <c r="K196" t="s">
        <v>11</v>
      </c>
      <c r="L196">
        <v>22</v>
      </c>
      <c r="M196">
        <v>29</v>
      </c>
      <c r="N196">
        <v>0.23</v>
      </c>
      <c r="O196">
        <v>12484</v>
      </c>
    </row>
    <row r="197" spans="1:15" x14ac:dyDescent="0.2">
      <c r="A197">
        <v>20</v>
      </c>
      <c r="B197" t="str">
        <f>VLOOKUP(Table1[[#This Row],[CountyID]],[1]!Table1[#All],2,FALSE)</f>
        <v>Dodge</v>
      </c>
      <c r="C197">
        <f>VLOOKUP(Table1[[#This Row],[CountyID]],[1]!Table1[#All],3,FALSE)</f>
        <v>22</v>
      </c>
      <c r="D197">
        <v>22</v>
      </c>
      <c r="E197">
        <f>Table1[[#This Row],[Number of Counties]]-Table1[[#This Row],[Number of precincts Reporting]]</f>
        <v>0</v>
      </c>
      <c r="F197" t="s">
        <v>0</v>
      </c>
      <c r="G197" t="s">
        <v>1</v>
      </c>
      <c r="H197">
        <v>101</v>
      </c>
      <c r="I197">
        <v>601</v>
      </c>
      <c r="J197" t="s">
        <v>12</v>
      </c>
      <c r="K197" t="s">
        <v>13</v>
      </c>
      <c r="L197">
        <v>22</v>
      </c>
      <c r="M197">
        <v>6</v>
      </c>
      <c r="N197">
        <v>0.05</v>
      </c>
      <c r="O197">
        <v>12484</v>
      </c>
    </row>
    <row r="198" spans="1:15" x14ac:dyDescent="0.2">
      <c r="A198">
        <v>20</v>
      </c>
      <c r="B198" t="str">
        <f>VLOOKUP(Table1[[#This Row],[CountyID]],[1]!Table1[#All],2,FALSE)</f>
        <v>Dodge</v>
      </c>
      <c r="C198">
        <f>VLOOKUP(Table1[[#This Row],[CountyID]],[1]!Table1[#All],3,FALSE)</f>
        <v>22</v>
      </c>
      <c r="D198">
        <v>22</v>
      </c>
      <c r="E198">
        <f>Table1[[#This Row],[Number of Counties]]-Table1[[#This Row],[Number of precincts Reporting]]</f>
        <v>0</v>
      </c>
      <c r="F198" t="s">
        <v>0</v>
      </c>
      <c r="G198" t="s">
        <v>1</v>
      </c>
      <c r="H198">
        <v>101</v>
      </c>
      <c r="I198">
        <v>701</v>
      </c>
      <c r="J198" t="s">
        <v>14</v>
      </c>
      <c r="K198" t="s">
        <v>15</v>
      </c>
      <c r="L198">
        <v>22</v>
      </c>
      <c r="M198">
        <v>2</v>
      </c>
      <c r="N198">
        <v>0.02</v>
      </c>
      <c r="O198">
        <v>12484</v>
      </c>
    </row>
    <row r="199" spans="1:15" x14ac:dyDescent="0.2">
      <c r="A199">
        <v>20</v>
      </c>
      <c r="B199" t="str">
        <f>VLOOKUP(Table1[[#This Row],[CountyID]],[1]!Table1[#All],2,FALSE)</f>
        <v>Dodge</v>
      </c>
      <c r="C199">
        <f>VLOOKUP(Table1[[#This Row],[CountyID]],[1]!Table1[#All],3,FALSE)</f>
        <v>22</v>
      </c>
      <c r="D199">
        <v>22</v>
      </c>
      <c r="E199">
        <f>Table1[[#This Row],[Number of Counties]]-Table1[[#This Row],[Number of precincts Reporting]]</f>
        <v>0</v>
      </c>
      <c r="F199" t="s">
        <v>0</v>
      </c>
      <c r="G199" t="s">
        <v>1</v>
      </c>
      <c r="H199">
        <v>101</v>
      </c>
      <c r="I199">
        <v>801</v>
      </c>
      <c r="J199" t="s">
        <v>16</v>
      </c>
      <c r="K199" t="s">
        <v>17</v>
      </c>
      <c r="L199">
        <v>22</v>
      </c>
      <c r="M199">
        <v>9</v>
      </c>
      <c r="N199">
        <v>7.0000000000000007E-2</v>
      </c>
      <c r="O199">
        <v>12484</v>
      </c>
    </row>
    <row r="200" spans="1:15" x14ac:dyDescent="0.2">
      <c r="A200">
        <v>20</v>
      </c>
      <c r="B200" t="str">
        <f>VLOOKUP(Table1[[#This Row],[CountyID]],[1]!Table1[#All],2,FALSE)</f>
        <v>Dodge</v>
      </c>
      <c r="C200">
        <f>VLOOKUP(Table1[[#This Row],[CountyID]],[1]!Table1[#All],3,FALSE)</f>
        <v>22</v>
      </c>
      <c r="D200">
        <v>22</v>
      </c>
      <c r="E200">
        <f>Table1[[#This Row],[Number of Counties]]-Table1[[#This Row],[Number of precincts Reporting]]</f>
        <v>0</v>
      </c>
      <c r="F200" t="s">
        <v>0</v>
      </c>
      <c r="G200" t="s">
        <v>1</v>
      </c>
      <c r="H200">
        <v>101</v>
      </c>
      <c r="I200">
        <v>901</v>
      </c>
      <c r="J200" t="s">
        <v>18</v>
      </c>
      <c r="K200" t="s">
        <v>19</v>
      </c>
      <c r="L200">
        <v>22</v>
      </c>
      <c r="M200">
        <v>12</v>
      </c>
      <c r="N200">
        <v>0.1</v>
      </c>
      <c r="O200">
        <v>12484</v>
      </c>
    </row>
    <row r="201" spans="1:15" x14ac:dyDescent="0.2">
      <c r="A201">
        <v>20</v>
      </c>
      <c r="B201" t="str">
        <f>VLOOKUP(Table1[[#This Row],[CountyID]],[1]!Table1[#All],2,FALSE)</f>
        <v>Dodge</v>
      </c>
      <c r="C201">
        <f>VLOOKUP(Table1[[#This Row],[CountyID]],[1]!Table1[#All],3,FALSE)</f>
        <v>22</v>
      </c>
      <c r="D201">
        <v>22</v>
      </c>
      <c r="E201">
        <f>Table1[[#This Row],[Number of Counties]]-Table1[[#This Row],[Number of precincts Reporting]]</f>
        <v>0</v>
      </c>
      <c r="F201" t="s">
        <v>0</v>
      </c>
      <c r="G201" t="s">
        <v>1</v>
      </c>
      <c r="H201">
        <v>101</v>
      </c>
      <c r="I201">
        <v>9901</v>
      </c>
      <c r="J201" t="s">
        <v>20</v>
      </c>
      <c r="K201" t="s">
        <v>21</v>
      </c>
      <c r="L201">
        <v>22</v>
      </c>
      <c r="M201">
        <v>36</v>
      </c>
      <c r="N201">
        <v>0.28999999999999998</v>
      </c>
      <c r="O201">
        <v>12484</v>
      </c>
    </row>
    <row r="202" spans="1:15" x14ac:dyDescent="0.2">
      <c r="A202">
        <v>21</v>
      </c>
      <c r="B202" t="str">
        <f>VLOOKUP(Table1[[#This Row],[CountyID]],[1]!Table1[#All],2,FALSE)</f>
        <v>Douglas</v>
      </c>
      <c r="C202">
        <f>VLOOKUP(Table1[[#This Row],[CountyID]],[1]!Table1[#All],3,FALSE)</f>
        <v>36</v>
      </c>
      <c r="D202">
        <v>36</v>
      </c>
      <c r="E202">
        <f>Table1[[#This Row],[Number of Counties]]-Table1[[#This Row],[Number of precincts Reporting]]</f>
        <v>0</v>
      </c>
      <c r="F202" t="s">
        <v>0</v>
      </c>
      <c r="G202" t="s">
        <v>1</v>
      </c>
      <c r="H202">
        <v>101</v>
      </c>
      <c r="I202">
        <v>101</v>
      </c>
      <c r="J202" t="s">
        <v>2</v>
      </c>
      <c r="K202" t="s">
        <v>3</v>
      </c>
      <c r="L202">
        <v>36</v>
      </c>
      <c r="M202">
        <v>16726</v>
      </c>
      <c r="N202">
        <v>66.62</v>
      </c>
      <c r="O202">
        <v>25106</v>
      </c>
    </row>
    <row r="203" spans="1:15" x14ac:dyDescent="0.2">
      <c r="A203">
        <v>21</v>
      </c>
      <c r="B203" t="str">
        <f>VLOOKUP(Table1[[#This Row],[CountyID]],[1]!Table1[#All],2,FALSE)</f>
        <v>Douglas</v>
      </c>
      <c r="C203">
        <f>VLOOKUP(Table1[[#This Row],[CountyID]],[1]!Table1[#All],3,FALSE)</f>
        <v>36</v>
      </c>
      <c r="D203">
        <v>36</v>
      </c>
      <c r="E203">
        <f>Table1[[#This Row],[Number of Counties]]-Table1[[#This Row],[Number of precincts Reporting]]</f>
        <v>0</v>
      </c>
      <c r="F203" t="s">
        <v>0</v>
      </c>
      <c r="G203" t="s">
        <v>1</v>
      </c>
      <c r="H203">
        <v>101</v>
      </c>
      <c r="I203">
        <v>201</v>
      </c>
      <c r="J203" t="s">
        <v>4</v>
      </c>
      <c r="K203" t="s">
        <v>5</v>
      </c>
      <c r="L203">
        <v>36</v>
      </c>
      <c r="M203">
        <v>7938</v>
      </c>
      <c r="N203">
        <v>31.62</v>
      </c>
      <c r="O203">
        <v>25106</v>
      </c>
    </row>
    <row r="204" spans="1:15" x14ac:dyDescent="0.2">
      <c r="A204">
        <v>21</v>
      </c>
      <c r="B204" t="str">
        <f>VLOOKUP(Table1[[#This Row],[CountyID]],[1]!Table1[#All],2,FALSE)</f>
        <v>Douglas</v>
      </c>
      <c r="C204">
        <f>VLOOKUP(Table1[[#This Row],[CountyID]],[1]!Table1[#All],3,FALSE)</f>
        <v>36</v>
      </c>
      <c r="D204">
        <v>36</v>
      </c>
      <c r="E204">
        <f>Table1[[#This Row],[Number of Counties]]-Table1[[#This Row],[Number of precincts Reporting]]</f>
        <v>0</v>
      </c>
      <c r="F204" t="s">
        <v>0</v>
      </c>
      <c r="G204" t="s">
        <v>1</v>
      </c>
      <c r="H204">
        <v>101</v>
      </c>
      <c r="I204">
        <v>301</v>
      </c>
      <c r="J204" t="s">
        <v>6</v>
      </c>
      <c r="K204" t="s">
        <v>7</v>
      </c>
      <c r="L204">
        <v>36</v>
      </c>
      <c r="M204">
        <v>72</v>
      </c>
      <c r="N204">
        <v>0.28999999999999998</v>
      </c>
      <c r="O204">
        <v>25106</v>
      </c>
    </row>
    <row r="205" spans="1:15" x14ac:dyDescent="0.2">
      <c r="A205">
        <v>21</v>
      </c>
      <c r="B205" t="str">
        <f>VLOOKUP(Table1[[#This Row],[CountyID]],[1]!Table1[#All],2,FALSE)</f>
        <v>Douglas</v>
      </c>
      <c r="C205">
        <f>VLOOKUP(Table1[[#This Row],[CountyID]],[1]!Table1[#All],3,FALSE)</f>
        <v>36</v>
      </c>
      <c r="D205">
        <v>36</v>
      </c>
      <c r="E205">
        <f>Table1[[#This Row],[Number of Counties]]-Table1[[#This Row],[Number of precincts Reporting]]</f>
        <v>0</v>
      </c>
      <c r="F205" t="s">
        <v>0</v>
      </c>
      <c r="G205" t="s">
        <v>1</v>
      </c>
      <c r="H205">
        <v>101</v>
      </c>
      <c r="I205">
        <v>401</v>
      </c>
      <c r="J205" t="s">
        <v>8</v>
      </c>
      <c r="K205" t="s">
        <v>9</v>
      </c>
      <c r="L205">
        <v>36</v>
      </c>
      <c r="M205">
        <v>193</v>
      </c>
      <c r="N205">
        <v>0.77</v>
      </c>
      <c r="O205">
        <v>25106</v>
      </c>
    </row>
    <row r="206" spans="1:15" x14ac:dyDescent="0.2">
      <c r="A206">
        <v>21</v>
      </c>
      <c r="B206" t="str">
        <f>VLOOKUP(Table1[[#This Row],[CountyID]],[1]!Table1[#All],2,FALSE)</f>
        <v>Douglas</v>
      </c>
      <c r="C206">
        <f>VLOOKUP(Table1[[#This Row],[CountyID]],[1]!Table1[#All],3,FALSE)</f>
        <v>36</v>
      </c>
      <c r="D206">
        <v>36</v>
      </c>
      <c r="E206">
        <f>Table1[[#This Row],[Number of Counties]]-Table1[[#This Row],[Number of precincts Reporting]]</f>
        <v>0</v>
      </c>
      <c r="F206" t="s">
        <v>0</v>
      </c>
      <c r="G206" t="s">
        <v>1</v>
      </c>
      <c r="H206">
        <v>101</v>
      </c>
      <c r="I206">
        <v>501</v>
      </c>
      <c r="J206" t="s">
        <v>10</v>
      </c>
      <c r="K206" t="s">
        <v>11</v>
      </c>
      <c r="L206">
        <v>36</v>
      </c>
      <c r="M206">
        <v>47</v>
      </c>
      <c r="N206">
        <v>0.19</v>
      </c>
      <c r="O206">
        <v>25106</v>
      </c>
    </row>
    <row r="207" spans="1:15" x14ac:dyDescent="0.2">
      <c r="A207">
        <v>21</v>
      </c>
      <c r="B207" t="str">
        <f>VLOOKUP(Table1[[#This Row],[CountyID]],[1]!Table1[#All],2,FALSE)</f>
        <v>Douglas</v>
      </c>
      <c r="C207">
        <f>VLOOKUP(Table1[[#This Row],[CountyID]],[1]!Table1[#All],3,FALSE)</f>
        <v>36</v>
      </c>
      <c r="D207">
        <v>36</v>
      </c>
      <c r="E207">
        <f>Table1[[#This Row],[Number of Counties]]-Table1[[#This Row],[Number of precincts Reporting]]</f>
        <v>0</v>
      </c>
      <c r="F207" t="s">
        <v>0</v>
      </c>
      <c r="G207" t="s">
        <v>1</v>
      </c>
      <c r="H207">
        <v>101</v>
      </c>
      <c r="I207">
        <v>601</v>
      </c>
      <c r="J207" t="s">
        <v>12</v>
      </c>
      <c r="K207" t="s">
        <v>13</v>
      </c>
      <c r="L207">
        <v>36</v>
      </c>
      <c r="M207">
        <v>7</v>
      </c>
      <c r="N207">
        <v>0.03</v>
      </c>
      <c r="O207">
        <v>25106</v>
      </c>
    </row>
    <row r="208" spans="1:15" x14ac:dyDescent="0.2">
      <c r="A208">
        <v>21</v>
      </c>
      <c r="B208" t="str">
        <f>VLOOKUP(Table1[[#This Row],[CountyID]],[1]!Table1[#All],2,FALSE)</f>
        <v>Douglas</v>
      </c>
      <c r="C208">
        <f>VLOOKUP(Table1[[#This Row],[CountyID]],[1]!Table1[#All],3,FALSE)</f>
        <v>36</v>
      </c>
      <c r="D208">
        <v>36</v>
      </c>
      <c r="E208">
        <f>Table1[[#This Row],[Number of Counties]]-Table1[[#This Row],[Number of precincts Reporting]]</f>
        <v>0</v>
      </c>
      <c r="F208" t="s">
        <v>0</v>
      </c>
      <c r="G208" t="s">
        <v>1</v>
      </c>
      <c r="H208">
        <v>101</v>
      </c>
      <c r="I208">
        <v>701</v>
      </c>
      <c r="J208" t="s">
        <v>14</v>
      </c>
      <c r="K208" t="s">
        <v>15</v>
      </c>
      <c r="L208">
        <v>36</v>
      </c>
      <c r="M208">
        <v>0</v>
      </c>
      <c r="N208">
        <v>0</v>
      </c>
      <c r="O208">
        <v>25106</v>
      </c>
    </row>
    <row r="209" spans="1:15" x14ac:dyDescent="0.2">
      <c r="A209">
        <v>21</v>
      </c>
      <c r="B209" t="str">
        <f>VLOOKUP(Table1[[#This Row],[CountyID]],[1]!Table1[#All],2,FALSE)</f>
        <v>Douglas</v>
      </c>
      <c r="C209">
        <f>VLOOKUP(Table1[[#This Row],[CountyID]],[1]!Table1[#All],3,FALSE)</f>
        <v>36</v>
      </c>
      <c r="D209">
        <v>36</v>
      </c>
      <c r="E209">
        <f>Table1[[#This Row],[Number of Counties]]-Table1[[#This Row],[Number of precincts Reporting]]</f>
        <v>0</v>
      </c>
      <c r="F209" t="s">
        <v>0</v>
      </c>
      <c r="G209" t="s">
        <v>1</v>
      </c>
      <c r="H209">
        <v>101</v>
      </c>
      <c r="I209">
        <v>801</v>
      </c>
      <c r="J209" t="s">
        <v>16</v>
      </c>
      <c r="K209" t="s">
        <v>17</v>
      </c>
      <c r="L209">
        <v>36</v>
      </c>
      <c r="M209">
        <v>11</v>
      </c>
      <c r="N209">
        <v>0.04</v>
      </c>
      <c r="O209">
        <v>25106</v>
      </c>
    </row>
    <row r="210" spans="1:15" x14ac:dyDescent="0.2">
      <c r="A210">
        <v>21</v>
      </c>
      <c r="B210" t="str">
        <f>VLOOKUP(Table1[[#This Row],[CountyID]],[1]!Table1[#All],2,FALSE)</f>
        <v>Douglas</v>
      </c>
      <c r="C210">
        <f>VLOOKUP(Table1[[#This Row],[CountyID]],[1]!Table1[#All],3,FALSE)</f>
        <v>36</v>
      </c>
      <c r="D210">
        <v>36</v>
      </c>
      <c r="E210">
        <f>Table1[[#This Row],[Number of Counties]]-Table1[[#This Row],[Number of precincts Reporting]]</f>
        <v>0</v>
      </c>
      <c r="F210" t="s">
        <v>0</v>
      </c>
      <c r="G210" t="s">
        <v>1</v>
      </c>
      <c r="H210">
        <v>101</v>
      </c>
      <c r="I210">
        <v>901</v>
      </c>
      <c r="J210" t="s">
        <v>18</v>
      </c>
      <c r="K210" t="s">
        <v>19</v>
      </c>
      <c r="L210">
        <v>36</v>
      </c>
      <c r="M210">
        <v>25</v>
      </c>
      <c r="N210">
        <v>0.1</v>
      </c>
      <c r="O210">
        <v>25106</v>
      </c>
    </row>
    <row r="211" spans="1:15" x14ac:dyDescent="0.2">
      <c r="A211">
        <v>21</v>
      </c>
      <c r="B211" t="str">
        <f>VLOOKUP(Table1[[#This Row],[CountyID]],[1]!Table1[#All],2,FALSE)</f>
        <v>Douglas</v>
      </c>
      <c r="C211">
        <f>VLOOKUP(Table1[[#This Row],[CountyID]],[1]!Table1[#All],3,FALSE)</f>
        <v>36</v>
      </c>
      <c r="D211">
        <v>36</v>
      </c>
      <c r="E211">
        <f>Table1[[#This Row],[Number of Counties]]-Table1[[#This Row],[Number of precincts Reporting]]</f>
        <v>0</v>
      </c>
      <c r="F211" t="s">
        <v>0</v>
      </c>
      <c r="G211" t="s">
        <v>1</v>
      </c>
      <c r="H211">
        <v>101</v>
      </c>
      <c r="I211">
        <v>9901</v>
      </c>
      <c r="J211" t="s">
        <v>20</v>
      </c>
      <c r="K211" t="s">
        <v>21</v>
      </c>
      <c r="L211">
        <v>36</v>
      </c>
      <c r="M211">
        <v>87</v>
      </c>
      <c r="N211">
        <v>0.35</v>
      </c>
      <c r="O211">
        <v>25106</v>
      </c>
    </row>
    <row r="212" spans="1:15" x14ac:dyDescent="0.2">
      <c r="A212">
        <v>22</v>
      </c>
      <c r="B212" t="str">
        <f>VLOOKUP(Table1[[#This Row],[CountyID]],[1]!Table1[#All],2,FALSE)</f>
        <v>Faribault</v>
      </c>
      <c r="C212">
        <f>VLOOKUP(Table1[[#This Row],[CountyID]],[1]!Table1[#All],3,FALSE)</f>
        <v>33</v>
      </c>
      <c r="D212">
        <v>33</v>
      </c>
      <c r="E212">
        <f>Table1[[#This Row],[Number of Counties]]-Table1[[#This Row],[Number of precincts Reporting]]</f>
        <v>0</v>
      </c>
      <c r="F212" t="s">
        <v>0</v>
      </c>
      <c r="G212" t="s">
        <v>1</v>
      </c>
      <c r="H212">
        <v>101</v>
      </c>
      <c r="I212">
        <v>101</v>
      </c>
      <c r="J212" t="s">
        <v>2</v>
      </c>
      <c r="K212" t="s">
        <v>3</v>
      </c>
      <c r="L212">
        <v>33</v>
      </c>
      <c r="M212">
        <v>5247</v>
      </c>
      <c r="N212">
        <v>67.61</v>
      </c>
      <c r="O212">
        <v>7761</v>
      </c>
    </row>
    <row r="213" spans="1:15" x14ac:dyDescent="0.2">
      <c r="A213">
        <v>22</v>
      </c>
      <c r="B213" t="str">
        <f>VLOOKUP(Table1[[#This Row],[CountyID]],[1]!Table1[#All],2,FALSE)</f>
        <v>Faribault</v>
      </c>
      <c r="C213">
        <f>VLOOKUP(Table1[[#This Row],[CountyID]],[1]!Table1[#All],3,FALSE)</f>
        <v>33</v>
      </c>
      <c r="D213">
        <v>33</v>
      </c>
      <c r="E213">
        <f>Table1[[#This Row],[Number of Counties]]-Table1[[#This Row],[Number of precincts Reporting]]</f>
        <v>0</v>
      </c>
      <c r="F213" t="s">
        <v>0</v>
      </c>
      <c r="G213" t="s">
        <v>1</v>
      </c>
      <c r="H213">
        <v>101</v>
      </c>
      <c r="I213">
        <v>201</v>
      </c>
      <c r="J213" t="s">
        <v>4</v>
      </c>
      <c r="K213" t="s">
        <v>5</v>
      </c>
      <c r="L213">
        <v>33</v>
      </c>
      <c r="M213">
        <v>2352</v>
      </c>
      <c r="N213">
        <v>30.31</v>
      </c>
      <c r="O213">
        <v>7761</v>
      </c>
    </row>
    <row r="214" spans="1:15" x14ac:dyDescent="0.2">
      <c r="A214">
        <v>22</v>
      </c>
      <c r="B214" t="str">
        <f>VLOOKUP(Table1[[#This Row],[CountyID]],[1]!Table1[#All],2,FALSE)</f>
        <v>Faribault</v>
      </c>
      <c r="C214">
        <f>VLOOKUP(Table1[[#This Row],[CountyID]],[1]!Table1[#All],3,FALSE)</f>
        <v>33</v>
      </c>
      <c r="D214">
        <v>33</v>
      </c>
      <c r="E214">
        <f>Table1[[#This Row],[Number of Counties]]-Table1[[#This Row],[Number of precincts Reporting]]</f>
        <v>0</v>
      </c>
      <c r="F214" t="s">
        <v>0</v>
      </c>
      <c r="G214" t="s">
        <v>1</v>
      </c>
      <c r="H214">
        <v>101</v>
      </c>
      <c r="I214">
        <v>301</v>
      </c>
      <c r="J214" t="s">
        <v>6</v>
      </c>
      <c r="K214" t="s">
        <v>7</v>
      </c>
      <c r="L214">
        <v>33</v>
      </c>
      <c r="M214">
        <v>23</v>
      </c>
      <c r="N214">
        <v>0.3</v>
      </c>
      <c r="O214">
        <v>7761</v>
      </c>
    </row>
    <row r="215" spans="1:15" x14ac:dyDescent="0.2">
      <c r="A215">
        <v>22</v>
      </c>
      <c r="B215" t="str">
        <f>VLOOKUP(Table1[[#This Row],[CountyID]],[1]!Table1[#All],2,FALSE)</f>
        <v>Faribault</v>
      </c>
      <c r="C215">
        <f>VLOOKUP(Table1[[#This Row],[CountyID]],[1]!Table1[#All],3,FALSE)</f>
        <v>33</v>
      </c>
      <c r="D215">
        <v>33</v>
      </c>
      <c r="E215">
        <f>Table1[[#This Row],[Number of Counties]]-Table1[[#This Row],[Number of precincts Reporting]]</f>
        <v>0</v>
      </c>
      <c r="F215" t="s">
        <v>0</v>
      </c>
      <c r="G215" t="s">
        <v>1</v>
      </c>
      <c r="H215">
        <v>101</v>
      </c>
      <c r="I215">
        <v>401</v>
      </c>
      <c r="J215" t="s">
        <v>8</v>
      </c>
      <c r="K215" t="s">
        <v>9</v>
      </c>
      <c r="L215">
        <v>33</v>
      </c>
      <c r="M215">
        <v>82</v>
      </c>
      <c r="N215">
        <v>1.06</v>
      </c>
      <c r="O215">
        <v>7761</v>
      </c>
    </row>
    <row r="216" spans="1:15" x14ac:dyDescent="0.2">
      <c r="A216">
        <v>22</v>
      </c>
      <c r="B216" t="str">
        <f>VLOOKUP(Table1[[#This Row],[CountyID]],[1]!Table1[#All],2,FALSE)</f>
        <v>Faribault</v>
      </c>
      <c r="C216">
        <f>VLOOKUP(Table1[[#This Row],[CountyID]],[1]!Table1[#All],3,FALSE)</f>
        <v>33</v>
      </c>
      <c r="D216">
        <v>33</v>
      </c>
      <c r="E216">
        <f>Table1[[#This Row],[Number of Counties]]-Table1[[#This Row],[Number of precincts Reporting]]</f>
        <v>0</v>
      </c>
      <c r="F216" t="s">
        <v>0</v>
      </c>
      <c r="G216" t="s">
        <v>1</v>
      </c>
      <c r="H216">
        <v>101</v>
      </c>
      <c r="I216">
        <v>501</v>
      </c>
      <c r="J216" t="s">
        <v>10</v>
      </c>
      <c r="K216" t="s">
        <v>11</v>
      </c>
      <c r="L216">
        <v>33</v>
      </c>
      <c r="M216">
        <v>14</v>
      </c>
      <c r="N216">
        <v>0.18</v>
      </c>
      <c r="O216">
        <v>7761</v>
      </c>
    </row>
    <row r="217" spans="1:15" x14ac:dyDescent="0.2">
      <c r="A217">
        <v>22</v>
      </c>
      <c r="B217" t="str">
        <f>VLOOKUP(Table1[[#This Row],[CountyID]],[1]!Table1[#All],2,FALSE)</f>
        <v>Faribault</v>
      </c>
      <c r="C217">
        <f>VLOOKUP(Table1[[#This Row],[CountyID]],[1]!Table1[#All],3,FALSE)</f>
        <v>33</v>
      </c>
      <c r="D217">
        <v>33</v>
      </c>
      <c r="E217">
        <f>Table1[[#This Row],[Number of Counties]]-Table1[[#This Row],[Number of precincts Reporting]]</f>
        <v>0</v>
      </c>
      <c r="F217" t="s">
        <v>0</v>
      </c>
      <c r="G217" t="s">
        <v>1</v>
      </c>
      <c r="H217">
        <v>101</v>
      </c>
      <c r="I217">
        <v>601</v>
      </c>
      <c r="J217" t="s">
        <v>12</v>
      </c>
      <c r="K217" t="s">
        <v>13</v>
      </c>
      <c r="L217">
        <v>33</v>
      </c>
      <c r="M217">
        <v>1</v>
      </c>
      <c r="N217">
        <v>0.01</v>
      </c>
      <c r="O217">
        <v>7761</v>
      </c>
    </row>
    <row r="218" spans="1:15" x14ac:dyDescent="0.2">
      <c r="A218">
        <v>22</v>
      </c>
      <c r="B218" t="str">
        <f>VLOOKUP(Table1[[#This Row],[CountyID]],[1]!Table1[#All],2,FALSE)</f>
        <v>Faribault</v>
      </c>
      <c r="C218">
        <f>VLOOKUP(Table1[[#This Row],[CountyID]],[1]!Table1[#All],3,FALSE)</f>
        <v>33</v>
      </c>
      <c r="D218">
        <v>33</v>
      </c>
      <c r="E218">
        <f>Table1[[#This Row],[Number of Counties]]-Table1[[#This Row],[Number of precincts Reporting]]</f>
        <v>0</v>
      </c>
      <c r="F218" t="s">
        <v>0</v>
      </c>
      <c r="G218" t="s">
        <v>1</v>
      </c>
      <c r="H218">
        <v>101</v>
      </c>
      <c r="I218">
        <v>701</v>
      </c>
      <c r="J218" t="s">
        <v>14</v>
      </c>
      <c r="K218" t="s">
        <v>15</v>
      </c>
      <c r="L218">
        <v>33</v>
      </c>
      <c r="M218">
        <v>1</v>
      </c>
      <c r="N218">
        <v>0.01</v>
      </c>
      <c r="O218">
        <v>7761</v>
      </c>
    </row>
    <row r="219" spans="1:15" x14ac:dyDescent="0.2">
      <c r="A219">
        <v>22</v>
      </c>
      <c r="B219" t="str">
        <f>VLOOKUP(Table1[[#This Row],[CountyID]],[1]!Table1[#All],2,FALSE)</f>
        <v>Faribault</v>
      </c>
      <c r="C219">
        <f>VLOOKUP(Table1[[#This Row],[CountyID]],[1]!Table1[#All],3,FALSE)</f>
        <v>33</v>
      </c>
      <c r="D219">
        <v>33</v>
      </c>
      <c r="E219">
        <f>Table1[[#This Row],[Number of Counties]]-Table1[[#This Row],[Number of precincts Reporting]]</f>
        <v>0</v>
      </c>
      <c r="F219" t="s">
        <v>0</v>
      </c>
      <c r="G219" t="s">
        <v>1</v>
      </c>
      <c r="H219">
        <v>101</v>
      </c>
      <c r="I219">
        <v>801</v>
      </c>
      <c r="J219" t="s">
        <v>16</v>
      </c>
      <c r="K219" t="s">
        <v>17</v>
      </c>
      <c r="L219">
        <v>33</v>
      </c>
      <c r="M219">
        <v>6</v>
      </c>
      <c r="N219">
        <v>0.08</v>
      </c>
      <c r="O219">
        <v>7761</v>
      </c>
    </row>
    <row r="220" spans="1:15" x14ac:dyDescent="0.2">
      <c r="A220">
        <v>22</v>
      </c>
      <c r="B220" t="str">
        <f>VLOOKUP(Table1[[#This Row],[CountyID]],[1]!Table1[#All],2,FALSE)</f>
        <v>Faribault</v>
      </c>
      <c r="C220">
        <f>VLOOKUP(Table1[[#This Row],[CountyID]],[1]!Table1[#All],3,FALSE)</f>
        <v>33</v>
      </c>
      <c r="D220">
        <v>33</v>
      </c>
      <c r="E220">
        <f>Table1[[#This Row],[Number of Counties]]-Table1[[#This Row],[Number of precincts Reporting]]</f>
        <v>0</v>
      </c>
      <c r="F220" t="s">
        <v>0</v>
      </c>
      <c r="G220" t="s">
        <v>1</v>
      </c>
      <c r="H220">
        <v>101</v>
      </c>
      <c r="I220">
        <v>901</v>
      </c>
      <c r="J220" t="s">
        <v>18</v>
      </c>
      <c r="K220" t="s">
        <v>19</v>
      </c>
      <c r="L220">
        <v>33</v>
      </c>
      <c r="M220">
        <v>13</v>
      </c>
      <c r="N220">
        <v>0.17</v>
      </c>
      <c r="O220">
        <v>7761</v>
      </c>
    </row>
    <row r="221" spans="1:15" x14ac:dyDescent="0.2">
      <c r="A221">
        <v>22</v>
      </c>
      <c r="B221" t="str">
        <f>VLOOKUP(Table1[[#This Row],[CountyID]],[1]!Table1[#All],2,FALSE)</f>
        <v>Faribault</v>
      </c>
      <c r="C221">
        <f>VLOOKUP(Table1[[#This Row],[CountyID]],[1]!Table1[#All],3,FALSE)</f>
        <v>33</v>
      </c>
      <c r="D221">
        <v>33</v>
      </c>
      <c r="E221">
        <f>Table1[[#This Row],[Number of Counties]]-Table1[[#This Row],[Number of precincts Reporting]]</f>
        <v>0</v>
      </c>
      <c r="F221" t="s">
        <v>0</v>
      </c>
      <c r="G221" t="s">
        <v>1</v>
      </c>
      <c r="H221">
        <v>101</v>
      </c>
      <c r="I221">
        <v>9901</v>
      </c>
      <c r="J221" t="s">
        <v>20</v>
      </c>
      <c r="K221" t="s">
        <v>21</v>
      </c>
      <c r="L221">
        <v>33</v>
      </c>
      <c r="M221">
        <v>22</v>
      </c>
      <c r="N221">
        <v>0.28000000000000003</v>
      </c>
      <c r="O221">
        <v>7761</v>
      </c>
    </row>
    <row r="222" spans="1:15" x14ac:dyDescent="0.2">
      <c r="A222">
        <v>23</v>
      </c>
      <c r="B222" t="str">
        <f>VLOOKUP(Table1[[#This Row],[CountyID]],[1]!Table1[#All],2,FALSE)</f>
        <v>Fillmore</v>
      </c>
      <c r="C222">
        <f>VLOOKUP(Table1[[#This Row],[CountyID]],[1]!Table1[#All],3,FALSE)</f>
        <v>37</v>
      </c>
      <c r="D222">
        <v>37</v>
      </c>
      <c r="E222">
        <f>Table1[[#This Row],[Number of Counties]]-Table1[[#This Row],[Number of precincts Reporting]]</f>
        <v>0</v>
      </c>
      <c r="F222" t="s">
        <v>0</v>
      </c>
      <c r="G222" t="s">
        <v>1</v>
      </c>
      <c r="H222">
        <v>101</v>
      </c>
      <c r="I222">
        <v>101</v>
      </c>
      <c r="J222" t="s">
        <v>2</v>
      </c>
      <c r="K222" t="s">
        <v>3</v>
      </c>
      <c r="L222">
        <v>37</v>
      </c>
      <c r="M222">
        <v>7638</v>
      </c>
      <c r="N222">
        <v>61.67</v>
      </c>
      <c r="O222">
        <v>12385</v>
      </c>
    </row>
    <row r="223" spans="1:15" x14ac:dyDescent="0.2">
      <c r="A223">
        <v>23</v>
      </c>
      <c r="B223" t="str">
        <f>VLOOKUP(Table1[[#This Row],[CountyID]],[1]!Table1[#All],2,FALSE)</f>
        <v>Fillmore</v>
      </c>
      <c r="C223">
        <f>VLOOKUP(Table1[[#This Row],[CountyID]],[1]!Table1[#All],3,FALSE)</f>
        <v>37</v>
      </c>
      <c r="D223">
        <v>37</v>
      </c>
      <c r="E223">
        <f>Table1[[#This Row],[Number of Counties]]-Table1[[#This Row],[Number of precincts Reporting]]</f>
        <v>0</v>
      </c>
      <c r="F223" t="s">
        <v>0</v>
      </c>
      <c r="G223" t="s">
        <v>1</v>
      </c>
      <c r="H223">
        <v>101</v>
      </c>
      <c r="I223">
        <v>201</v>
      </c>
      <c r="J223" t="s">
        <v>4</v>
      </c>
      <c r="K223" t="s">
        <v>5</v>
      </c>
      <c r="L223">
        <v>37</v>
      </c>
      <c r="M223">
        <v>4491</v>
      </c>
      <c r="N223">
        <v>36.26</v>
      </c>
      <c r="O223">
        <v>12385</v>
      </c>
    </row>
    <row r="224" spans="1:15" x14ac:dyDescent="0.2">
      <c r="A224">
        <v>23</v>
      </c>
      <c r="B224" t="str">
        <f>VLOOKUP(Table1[[#This Row],[CountyID]],[1]!Table1[#All],2,FALSE)</f>
        <v>Fillmore</v>
      </c>
      <c r="C224">
        <f>VLOOKUP(Table1[[#This Row],[CountyID]],[1]!Table1[#All],3,FALSE)</f>
        <v>37</v>
      </c>
      <c r="D224">
        <v>37</v>
      </c>
      <c r="E224">
        <f>Table1[[#This Row],[Number of Counties]]-Table1[[#This Row],[Number of precincts Reporting]]</f>
        <v>0</v>
      </c>
      <c r="F224" t="s">
        <v>0</v>
      </c>
      <c r="G224" t="s">
        <v>1</v>
      </c>
      <c r="H224">
        <v>101</v>
      </c>
      <c r="I224">
        <v>301</v>
      </c>
      <c r="J224" t="s">
        <v>6</v>
      </c>
      <c r="K224" t="s">
        <v>7</v>
      </c>
      <c r="L224">
        <v>37</v>
      </c>
      <c r="M224">
        <v>40</v>
      </c>
      <c r="N224">
        <v>0.32</v>
      </c>
      <c r="O224">
        <v>12385</v>
      </c>
    </row>
    <row r="225" spans="1:15" x14ac:dyDescent="0.2">
      <c r="A225">
        <v>23</v>
      </c>
      <c r="B225" t="str">
        <f>VLOOKUP(Table1[[#This Row],[CountyID]],[1]!Table1[#All],2,FALSE)</f>
        <v>Fillmore</v>
      </c>
      <c r="C225">
        <f>VLOOKUP(Table1[[#This Row],[CountyID]],[1]!Table1[#All],3,FALSE)</f>
        <v>37</v>
      </c>
      <c r="D225">
        <v>37</v>
      </c>
      <c r="E225">
        <f>Table1[[#This Row],[Number of Counties]]-Table1[[#This Row],[Number of precincts Reporting]]</f>
        <v>0</v>
      </c>
      <c r="F225" t="s">
        <v>0</v>
      </c>
      <c r="G225" t="s">
        <v>1</v>
      </c>
      <c r="H225">
        <v>101</v>
      </c>
      <c r="I225">
        <v>401</v>
      </c>
      <c r="J225" t="s">
        <v>8</v>
      </c>
      <c r="K225" t="s">
        <v>9</v>
      </c>
      <c r="L225">
        <v>37</v>
      </c>
      <c r="M225">
        <v>112</v>
      </c>
      <c r="N225">
        <v>0.9</v>
      </c>
      <c r="O225">
        <v>12385</v>
      </c>
    </row>
    <row r="226" spans="1:15" x14ac:dyDescent="0.2">
      <c r="A226">
        <v>23</v>
      </c>
      <c r="B226" t="str">
        <f>VLOOKUP(Table1[[#This Row],[CountyID]],[1]!Table1[#All],2,FALSE)</f>
        <v>Fillmore</v>
      </c>
      <c r="C226">
        <f>VLOOKUP(Table1[[#This Row],[CountyID]],[1]!Table1[#All],3,FALSE)</f>
        <v>37</v>
      </c>
      <c r="D226">
        <v>37</v>
      </c>
      <c r="E226">
        <f>Table1[[#This Row],[Number of Counties]]-Table1[[#This Row],[Number of precincts Reporting]]</f>
        <v>0</v>
      </c>
      <c r="F226" t="s">
        <v>0</v>
      </c>
      <c r="G226" t="s">
        <v>1</v>
      </c>
      <c r="H226">
        <v>101</v>
      </c>
      <c r="I226">
        <v>501</v>
      </c>
      <c r="J226" t="s">
        <v>10</v>
      </c>
      <c r="K226" t="s">
        <v>11</v>
      </c>
      <c r="L226">
        <v>37</v>
      </c>
      <c r="M226">
        <v>28</v>
      </c>
      <c r="N226">
        <v>0.23</v>
      </c>
      <c r="O226">
        <v>12385</v>
      </c>
    </row>
    <row r="227" spans="1:15" x14ac:dyDescent="0.2">
      <c r="A227">
        <v>23</v>
      </c>
      <c r="B227" t="str">
        <f>VLOOKUP(Table1[[#This Row],[CountyID]],[1]!Table1[#All],2,FALSE)</f>
        <v>Fillmore</v>
      </c>
      <c r="C227">
        <f>VLOOKUP(Table1[[#This Row],[CountyID]],[1]!Table1[#All],3,FALSE)</f>
        <v>37</v>
      </c>
      <c r="D227">
        <v>37</v>
      </c>
      <c r="E227">
        <f>Table1[[#This Row],[Number of Counties]]-Table1[[#This Row],[Number of precincts Reporting]]</f>
        <v>0</v>
      </c>
      <c r="F227" t="s">
        <v>0</v>
      </c>
      <c r="G227" t="s">
        <v>1</v>
      </c>
      <c r="H227">
        <v>101</v>
      </c>
      <c r="I227">
        <v>601</v>
      </c>
      <c r="J227" t="s">
        <v>12</v>
      </c>
      <c r="K227" t="s">
        <v>13</v>
      </c>
      <c r="L227">
        <v>37</v>
      </c>
      <c r="M227">
        <v>1</v>
      </c>
      <c r="N227">
        <v>0.01</v>
      </c>
      <c r="O227">
        <v>12385</v>
      </c>
    </row>
    <row r="228" spans="1:15" x14ac:dyDescent="0.2">
      <c r="A228">
        <v>23</v>
      </c>
      <c r="B228" t="str">
        <f>VLOOKUP(Table1[[#This Row],[CountyID]],[1]!Table1[#All],2,FALSE)</f>
        <v>Fillmore</v>
      </c>
      <c r="C228">
        <f>VLOOKUP(Table1[[#This Row],[CountyID]],[1]!Table1[#All],3,FALSE)</f>
        <v>37</v>
      </c>
      <c r="D228">
        <v>37</v>
      </c>
      <c r="E228">
        <f>Table1[[#This Row],[Number of Counties]]-Table1[[#This Row],[Number of precincts Reporting]]</f>
        <v>0</v>
      </c>
      <c r="F228" t="s">
        <v>0</v>
      </c>
      <c r="G228" t="s">
        <v>1</v>
      </c>
      <c r="H228">
        <v>101</v>
      </c>
      <c r="I228">
        <v>701</v>
      </c>
      <c r="J228" t="s">
        <v>14</v>
      </c>
      <c r="K228" t="s">
        <v>15</v>
      </c>
      <c r="L228">
        <v>37</v>
      </c>
      <c r="M228">
        <v>3</v>
      </c>
      <c r="N228">
        <v>0.02</v>
      </c>
      <c r="O228">
        <v>12385</v>
      </c>
    </row>
    <row r="229" spans="1:15" x14ac:dyDescent="0.2">
      <c r="A229">
        <v>23</v>
      </c>
      <c r="B229" t="str">
        <f>VLOOKUP(Table1[[#This Row],[CountyID]],[1]!Table1[#All],2,FALSE)</f>
        <v>Fillmore</v>
      </c>
      <c r="C229">
        <f>VLOOKUP(Table1[[#This Row],[CountyID]],[1]!Table1[#All],3,FALSE)</f>
        <v>37</v>
      </c>
      <c r="D229">
        <v>37</v>
      </c>
      <c r="E229">
        <f>Table1[[#This Row],[Number of Counties]]-Table1[[#This Row],[Number of precincts Reporting]]</f>
        <v>0</v>
      </c>
      <c r="F229" t="s">
        <v>0</v>
      </c>
      <c r="G229" t="s">
        <v>1</v>
      </c>
      <c r="H229">
        <v>101</v>
      </c>
      <c r="I229">
        <v>801</v>
      </c>
      <c r="J229" t="s">
        <v>16</v>
      </c>
      <c r="K229" t="s">
        <v>17</v>
      </c>
      <c r="L229">
        <v>37</v>
      </c>
      <c r="M229">
        <v>4</v>
      </c>
      <c r="N229">
        <v>0.03</v>
      </c>
      <c r="O229">
        <v>12385</v>
      </c>
    </row>
    <row r="230" spans="1:15" x14ac:dyDescent="0.2">
      <c r="A230">
        <v>23</v>
      </c>
      <c r="B230" t="str">
        <f>VLOOKUP(Table1[[#This Row],[CountyID]],[1]!Table1[#All],2,FALSE)</f>
        <v>Fillmore</v>
      </c>
      <c r="C230">
        <f>VLOOKUP(Table1[[#This Row],[CountyID]],[1]!Table1[#All],3,FALSE)</f>
        <v>37</v>
      </c>
      <c r="D230">
        <v>37</v>
      </c>
      <c r="E230">
        <f>Table1[[#This Row],[Number of Counties]]-Table1[[#This Row],[Number of precincts Reporting]]</f>
        <v>0</v>
      </c>
      <c r="F230" t="s">
        <v>0</v>
      </c>
      <c r="G230" t="s">
        <v>1</v>
      </c>
      <c r="H230">
        <v>101</v>
      </c>
      <c r="I230">
        <v>901</v>
      </c>
      <c r="J230" t="s">
        <v>18</v>
      </c>
      <c r="K230" t="s">
        <v>19</v>
      </c>
      <c r="L230">
        <v>37</v>
      </c>
      <c r="M230">
        <v>18</v>
      </c>
      <c r="N230">
        <v>0.15</v>
      </c>
      <c r="O230">
        <v>12385</v>
      </c>
    </row>
    <row r="231" spans="1:15" x14ac:dyDescent="0.2">
      <c r="A231">
        <v>23</v>
      </c>
      <c r="B231" t="str">
        <f>VLOOKUP(Table1[[#This Row],[CountyID]],[1]!Table1[#All],2,FALSE)</f>
        <v>Fillmore</v>
      </c>
      <c r="C231">
        <f>VLOOKUP(Table1[[#This Row],[CountyID]],[1]!Table1[#All],3,FALSE)</f>
        <v>37</v>
      </c>
      <c r="D231">
        <v>37</v>
      </c>
      <c r="E231">
        <f>Table1[[#This Row],[Number of Counties]]-Table1[[#This Row],[Number of precincts Reporting]]</f>
        <v>0</v>
      </c>
      <c r="F231" t="s">
        <v>0</v>
      </c>
      <c r="G231" t="s">
        <v>1</v>
      </c>
      <c r="H231">
        <v>101</v>
      </c>
      <c r="I231">
        <v>9901</v>
      </c>
      <c r="J231" t="s">
        <v>20</v>
      </c>
      <c r="K231" t="s">
        <v>21</v>
      </c>
      <c r="L231">
        <v>37</v>
      </c>
      <c r="M231">
        <v>50</v>
      </c>
      <c r="N231">
        <v>0.4</v>
      </c>
      <c r="O231">
        <v>12385</v>
      </c>
    </row>
    <row r="232" spans="1:15" x14ac:dyDescent="0.2">
      <c r="A232">
        <v>24</v>
      </c>
      <c r="B232" t="str">
        <f>VLOOKUP(Table1[[#This Row],[CountyID]],[1]!Table1[#All],2,FALSE)</f>
        <v>Freeborn</v>
      </c>
      <c r="C232">
        <f>VLOOKUP(Table1[[#This Row],[CountyID]],[1]!Table1[#All],3,FALSE)</f>
        <v>43</v>
      </c>
      <c r="D232">
        <v>43</v>
      </c>
      <c r="E232">
        <f>Table1[[#This Row],[Number of Counties]]-Table1[[#This Row],[Number of precincts Reporting]]</f>
        <v>0</v>
      </c>
      <c r="F232" t="s">
        <v>0</v>
      </c>
      <c r="G232" t="s">
        <v>1</v>
      </c>
      <c r="H232">
        <v>101</v>
      </c>
      <c r="I232">
        <v>101</v>
      </c>
      <c r="J232" t="s">
        <v>2</v>
      </c>
      <c r="K232" t="s">
        <v>3</v>
      </c>
      <c r="L232">
        <v>43</v>
      </c>
      <c r="M232">
        <v>10003</v>
      </c>
      <c r="N232">
        <v>59.88</v>
      </c>
      <c r="O232">
        <v>16704</v>
      </c>
    </row>
    <row r="233" spans="1:15" x14ac:dyDescent="0.2">
      <c r="A233">
        <v>24</v>
      </c>
      <c r="B233" t="str">
        <f>VLOOKUP(Table1[[#This Row],[CountyID]],[1]!Table1[#All],2,FALSE)</f>
        <v>Freeborn</v>
      </c>
      <c r="C233">
        <f>VLOOKUP(Table1[[#This Row],[CountyID]],[1]!Table1[#All],3,FALSE)</f>
        <v>43</v>
      </c>
      <c r="D233">
        <v>43</v>
      </c>
      <c r="E233">
        <f>Table1[[#This Row],[Number of Counties]]-Table1[[#This Row],[Number of precincts Reporting]]</f>
        <v>0</v>
      </c>
      <c r="F233" t="s">
        <v>0</v>
      </c>
      <c r="G233" t="s">
        <v>1</v>
      </c>
      <c r="H233">
        <v>101</v>
      </c>
      <c r="I233">
        <v>201</v>
      </c>
      <c r="J233" t="s">
        <v>4</v>
      </c>
      <c r="K233" t="s">
        <v>5</v>
      </c>
      <c r="L233">
        <v>43</v>
      </c>
      <c r="M233">
        <v>6448</v>
      </c>
      <c r="N233">
        <v>38.6</v>
      </c>
      <c r="O233">
        <v>16704</v>
      </c>
    </row>
    <row r="234" spans="1:15" x14ac:dyDescent="0.2">
      <c r="A234">
        <v>24</v>
      </c>
      <c r="B234" t="str">
        <f>VLOOKUP(Table1[[#This Row],[CountyID]],[1]!Table1[#All],2,FALSE)</f>
        <v>Freeborn</v>
      </c>
      <c r="C234">
        <f>VLOOKUP(Table1[[#This Row],[CountyID]],[1]!Table1[#All],3,FALSE)</f>
        <v>43</v>
      </c>
      <c r="D234">
        <v>43</v>
      </c>
      <c r="E234">
        <f>Table1[[#This Row],[Number of Counties]]-Table1[[#This Row],[Number of precincts Reporting]]</f>
        <v>0</v>
      </c>
      <c r="F234" t="s">
        <v>0</v>
      </c>
      <c r="G234" t="s">
        <v>1</v>
      </c>
      <c r="H234">
        <v>101</v>
      </c>
      <c r="I234">
        <v>301</v>
      </c>
      <c r="J234" t="s">
        <v>6</v>
      </c>
      <c r="K234" t="s">
        <v>7</v>
      </c>
      <c r="L234">
        <v>43</v>
      </c>
      <c r="M234">
        <v>46</v>
      </c>
      <c r="N234">
        <v>0.28000000000000003</v>
      </c>
      <c r="O234">
        <v>16704</v>
      </c>
    </row>
    <row r="235" spans="1:15" x14ac:dyDescent="0.2">
      <c r="A235">
        <v>24</v>
      </c>
      <c r="B235" t="str">
        <f>VLOOKUP(Table1[[#This Row],[CountyID]],[1]!Table1[#All],2,FALSE)</f>
        <v>Freeborn</v>
      </c>
      <c r="C235">
        <f>VLOOKUP(Table1[[#This Row],[CountyID]],[1]!Table1[#All],3,FALSE)</f>
        <v>43</v>
      </c>
      <c r="D235">
        <v>43</v>
      </c>
      <c r="E235">
        <f>Table1[[#This Row],[Number of Counties]]-Table1[[#This Row],[Number of precincts Reporting]]</f>
        <v>0</v>
      </c>
      <c r="F235" t="s">
        <v>0</v>
      </c>
      <c r="G235" t="s">
        <v>1</v>
      </c>
      <c r="H235">
        <v>101</v>
      </c>
      <c r="I235">
        <v>401</v>
      </c>
      <c r="J235" t="s">
        <v>8</v>
      </c>
      <c r="K235" t="s">
        <v>9</v>
      </c>
      <c r="L235">
        <v>43</v>
      </c>
      <c r="M235">
        <v>124</v>
      </c>
      <c r="N235">
        <v>0.74</v>
      </c>
      <c r="O235">
        <v>16704</v>
      </c>
    </row>
    <row r="236" spans="1:15" x14ac:dyDescent="0.2">
      <c r="A236">
        <v>24</v>
      </c>
      <c r="B236" t="str">
        <f>VLOOKUP(Table1[[#This Row],[CountyID]],[1]!Table1[#All],2,FALSE)</f>
        <v>Freeborn</v>
      </c>
      <c r="C236">
        <f>VLOOKUP(Table1[[#This Row],[CountyID]],[1]!Table1[#All],3,FALSE)</f>
        <v>43</v>
      </c>
      <c r="D236">
        <v>43</v>
      </c>
      <c r="E236">
        <f>Table1[[#This Row],[Number of Counties]]-Table1[[#This Row],[Number of precincts Reporting]]</f>
        <v>0</v>
      </c>
      <c r="F236" t="s">
        <v>0</v>
      </c>
      <c r="G236" t="s">
        <v>1</v>
      </c>
      <c r="H236">
        <v>101</v>
      </c>
      <c r="I236">
        <v>501</v>
      </c>
      <c r="J236" t="s">
        <v>10</v>
      </c>
      <c r="K236" t="s">
        <v>11</v>
      </c>
      <c r="L236">
        <v>43</v>
      </c>
      <c r="M236">
        <v>29</v>
      </c>
      <c r="N236">
        <v>0.17</v>
      </c>
      <c r="O236">
        <v>16704</v>
      </c>
    </row>
    <row r="237" spans="1:15" x14ac:dyDescent="0.2">
      <c r="A237">
        <v>24</v>
      </c>
      <c r="B237" t="str">
        <f>VLOOKUP(Table1[[#This Row],[CountyID]],[1]!Table1[#All],2,FALSE)</f>
        <v>Freeborn</v>
      </c>
      <c r="C237">
        <f>VLOOKUP(Table1[[#This Row],[CountyID]],[1]!Table1[#All],3,FALSE)</f>
        <v>43</v>
      </c>
      <c r="D237">
        <v>43</v>
      </c>
      <c r="E237">
        <f>Table1[[#This Row],[Number of Counties]]-Table1[[#This Row],[Number of precincts Reporting]]</f>
        <v>0</v>
      </c>
      <c r="F237" t="s">
        <v>0</v>
      </c>
      <c r="G237" t="s">
        <v>1</v>
      </c>
      <c r="H237">
        <v>101</v>
      </c>
      <c r="I237">
        <v>601</v>
      </c>
      <c r="J237" t="s">
        <v>12</v>
      </c>
      <c r="K237" t="s">
        <v>13</v>
      </c>
      <c r="L237">
        <v>43</v>
      </c>
      <c r="M237">
        <v>3</v>
      </c>
      <c r="N237">
        <v>0.02</v>
      </c>
      <c r="O237">
        <v>16704</v>
      </c>
    </row>
    <row r="238" spans="1:15" x14ac:dyDescent="0.2">
      <c r="A238">
        <v>24</v>
      </c>
      <c r="B238" t="str">
        <f>VLOOKUP(Table1[[#This Row],[CountyID]],[1]!Table1[#All],2,FALSE)</f>
        <v>Freeborn</v>
      </c>
      <c r="C238">
        <f>VLOOKUP(Table1[[#This Row],[CountyID]],[1]!Table1[#All],3,FALSE)</f>
        <v>43</v>
      </c>
      <c r="D238">
        <v>43</v>
      </c>
      <c r="E238">
        <f>Table1[[#This Row],[Number of Counties]]-Table1[[#This Row],[Number of precincts Reporting]]</f>
        <v>0</v>
      </c>
      <c r="F238" t="s">
        <v>0</v>
      </c>
      <c r="G238" t="s">
        <v>1</v>
      </c>
      <c r="H238">
        <v>101</v>
      </c>
      <c r="I238">
        <v>701</v>
      </c>
      <c r="J238" t="s">
        <v>14</v>
      </c>
      <c r="K238" t="s">
        <v>15</v>
      </c>
      <c r="L238">
        <v>43</v>
      </c>
      <c r="M238">
        <v>1</v>
      </c>
      <c r="N238">
        <v>0.01</v>
      </c>
      <c r="O238">
        <v>16704</v>
      </c>
    </row>
    <row r="239" spans="1:15" x14ac:dyDescent="0.2">
      <c r="A239">
        <v>24</v>
      </c>
      <c r="B239" t="str">
        <f>VLOOKUP(Table1[[#This Row],[CountyID]],[1]!Table1[#All],2,FALSE)</f>
        <v>Freeborn</v>
      </c>
      <c r="C239">
        <f>VLOOKUP(Table1[[#This Row],[CountyID]],[1]!Table1[#All],3,FALSE)</f>
        <v>43</v>
      </c>
      <c r="D239">
        <v>43</v>
      </c>
      <c r="E239">
        <f>Table1[[#This Row],[Number of Counties]]-Table1[[#This Row],[Number of precincts Reporting]]</f>
        <v>0</v>
      </c>
      <c r="F239" t="s">
        <v>0</v>
      </c>
      <c r="G239" t="s">
        <v>1</v>
      </c>
      <c r="H239">
        <v>101</v>
      </c>
      <c r="I239">
        <v>801</v>
      </c>
      <c r="J239" t="s">
        <v>16</v>
      </c>
      <c r="K239" t="s">
        <v>17</v>
      </c>
      <c r="L239">
        <v>43</v>
      </c>
      <c r="M239">
        <v>7</v>
      </c>
      <c r="N239">
        <v>0.04</v>
      </c>
      <c r="O239">
        <v>16704</v>
      </c>
    </row>
    <row r="240" spans="1:15" x14ac:dyDescent="0.2">
      <c r="A240">
        <v>24</v>
      </c>
      <c r="B240" t="str">
        <f>VLOOKUP(Table1[[#This Row],[CountyID]],[1]!Table1[#All],2,FALSE)</f>
        <v>Freeborn</v>
      </c>
      <c r="C240">
        <f>VLOOKUP(Table1[[#This Row],[CountyID]],[1]!Table1[#All],3,FALSE)</f>
        <v>43</v>
      </c>
      <c r="D240">
        <v>43</v>
      </c>
      <c r="E240">
        <f>Table1[[#This Row],[Number of Counties]]-Table1[[#This Row],[Number of precincts Reporting]]</f>
        <v>0</v>
      </c>
      <c r="F240" t="s">
        <v>0</v>
      </c>
      <c r="G240" t="s">
        <v>1</v>
      </c>
      <c r="H240">
        <v>101</v>
      </c>
      <c r="I240">
        <v>901</v>
      </c>
      <c r="J240" t="s">
        <v>18</v>
      </c>
      <c r="K240" t="s">
        <v>19</v>
      </c>
      <c r="L240">
        <v>43</v>
      </c>
      <c r="M240">
        <v>9</v>
      </c>
      <c r="N240">
        <v>0.05</v>
      </c>
      <c r="O240">
        <v>16704</v>
      </c>
    </row>
    <row r="241" spans="1:15" x14ac:dyDescent="0.2">
      <c r="A241">
        <v>24</v>
      </c>
      <c r="B241" t="str">
        <f>VLOOKUP(Table1[[#This Row],[CountyID]],[1]!Table1[#All],2,FALSE)</f>
        <v>Freeborn</v>
      </c>
      <c r="C241">
        <f>VLOOKUP(Table1[[#This Row],[CountyID]],[1]!Table1[#All],3,FALSE)</f>
        <v>43</v>
      </c>
      <c r="D241">
        <v>43</v>
      </c>
      <c r="E241">
        <f>Table1[[#This Row],[Number of Counties]]-Table1[[#This Row],[Number of precincts Reporting]]</f>
        <v>0</v>
      </c>
      <c r="F241" t="s">
        <v>0</v>
      </c>
      <c r="G241" t="s">
        <v>1</v>
      </c>
      <c r="H241">
        <v>101</v>
      </c>
      <c r="I241">
        <v>9901</v>
      </c>
      <c r="J241" t="s">
        <v>20</v>
      </c>
      <c r="K241" t="s">
        <v>21</v>
      </c>
      <c r="L241">
        <v>43</v>
      </c>
      <c r="M241">
        <v>34</v>
      </c>
      <c r="N241">
        <v>0.2</v>
      </c>
      <c r="O241">
        <v>16704</v>
      </c>
    </row>
    <row r="242" spans="1:15" x14ac:dyDescent="0.2">
      <c r="A242">
        <v>25</v>
      </c>
      <c r="B242" t="str">
        <f>VLOOKUP(Table1[[#This Row],[CountyID]],[1]!Table1[#All],2,FALSE)</f>
        <v>Goodhue</v>
      </c>
      <c r="C242">
        <f>VLOOKUP(Table1[[#This Row],[CountyID]],[1]!Table1[#All],3,FALSE)</f>
        <v>40</v>
      </c>
      <c r="D242">
        <v>40</v>
      </c>
      <c r="E242">
        <f>Table1[[#This Row],[Number of Counties]]-Table1[[#This Row],[Number of precincts Reporting]]</f>
        <v>0</v>
      </c>
      <c r="F242" t="s">
        <v>0</v>
      </c>
      <c r="G242" t="s">
        <v>1</v>
      </c>
      <c r="H242">
        <v>101</v>
      </c>
      <c r="I242">
        <v>101</v>
      </c>
      <c r="J242" t="s">
        <v>2</v>
      </c>
      <c r="K242" t="s">
        <v>3</v>
      </c>
      <c r="L242">
        <v>40</v>
      </c>
      <c r="M242">
        <v>16461</v>
      </c>
      <c r="N242">
        <v>57.12</v>
      </c>
      <c r="O242">
        <v>28817</v>
      </c>
    </row>
    <row r="243" spans="1:15" x14ac:dyDescent="0.2">
      <c r="A243">
        <v>25</v>
      </c>
      <c r="B243" t="str">
        <f>VLOOKUP(Table1[[#This Row],[CountyID]],[1]!Table1[#All],2,FALSE)</f>
        <v>Goodhue</v>
      </c>
      <c r="C243">
        <f>VLOOKUP(Table1[[#This Row],[CountyID]],[1]!Table1[#All],3,FALSE)</f>
        <v>40</v>
      </c>
      <c r="D243">
        <v>40</v>
      </c>
      <c r="E243">
        <f>Table1[[#This Row],[Number of Counties]]-Table1[[#This Row],[Number of precincts Reporting]]</f>
        <v>0</v>
      </c>
      <c r="F243" t="s">
        <v>0</v>
      </c>
      <c r="G243" t="s">
        <v>1</v>
      </c>
      <c r="H243">
        <v>101</v>
      </c>
      <c r="I243">
        <v>201</v>
      </c>
      <c r="J243" t="s">
        <v>4</v>
      </c>
      <c r="K243" t="s">
        <v>5</v>
      </c>
      <c r="L243">
        <v>40</v>
      </c>
      <c r="M243">
        <v>11731</v>
      </c>
      <c r="N243">
        <v>40.71</v>
      </c>
      <c r="O243">
        <v>28817</v>
      </c>
    </row>
    <row r="244" spans="1:15" x14ac:dyDescent="0.2">
      <c r="A244">
        <v>25</v>
      </c>
      <c r="B244" t="str">
        <f>VLOOKUP(Table1[[#This Row],[CountyID]],[1]!Table1[#All],2,FALSE)</f>
        <v>Goodhue</v>
      </c>
      <c r="C244">
        <f>VLOOKUP(Table1[[#This Row],[CountyID]],[1]!Table1[#All],3,FALSE)</f>
        <v>40</v>
      </c>
      <c r="D244">
        <v>40</v>
      </c>
      <c r="E244">
        <f>Table1[[#This Row],[Number of Counties]]-Table1[[#This Row],[Number of precincts Reporting]]</f>
        <v>0</v>
      </c>
      <c r="F244" t="s">
        <v>0</v>
      </c>
      <c r="G244" t="s">
        <v>1</v>
      </c>
      <c r="H244">
        <v>101</v>
      </c>
      <c r="I244">
        <v>301</v>
      </c>
      <c r="J244" t="s">
        <v>6</v>
      </c>
      <c r="K244" t="s">
        <v>7</v>
      </c>
      <c r="L244">
        <v>40</v>
      </c>
      <c r="M244">
        <v>157</v>
      </c>
      <c r="N244">
        <v>0.54</v>
      </c>
      <c r="O244">
        <v>28817</v>
      </c>
    </row>
    <row r="245" spans="1:15" x14ac:dyDescent="0.2">
      <c r="A245">
        <v>25</v>
      </c>
      <c r="B245" t="str">
        <f>VLOOKUP(Table1[[#This Row],[CountyID]],[1]!Table1[#All],2,FALSE)</f>
        <v>Goodhue</v>
      </c>
      <c r="C245">
        <f>VLOOKUP(Table1[[#This Row],[CountyID]],[1]!Table1[#All],3,FALSE)</f>
        <v>40</v>
      </c>
      <c r="D245">
        <v>40</v>
      </c>
      <c r="E245">
        <f>Table1[[#This Row],[Number of Counties]]-Table1[[#This Row],[Number of precincts Reporting]]</f>
        <v>0</v>
      </c>
      <c r="F245" t="s">
        <v>0</v>
      </c>
      <c r="G245" t="s">
        <v>1</v>
      </c>
      <c r="H245">
        <v>101</v>
      </c>
      <c r="I245">
        <v>401</v>
      </c>
      <c r="J245" t="s">
        <v>8</v>
      </c>
      <c r="K245" t="s">
        <v>9</v>
      </c>
      <c r="L245">
        <v>40</v>
      </c>
      <c r="M245">
        <v>255</v>
      </c>
      <c r="N245">
        <v>0.88</v>
      </c>
      <c r="O245">
        <v>28817</v>
      </c>
    </row>
    <row r="246" spans="1:15" x14ac:dyDescent="0.2">
      <c r="A246">
        <v>25</v>
      </c>
      <c r="B246" t="str">
        <f>VLOOKUP(Table1[[#This Row],[CountyID]],[1]!Table1[#All],2,FALSE)</f>
        <v>Goodhue</v>
      </c>
      <c r="C246">
        <f>VLOOKUP(Table1[[#This Row],[CountyID]],[1]!Table1[#All],3,FALSE)</f>
        <v>40</v>
      </c>
      <c r="D246">
        <v>40</v>
      </c>
      <c r="E246">
        <f>Table1[[#This Row],[Number of Counties]]-Table1[[#This Row],[Number of precincts Reporting]]</f>
        <v>0</v>
      </c>
      <c r="F246" t="s">
        <v>0</v>
      </c>
      <c r="G246" t="s">
        <v>1</v>
      </c>
      <c r="H246">
        <v>101</v>
      </c>
      <c r="I246">
        <v>501</v>
      </c>
      <c r="J246" t="s">
        <v>10</v>
      </c>
      <c r="K246" t="s">
        <v>11</v>
      </c>
      <c r="L246">
        <v>40</v>
      </c>
      <c r="M246">
        <v>75</v>
      </c>
      <c r="N246">
        <v>0.26</v>
      </c>
      <c r="O246">
        <v>28817</v>
      </c>
    </row>
    <row r="247" spans="1:15" x14ac:dyDescent="0.2">
      <c r="A247">
        <v>25</v>
      </c>
      <c r="B247" t="str">
        <f>VLOOKUP(Table1[[#This Row],[CountyID]],[1]!Table1[#All],2,FALSE)</f>
        <v>Goodhue</v>
      </c>
      <c r="C247">
        <f>VLOOKUP(Table1[[#This Row],[CountyID]],[1]!Table1[#All],3,FALSE)</f>
        <v>40</v>
      </c>
      <c r="D247">
        <v>40</v>
      </c>
      <c r="E247">
        <f>Table1[[#This Row],[Number of Counties]]-Table1[[#This Row],[Number of precincts Reporting]]</f>
        <v>0</v>
      </c>
      <c r="F247" t="s">
        <v>0</v>
      </c>
      <c r="G247" t="s">
        <v>1</v>
      </c>
      <c r="H247">
        <v>101</v>
      </c>
      <c r="I247">
        <v>601</v>
      </c>
      <c r="J247" t="s">
        <v>12</v>
      </c>
      <c r="K247" t="s">
        <v>13</v>
      </c>
      <c r="L247">
        <v>40</v>
      </c>
      <c r="M247">
        <v>11</v>
      </c>
      <c r="N247">
        <v>0.04</v>
      </c>
      <c r="O247">
        <v>28817</v>
      </c>
    </row>
    <row r="248" spans="1:15" x14ac:dyDescent="0.2">
      <c r="A248">
        <v>25</v>
      </c>
      <c r="B248" t="str">
        <f>VLOOKUP(Table1[[#This Row],[CountyID]],[1]!Table1[#All],2,FALSE)</f>
        <v>Goodhue</v>
      </c>
      <c r="C248">
        <f>VLOOKUP(Table1[[#This Row],[CountyID]],[1]!Table1[#All],3,FALSE)</f>
        <v>40</v>
      </c>
      <c r="D248">
        <v>40</v>
      </c>
      <c r="E248">
        <f>Table1[[#This Row],[Number of Counties]]-Table1[[#This Row],[Number of precincts Reporting]]</f>
        <v>0</v>
      </c>
      <c r="F248" t="s">
        <v>0</v>
      </c>
      <c r="G248" t="s">
        <v>1</v>
      </c>
      <c r="H248">
        <v>101</v>
      </c>
      <c r="I248">
        <v>701</v>
      </c>
      <c r="J248" t="s">
        <v>14</v>
      </c>
      <c r="K248" t="s">
        <v>15</v>
      </c>
      <c r="L248">
        <v>40</v>
      </c>
      <c r="M248">
        <v>3</v>
      </c>
      <c r="N248">
        <v>0.01</v>
      </c>
      <c r="O248">
        <v>28817</v>
      </c>
    </row>
    <row r="249" spans="1:15" x14ac:dyDescent="0.2">
      <c r="A249">
        <v>25</v>
      </c>
      <c r="B249" t="str">
        <f>VLOOKUP(Table1[[#This Row],[CountyID]],[1]!Table1[#All],2,FALSE)</f>
        <v>Goodhue</v>
      </c>
      <c r="C249">
        <f>VLOOKUP(Table1[[#This Row],[CountyID]],[1]!Table1[#All],3,FALSE)</f>
        <v>40</v>
      </c>
      <c r="D249">
        <v>40</v>
      </c>
      <c r="E249">
        <f>Table1[[#This Row],[Number of Counties]]-Table1[[#This Row],[Number of precincts Reporting]]</f>
        <v>0</v>
      </c>
      <c r="F249" t="s">
        <v>0</v>
      </c>
      <c r="G249" t="s">
        <v>1</v>
      </c>
      <c r="H249">
        <v>101</v>
      </c>
      <c r="I249">
        <v>801</v>
      </c>
      <c r="J249" t="s">
        <v>16</v>
      </c>
      <c r="K249" t="s">
        <v>17</v>
      </c>
      <c r="L249">
        <v>40</v>
      </c>
      <c r="M249">
        <v>18</v>
      </c>
      <c r="N249">
        <v>0.06</v>
      </c>
      <c r="O249">
        <v>28817</v>
      </c>
    </row>
    <row r="250" spans="1:15" x14ac:dyDescent="0.2">
      <c r="A250">
        <v>25</v>
      </c>
      <c r="B250" t="str">
        <f>VLOOKUP(Table1[[#This Row],[CountyID]],[1]!Table1[#All],2,FALSE)</f>
        <v>Goodhue</v>
      </c>
      <c r="C250">
        <f>VLOOKUP(Table1[[#This Row],[CountyID]],[1]!Table1[#All],3,FALSE)</f>
        <v>40</v>
      </c>
      <c r="D250">
        <v>40</v>
      </c>
      <c r="E250">
        <f>Table1[[#This Row],[Number of Counties]]-Table1[[#This Row],[Number of precincts Reporting]]</f>
        <v>0</v>
      </c>
      <c r="F250" t="s">
        <v>0</v>
      </c>
      <c r="G250" t="s">
        <v>1</v>
      </c>
      <c r="H250">
        <v>101</v>
      </c>
      <c r="I250">
        <v>901</v>
      </c>
      <c r="J250" t="s">
        <v>18</v>
      </c>
      <c r="K250" t="s">
        <v>19</v>
      </c>
      <c r="L250">
        <v>40</v>
      </c>
      <c r="M250">
        <v>35</v>
      </c>
      <c r="N250">
        <v>0.12</v>
      </c>
      <c r="O250">
        <v>28817</v>
      </c>
    </row>
    <row r="251" spans="1:15" x14ac:dyDescent="0.2">
      <c r="A251">
        <v>25</v>
      </c>
      <c r="B251" t="str">
        <f>VLOOKUP(Table1[[#This Row],[CountyID]],[1]!Table1[#All],2,FALSE)</f>
        <v>Goodhue</v>
      </c>
      <c r="C251">
        <f>VLOOKUP(Table1[[#This Row],[CountyID]],[1]!Table1[#All],3,FALSE)</f>
        <v>40</v>
      </c>
      <c r="D251">
        <v>40</v>
      </c>
      <c r="E251">
        <f>Table1[[#This Row],[Number of Counties]]-Table1[[#This Row],[Number of precincts Reporting]]</f>
        <v>0</v>
      </c>
      <c r="F251" t="s">
        <v>0</v>
      </c>
      <c r="G251" t="s">
        <v>1</v>
      </c>
      <c r="H251">
        <v>101</v>
      </c>
      <c r="I251">
        <v>9901</v>
      </c>
      <c r="J251" t="s">
        <v>20</v>
      </c>
      <c r="K251" t="s">
        <v>21</v>
      </c>
      <c r="L251">
        <v>40</v>
      </c>
      <c r="M251">
        <v>71</v>
      </c>
      <c r="N251">
        <v>0.25</v>
      </c>
      <c r="O251">
        <v>28817</v>
      </c>
    </row>
    <row r="252" spans="1:15" x14ac:dyDescent="0.2">
      <c r="A252">
        <v>26</v>
      </c>
      <c r="B252" t="str">
        <f>VLOOKUP(Table1[[#This Row],[CountyID]],[1]!Table1[#All],2,FALSE)</f>
        <v>Grant</v>
      </c>
      <c r="C252">
        <f>VLOOKUP(Table1[[#This Row],[CountyID]],[1]!Table1[#All],3,FALSE)</f>
        <v>23</v>
      </c>
      <c r="D252">
        <v>23</v>
      </c>
      <c r="E252">
        <f>Table1[[#This Row],[Number of Counties]]-Table1[[#This Row],[Number of precincts Reporting]]</f>
        <v>0</v>
      </c>
      <c r="F252" t="s">
        <v>0</v>
      </c>
      <c r="G252" t="s">
        <v>1</v>
      </c>
      <c r="H252">
        <v>101</v>
      </c>
      <c r="I252">
        <v>101</v>
      </c>
      <c r="J252" t="s">
        <v>2</v>
      </c>
      <c r="K252" t="s">
        <v>3</v>
      </c>
      <c r="L252">
        <v>23</v>
      </c>
      <c r="M252">
        <v>2266</v>
      </c>
      <c r="N252">
        <v>63.96</v>
      </c>
      <c r="O252">
        <v>3543</v>
      </c>
    </row>
    <row r="253" spans="1:15" x14ac:dyDescent="0.2">
      <c r="A253">
        <v>26</v>
      </c>
      <c r="B253" t="str">
        <f>VLOOKUP(Table1[[#This Row],[CountyID]],[1]!Table1[#All],2,FALSE)</f>
        <v>Grant</v>
      </c>
      <c r="C253">
        <f>VLOOKUP(Table1[[#This Row],[CountyID]],[1]!Table1[#All],3,FALSE)</f>
        <v>23</v>
      </c>
      <c r="D253">
        <v>23</v>
      </c>
      <c r="E253">
        <f>Table1[[#This Row],[Number of Counties]]-Table1[[#This Row],[Number of precincts Reporting]]</f>
        <v>0</v>
      </c>
      <c r="F253" t="s">
        <v>0</v>
      </c>
      <c r="G253" t="s">
        <v>1</v>
      </c>
      <c r="H253">
        <v>101</v>
      </c>
      <c r="I253">
        <v>201</v>
      </c>
      <c r="J253" t="s">
        <v>4</v>
      </c>
      <c r="K253" t="s">
        <v>5</v>
      </c>
      <c r="L253">
        <v>23</v>
      </c>
      <c r="M253">
        <v>1187</v>
      </c>
      <c r="N253">
        <v>33.5</v>
      </c>
      <c r="O253">
        <v>3543</v>
      </c>
    </row>
    <row r="254" spans="1:15" x14ac:dyDescent="0.2">
      <c r="A254">
        <v>26</v>
      </c>
      <c r="B254" t="str">
        <f>VLOOKUP(Table1[[#This Row],[CountyID]],[1]!Table1[#All],2,FALSE)</f>
        <v>Grant</v>
      </c>
      <c r="C254">
        <f>VLOOKUP(Table1[[#This Row],[CountyID]],[1]!Table1[#All],3,FALSE)</f>
        <v>23</v>
      </c>
      <c r="D254">
        <v>23</v>
      </c>
      <c r="E254">
        <f>Table1[[#This Row],[Number of Counties]]-Table1[[#This Row],[Number of precincts Reporting]]</f>
        <v>0</v>
      </c>
      <c r="F254" t="s">
        <v>0</v>
      </c>
      <c r="G254" t="s">
        <v>1</v>
      </c>
      <c r="H254">
        <v>101</v>
      </c>
      <c r="I254">
        <v>301</v>
      </c>
      <c r="J254" t="s">
        <v>6</v>
      </c>
      <c r="K254" t="s">
        <v>7</v>
      </c>
      <c r="L254">
        <v>23</v>
      </c>
      <c r="M254">
        <v>11</v>
      </c>
      <c r="N254">
        <v>0.31</v>
      </c>
      <c r="O254">
        <v>3543</v>
      </c>
    </row>
    <row r="255" spans="1:15" x14ac:dyDescent="0.2">
      <c r="A255">
        <v>26</v>
      </c>
      <c r="B255" t="str">
        <f>VLOOKUP(Table1[[#This Row],[CountyID]],[1]!Table1[#All],2,FALSE)</f>
        <v>Grant</v>
      </c>
      <c r="C255">
        <f>VLOOKUP(Table1[[#This Row],[CountyID]],[1]!Table1[#All],3,FALSE)</f>
        <v>23</v>
      </c>
      <c r="D255">
        <v>23</v>
      </c>
      <c r="E255">
        <f>Table1[[#This Row],[Number of Counties]]-Table1[[#This Row],[Number of precincts Reporting]]</f>
        <v>0</v>
      </c>
      <c r="F255" t="s">
        <v>0</v>
      </c>
      <c r="G255" t="s">
        <v>1</v>
      </c>
      <c r="H255">
        <v>101</v>
      </c>
      <c r="I255">
        <v>401</v>
      </c>
      <c r="J255" t="s">
        <v>8</v>
      </c>
      <c r="K255" t="s">
        <v>9</v>
      </c>
      <c r="L255">
        <v>23</v>
      </c>
      <c r="M255">
        <v>57</v>
      </c>
      <c r="N255">
        <v>1.61</v>
      </c>
      <c r="O255">
        <v>3543</v>
      </c>
    </row>
    <row r="256" spans="1:15" x14ac:dyDescent="0.2">
      <c r="A256">
        <v>26</v>
      </c>
      <c r="B256" t="str">
        <f>VLOOKUP(Table1[[#This Row],[CountyID]],[1]!Table1[#All],2,FALSE)</f>
        <v>Grant</v>
      </c>
      <c r="C256">
        <f>VLOOKUP(Table1[[#This Row],[CountyID]],[1]!Table1[#All],3,FALSE)</f>
        <v>23</v>
      </c>
      <c r="D256">
        <v>23</v>
      </c>
      <c r="E256">
        <f>Table1[[#This Row],[Number of Counties]]-Table1[[#This Row],[Number of precincts Reporting]]</f>
        <v>0</v>
      </c>
      <c r="F256" t="s">
        <v>0</v>
      </c>
      <c r="G256" t="s">
        <v>1</v>
      </c>
      <c r="H256">
        <v>101</v>
      </c>
      <c r="I256">
        <v>501</v>
      </c>
      <c r="J256" t="s">
        <v>10</v>
      </c>
      <c r="K256" t="s">
        <v>11</v>
      </c>
      <c r="L256">
        <v>23</v>
      </c>
      <c r="M256">
        <v>5</v>
      </c>
      <c r="N256">
        <v>0.14000000000000001</v>
      </c>
      <c r="O256">
        <v>3543</v>
      </c>
    </row>
    <row r="257" spans="1:15" x14ac:dyDescent="0.2">
      <c r="A257">
        <v>26</v>
      </c>
      <c r="B257" t="str">
        <f>VLOOKUP(Table1[[#This Row],[CountyID]],[1]!Table1[#All],2,FALSE)</f>
        <v>Grant</v>
      </c>
      <c r="C257">
        <f>VLOOKUP(Table1[[#This Row],[CountyID]],[1]!Table1[#All],3,FALSE)</f>
        <v>23</v>
      </c>
      <c r="D257">
        <v>23</v>
      </c>
      <c r="E257">
        <f>Table1[[#This Row],[Number of Counties]]-Table1[[#This Row],[Number of precincts Reporting]]</f>
        <v>0</v>
      </c>
      <c r="F257" t="s">
        <v>0</v>
      </c>
      <c r="G257" t="s">
        <v>1</v>
      </c>
      <c r="H257">
        <v>101</v>
      </c>
      <c r="I257">
        <v>601</v>
      </c>
      <c r="J257" t="s">
        <v>12</v>
      </c>
      <c r="K257" t="s">
        <v>13</v>
      </c>
      <c r="L257">
        <v>23</v>
      </c>
      <c r="M257">
        <v>2</v>
      </c>
      <c r="N257">
        <v>0.06</v>
      </c>
      <c r="O257">
        <v>3543</v>
      </c>
    </row>
    <row r="258" spans="1:15" x14ac:dyDescent="0.2">
      <c r="A258">
        <v>26</v>
      </c>
      <c r="B258" t="str">
        <f>VLOOKUP(Table1[[#This Row],[CountyID]],[1]!Table1[#All],2,FALSE)</f>
        <v>Grant</v>
      </c>
      <c r="C258">
        <f>VLOOKUP(Table1[[#This Row],[CountyID]],[1]!Table1[#All],3,FALSE)</f>
        <v>23</v>
      </c>
      <c r="D258">
        <v>23</v>
      </c>
      <c r="E258">
        <f>Table1[[#This Row],[Number of Counties]]-Table1[[#This Row],[Number of precincts Reporting]]</f>
        <v>0</v>
      </c>
      <c r="F258" t="s">
        <v>0</v>
      </c>
      <c r="G258" t="s">
        <v>1</v>
      </c>
      <c r="H258">
        <v>101</v>
      </c>
      <c r="I258">
        <v>701</v>
      </c>
      <c r="J258" t="s">
        <v>14</v>
      </c>
      <c r="K258" t="s">
        <v>15</v>
      </c>
      <c r="L258">
        <v>23</v>
      </c>
      <c r="M258">
        <v>0</v>
      </c>
      <c r="N258">
        <v>0</v>
      </c>
      <c r="O258">
        <v>3543</v>
      </c>
    </row>
    <row r="259" spans="1:15" x14ac:dyDescent="0.2">
      <c r="A259">
        <v>26</v>
      </c>
      <c r="B259" t="str">
        <f>VLOOKUP(Table1[[#This Row],[CountyID]],[1]!Table1[#All],2,FALSE)</f>
        <v>Grant</v>
      </c>
      <c r="C259">
        <f>VLOOKUP(Table1[[#This Row],[CountyID]],[1]!Table1[#All],3,FALSE)</f>
        <v>23</v>
      </c>
      <c r="D259">
        <v>23</v>
      </c>
      <c r="E259">
        <f>Table1[[#This Row],[Number of Counties]]-Table1[[#This Row],[Number of precincts Reporting]]</f>
        <v>0</v>
      </c>
      <c r="F259" t="s">
        <v>0</v>
      </c>
      <c r="G259" t="s">
        <v>1</v>
      </c>
      <c r="H259">
        <v>101</v>
      </c>
      <c r="I259">
        <v>801</v>
      </c>
      <c r="J259" t="s">
        <v>16</v>
      </c>
      <c r="K259" t="s">
        <v>17</v>
      </c>
      <c r="L259">
        <v>23</v>
      </c>
      <c r="M259">
        <v>0</v>
      </c>
      <c r="N259">
        <v>0</v>
      </c>
      <c r="O259">
        <v>3543</v>
      </c>
    </row>
    <row r="260" spans="1:15" x14ac:dyDescent="0.2">
      <c r="A260">
        <v>26</v>
      </c>
      <c r="B260" t="str">
        <f>VLOOKUP(Table1[[#This Row],[CountyID]],[1]!Table1[#All],2,FALSE)</f>
        <v>Grant</v>
      </c>
      <c r="C260">
        <f>VLOOKUP(Table1[[#This Row],[CountyID]],[1]!Table1[#All],3,FALSE)</f>
        <v>23</v>
      </c>
      <c r="D260">
        <v>23</v>
      </c>
      <c r="E260">
        <f>Table1[[#This Row],[Number of Counties]]-Table1[[#This Row],[Number of precincts Reporting]]</f>
        <v>0</v>
      </c>
      <c r="F260" t="s">
        <v>0</v>
      </c>
      <c r="G260" t="s">
        <v>1</v>
      </c>
      <c r="H260">
        <v>101</v>
      </c>
      <c r="I260">
        <v>901</v>
      </c>
      <c r="J260" t="s">
        <v>18</v>
      </c>
      <c r="K260" t="s">
        <v>19</v>
      </c>
      <c r="L260">
        <v>23</v>
      </c>
      <c r="M260">
        <v>3</v>
      </c>
      <c r="N260">
        <v>0.08</v>
      </c>
      <c r="O260">
        <v>3543</v>
      </c>
    </row>
    <row r="261" spans="1:15" x14ac:dyDescent="0.2">
      <c r="A261">
        <v>26</v>
      </c>
      <c r="B261" t="str">
        <f>VLOOKUP(Table1[[#This Row],[CountyID]],[1]!Table1[#All],2,FALSE)</f>
        <v>Grant</v>
      </c>
      <c r="C261">
        <f>VLOOKUP(Table1[[#This Row],[CountyID]],[1]!Table1[#All],3,FALSE)</f>
        <v>23</v>
      </c>
      <c r="D261">
        <v>23</v>
      </c>
      <c r="E261">
        <f>Table1[[#This Row],[Number of Counties]]-Table1[[#This Row],[Number of precincts Reporting]]</f>
        <v>0</v>
      </c>
      <c r="F261" t="s">
        <v>0</v>
      </c>
      <c r="G261" t="s">
        <v>1</v>
      </c>
      <c r="H261">
        <v>101</v>
      </c>
      <c r="I261">
        <v>9901</v>
      </c>
      <c r="J261" t="s">
        <v>20</v>
      </c>
      <c r="K261" t="s">
        <v>21</v>
      </c>
      <c r="L261">
        <v>23</v>
      </c>
      <c r="M261">
        <v>12</v>
      </c>
      <c r="N261">
        <v>0.34</v>
      </c>
      <c r="O261">
        <v>3543</v>
      </c>
    </row>
    <row r="262" spans="1:15" x14ac:dyDescent="0.2">
      <c r="A262">
        <v>27</v>
      </c>
      <c r="B262" t="str">
        <f>VLOOKUP(Table1[[#This Row],[CountyID]],[1]!Table1[#All],2,FALSE)</f>
        <v>Hennepin</v>
      </c>
      <c r="C262">
        <f>VLOOKUP(Table1[[#This Row],[CountyID]],[1]!Table1[#All],3,FALSE)</f>
        <v>396</v>
      </c>
      <c r="D262">
        <v>396</v>
      </c>
      <c r="E262">
        <f>Table1[[#This Row],[Number of Counties]]-Table1[[#This Row],[Number of precincts Reporting]]</f>
        <v>0</v>
      </c>
      <c r="F262" t="s">
        <v>0</v>
      </c>
      <c r="G262" t="s">
        <v>1</v>
      </c>
      <c r="H262">
        <v>101</v>
      </c>
      <c r="I262">
        <v>101</v>
      </c>
      <c r="J262" t="s">
        <v>2</v>
      </c>
      <c r="K262" t="s">
        <v>3</v>
      </c>
      <c r="L262">
        <v>396</v>
      </c>
      <c r="M262">
        <v>197244</v>
      </c>
      <c r="N262">
        <v>27.39</v>
      </c>
      <c r="O262">
        <v>720173</v>
      </c>
    </row>
    <row r="263" spans="1:15" x14ac:dyDescent="0.2">
      <c r="A263">
        <v>27</v>
      </c>
      <c r="B263" t="str">
        <f>VLOOKUP(Table1[[#This Row],[CountyID]],[1]!Table1[#All],2,FALSE)</f>
        <v>Hennepin</v>
      </c>
      <c r="C263">
        <f>VLOOKUP(Table1[[#This Row],[CountyID]],[1]!Table1[#All],3,FALSE)</f>
        <v>396</v>
      </c>
      <c r="D263">
        <v>396</v>
      </c>
      <c r="E263">
        <f>Table1[[#This Row],[Number of Counties]]-Table1[[#This Row],[Number of precincts Reporting]]</f>
        <v>0</v>
      </c>
      <c r="F263" t="s">
        <v>0</v>
      </c>
      <c r="G263" t="s">
        <v>1</v>
      </c>
      <c r="H263">
        <v>101</v>
      </c>
      <c r="I263">
        <v>201</v>
      </c>
      <c r="J263" t="s">
        <v>4</v>
      </c>
      <c r="K263" t="s">
        <v>5</v>
      </c>
      <c r="L263">
        <v>396</v>
      </c>
      <c r="M263">
        <v>502710</v>
      </c>
      <c r="N263">
        <v>69.8</v>
      </c>
      <c r="O263">
        <v>720173</v>
      </c>
    </row>
    <row r="264" spans="1:15" x14ac:dyDescent="0.2">
      <c r="A264">
        <v>27</v>
      </c>
      <c r="B264" t="str">
        <f>VLOOKUP(Table1[[#This Row],[CountyID]],[1]!Table1[#All],2,FALSE)</f>
        <v>Hennepin</v>
      </c>
      <c r="C264">
        <f>VLOOKUP(Table1[[#This Row],[CountyID]],[1]!Table1[#All],3,FALSE)</f>
        <v>396</v>
      </c>
      <c r="D264">
        <v>396</v>
      </c>
      <c r="E264">
        <f>Table1[[#This Row],[Number of Counties]]-Table1[[#This Row],[Number of precincts Reporting]]</f>
        <v>0</v>
      </c>
      <c r="F264" t="s">
        <v>0</v>
      </c>
      <c r="G264" t="s">
        <v>1</v>
      </c>
      <c r="H264">
        <v>101</v>
      </c>
      <c r="I264">
        <v>301</v>
      </c>
      <c r="J264" t="s">
        <v>6</v>
      </c>
      <c r="K264" t="s">
        <v>7</v>
      </c>
      <c r="L264">
        <v>396</v>
      </c>
      <c r="M264">
        <v>3585</v>
      </c>
      <c r="N264">
        <v>0.5</v>
      </c>
      <c r="O264">
        <v>720173</v>
      </c>
    </row>
    <row r="265" spans="1:15" x14ac:dyDescent="0.2">
      <c r="A265">
        <v>27</v>
      </c>
      <c r="B265" t="str">
        <f>VLOOKUP(Table1[[#This Row],[CountyID]],[1]!Table1[#All],2,FALSE)</f>
        <v>Hennepin</v>
      </c>
      <c r="C265">
        <f>VLOOKUP(Table1[[#This Row],[CountyID]],[1]!Table1[#All],3,FALSE)</f>
        <v>396</v>
      </c>
      <c r="D265">
        <v>396</v>
      </c>
      <c r="E265">
        <f>Table1[[#This Row],[Number of Counties]]-Table1[[#This Row],[Number of precincts Reporting]]</f>
        <v>0</v>
      </c>
      <c r="F265" t="s">
        <v>0</v>
      </c>
      <c r="G265" t="s">
        <v>1</v>
      </c>
      <c r="H265">
        <v>101</v>
      </c>
      <c r="I265">
        <v>401</v>
      </c>
      <c r="J265" t="s">
        <v>8</v>
      </c>
      <c r="K265" t="s">
        <v>9</v>
      </c>
      <c r="L265">
        <v>396</v>
      </c>
      <c r="M265">
        <v>4209</v>
      </c>
      <c r="N265">
        <v>0.57999999999999996</v>
      </c>
      <c r="O265">
        <v>720173</v>
      </c>
    </row>
    <row r="266" spans="1:15" x14ac:dyDescent="0.2">
      <c r="A266">
        <v>27</v>
      </c>
      <c r="B266" t="str">
        <f>VLOOKUP(Table1[[#This Row],[CountyID]],[1]!Table1[#All],2,FALSE)</f>
        <v>Hennepin</v>
      </c>
      <c r="C266">
        <f>VLOOKUP(Table1[[#This Row],[CountyID]],[1]!Table1[#All],3,FALSE)</f>
        <v>396</v>
      </c>
      <c r="D266">
        <v>396</v>
      </c>
      <c r="E266">
        <f>Table1[[#This Row],[Number of Counties]]-Table1[[#This Row],[Number of precincts Reporting]]</f>
        <v>0</v>
      </c>
      <c r="F266" t="s">
        <v>0</v>
      </c>
      <c r="G266" t="s">
        <v>1</v>
      </c>
      <c r="H266">
        <v>101</v>
      </c>
      <c r="I266">
        <v>501</v>
      </c>
      <c r="J266" t="s">
        <v>10</v>
      </c>
      <c r="K266" t="s">
        <v>11</v>
      </c>
      <c r="L266">
        <v>396</v>
      </c>
      <c r="M266">
        <v>5522</v>
      </c>
      <c r="N266">
        <v>0.77</v>
      </c>
      <c r="O266">
        <v>720173</v>
      </c>
    </row>
    <row r="267" spans="1:15" x14ac:dyDescent="0.2">
      <c r="A267">
        <v>27</v>
      </c>
      <c r="B267" t="str">
        <f>VLOOKUP(Table1[[#This Row],[CountyID]],[1]!Table1[#All],2,FALSE)</f>
        <v>Hennepin</v>
      </c>
      <c r="C267">
        <f>VLOOKUP(Table1[[#This Row],[CountyID]],[1]!Table1[#All],3,FALSE)</f>
        <v>396</v>
      </c>
      <c r="D267">
        <v>396</v>
      </c>
      <c r="E267">
        <f>Table1[[#This Row],[Number of Counties]]-Table1[[#This Row],[Number of precincts Reporting]]</f>
        <v>0</v>
      </c>
      <c r="F267" t="s">
        <v>0</v>
      </c>
      <c r="G267" t="s">
        <v>1</v>
      </c>
      <c r="H267">
        <v>101</v>
      </c>
      <c r="I267">
        <v>601</v>
      </c>
      <c r="J267" t="s">
        <v>12</v>
      </c>
      <c r="K267" t="s">
        <v>13</v>
      </c>
      <c r="L267">
        <v>396</v>
      </c>
      <c r="M267">
        <v>1370</v>
      </c>
      <c r="N267">
        <v>0.19</v>
      </c>
      <c r="O267">
        <v>720173</v>
      </c>
    </row>
    <row r="268" spans="1:15" x14ac:dyDescent="0.2">
      <c r="A268">
        <v>27</v>
      </c>
      <c r="B268" t="str">
        <f>VLOOKUP(Table1[[#This Row],[CountyID]],[1]!Table1[#All],2,FALSE)</f>
        <v>Hennepin</v>
      </c>
      <c r="C268">
        <f>VLOOKUP(Table1[[#This Row],[CountyID]],[1]!Table1[#All],3,FALSE)</f>
        <v>396</v>
      </c>
      <c r="D268">
        <v>396</v>
      </c>
      <c r="E268">
        <f>Table1[[#This Row],[Number of Counties]]-Table1[[#This Row],[Number of precincts Reporting]]</f>
        <v>0</v>
      </c>
      <c r="F268" t="s">
        <v>0</v>
      </c>
      <c r="G268" t="s">
        <v>1</v>
      </c>
      <c r="H268">
        <v>101</v>
      </c>
      <c r="I268">
        <v>701</v>
      </c>
      <c r="J268" t="s">
        <v>14</v>
      </c>
      <c r="K268" t="s">
        <v>15</v>
      </c>
      <c r="L268">
        <v>396</v>
      </c>
      <c r="M268">
        <v>143</v>
      </c>
      <c r="N268">
        <v>0.02</v>
      </c>
      <c r="O268">
        <v>720173</v>
      </c>
    </row>
    <row r="269" spans="1:15" x14ac:dyDescent="0.2">
      <c r="A269">
        <v>27</v>
      </c>
      <c r="B269" t="str">
        <f>VLOOKUP(Table1[[#This Row],[CountyID]],[1]!Table1[#All],2,FALSE)</f>
        <v>Hennepin</v>
      </c>
      <c r="C269">
        <f>VLOOKUP(Table1[[#This Row],[CountyID]],[1]!Table1[#All],3,FALSE)</f>
        <v>396</v>
      </c>
      <c r="D269">
        <v>396</v>
      </c>
      <c r="E269">
        <f>Table1[[#This Row],[Number of Counties]]-Table1[[#This Row],[Number of precincts Reporting]]</f>
        <v>0</v>
      </c>
      <c r="F269" t="s">
        <v>0</v>
      </c>
      <c r="G269" t="s">
        <v>1</v>
      </c>
      <c r="H269">
        <v>101</v>
      </c>
      <c r="I269">
        <v>801</v>
      </c>
      <c r="J269" t="s">
        <v>16</v>
      </c>
      <c r="K269" t="s">
        <v>17</v>
      </c>
      <c r="L269">
        <v>396</v>
      </c>
      <c r="M269">
        <v>1234</v>
      </c>
      <c r="N269">
        <v>0.17</v>
      </c>
      <c r="O269">
        <v>720173</v>
      </c>
    </row>
    <row r="270" spans="1:15" x14ac:dyDescent="0.2">
      <c r="A270">
        <v>27</v>
      </c>
      <c r="B270" t="str">
        <f>VLOOKUP(Table1[[#This Row],[CountyID]],[1]!Table1[#All],2,FALSE)</f>
        <v>Hennepin</v>
      </c>
      <c r="C270">
        <f>VLOOKUP(Table1[[#This Row],[CountyID]],[1]!Table1[#All],3,FALSE)</f>
        <v>396</v>
      </c>
      <c r="D270">
        <v>396</v>
      </c>
      <c r="E270">
        <f>Table1[[#This Row],[Number of Counties]]-Table1[[#This Row],[Number of precincts Reporting]]</f>
        <v>0</v>
      </c>
      <c r="F270" t="s">
        <v>0</v>
      </c>
      <c r="G270" t="s">
        <v>1</v>
      </c>
      <c r="H270">
        <v>101</v>
      </c>
      <c r="I270">
        <v>901</v>
      </c>
      <c r="J270" t="s">
        <v>18</v>
      </c>
      <c r="K270" t="s">
        <v>19</v>
      </c>
      <c r="L270">
        <v>396</v>
      </c>
      <c r="M270">
        <v>574</v>
      </c>
      <c r="N270">
        <v>0.08</v>
      </c>
      <c r="O270">
        <v>720173</v>
      </c>
    </row>
    <row r="271" spans="1:15" x14ac:dyDescent="0.2">
      <c r="A271">
        <v>27</v>
      </c>
      <c r="B271" t="str">
        <f>VLOOKUP(Table1[[#This Row],[CountyID]],[1]!Table1[#All],2,FALSE)</f>
        <v>Hennepin</v>
      </c>
      <c r="C271">
        <f>VLOOKUP(Table1[[#This Row],[CountyID]],[1]!Table1[#All],3,FALSE)</f>
        <v>396</v>
      </c>
      <c r="D271">
        <v>396</v>
      </c>
      <c r="E271">
        <f>Table1[[#This Row],[Number of Counties]]-Table1[[#This Row],[Number of precincts Reporting]]</f>
        <v>0</v>
      </c>
      <c r="F271" t="s">
        <v>0</v>
      </c>
      <c r="G271" t="s">
        <v>1</v>
      </c>
      <c r="H271">
        <v>101</v>
      </c>
      <c r="I271">
        <v>9901</v>
      </c>
      <c r="J271" t="s">
        <v>20</v>
      </c>
      <c r="K271" t="s">
        <v>21</v>
      </c>
      <c r="L271">
        <v>396</v>
      </c>
      <c r="M271">
        <v>3582</v>
      </c>
      <c r="N271">
        <v>0.5</v>
      </c>
      <c r="O271">
        <v>720173</v>
      </c>
    </row>
    <row r="272" spans="1:15" x14ac:dyDescent="0.2">
      <c r="A272">
        <v>28</v>
      </c>
      <c r="B272" t="str">
        <f>VLOOKUP(Table1[[#This Row],[CountyID]],[1]!Table1[#All],2,FALSE)</f>
        <v>Houston</v>
      </c>
      <c r="C272">
        <f>VLOOKUP(Table1[[#This Row],[CountyID]],[1]!Table1[#All],3,FALSE)</f>
        <v>27</v>
      </c>
      <c r="D272">
        <v>27</v>
      </c>
      <c r="E272">
        <f>Table1[[#This Row],[Number of Counties]]-Table1[[#This Row],[Number of precincts Reporting]]</f>
        <v>0</v>
      </c>
      <c r="F272" t="s">
        <v>0</v>
      </c>
      <c r="G272" t="s">
        <v>1</v>
      </c>
      <c r="H272">
        <v>101</v>
      </c>
      <c r="I272">
        <v>101</v>
      </c>
      <c r="J272" t="s">
        <v>2</v>
      </c>
      <c r="K272" t="s">
        <v>3</v>
      </c>
      <c r="L272">
        <v>27</v>
      </c>
      <c r="M272">
        <v>6547</v>
      </c>
      <c r="N272">
        <v>57.29</v>
      </c>
      <c r="O272">
        <v>11428</v>
      </c>
    </row>
    <row r="273" spans="1:15" x14ac:dyDescent="0.2">
      <c r="A273">
        <v>28</v>
      </c>
      <c r="B273" t="str">
        <f>VLOOKUP(Table1[[#This Row],[CountyID]],[1]!Table1[#All],2,FALSE)</f>
        <v>Houston</v>
      </c>
      <c r="C273">
        <f>VLOOKUP(Table1[[#This Row],[CountyID]],[1]!Table1[#All],3,FALSE)</f>
        <v>27</v>
      </c>
      <c r="D273">
        <v>27</v>
      </c>
      <c r="E273">
        <f>Table1[[#This Row],[Number of Counties]]-Table1[[#This Row],[Number of precincts Reporting]]</f>
        <v>0</v>
      </c>
      <c r="F273" t="s">
        <v>0</v>
      </c>
      <c r="G273" t="s">
        <v>1</v>
      </c>
      <c r="H273">
        <v>101</v>
      </c>
      <c r="I273">
        <v>201</v>
      </c>
      <c r="J273" t="s">
        <v>4</v>
      </c>
      <c r="K273" t="s">
        <v>5</v>
      </c>
      <c r="L273">
        <v>27</v>
      </c>
      <c r="M273">
        <v>4667</v>
      </c>
      <c r="N273">
        <v>40.840000000000003</v>
      </c>
      <c r="O273">
        <v>11428</v>
      </c>
    </row>
    <row r="274" spans="1:15" x14ac:dyDescent="0.2">
      <c r="A274">
        <v>28</v>
      </c>
      <c r="B274" t="str">
        <f>VLOOKUP(Table1[[#This Row],[CountyID]],[1]!Table1[#All],2,FALSE)</f>
        <v>Houston</v>
      </c>
      <c r="C274">
        <f>VLOOKUP(Table1[[#This Row],[CountyID]],[1]!Table1[#All],3,FALSE)</f>
        <v>27</v>
      </c>
      <c r="D274">
        <v>27</v>
      </c>
      <c r="E274">
        <f>Table1[[#This Row],[Number of Counties]]-Table1[[#This Row],[Number of precincts Reporting]]</f>
        <v>0</v>
      </c>
      <c r="F274" t="s">
        <v>0</v>
      </c>
      <c r="G274" t="s">
        <v>1</v>
      </c>
      <c r="H274">
        <v>101</v>
      </c>
      <c r="I274">
        <v>301</v>
      </c>
      <c r="J274" t="s">
        <v>6</v>
      </c>
      <c r="K274" t="s">
        <v>7</v>
      </c>
      <c r="L274">
        <v>27</v>
      </c>
      <c r="M274">
        <v>43</v>
      </c>
      <c r="N274">
        <v>0.38</v>
      </c>
      <c r="O274">
        <v>11428</v>
      </c>
    </row>
    <row r="275" spans="1:15" x14ac:dyDescent="0.2">
      <c r="A275">
        <v>28</v>
      </c>
      <c r="B275" t="str">
        <f>VLOOKUP(Table1[[#This Row],[CountyID]],[1]!Table1[#All],2,FALSE)</f>
        <v>Houston</v>
      </c>
      <c r="C275">
        <f>VLOOKUP(Table1[[#This Row],[CountyID]],[1]!Table1[#All],3,FALSE)</f>
        <v>27</v>
      </c>
      <c r="D275">
        <v>27</v>
      </c>
      <c r="E275">
        <f>Table1[[#This Row],[Number of Counties]]-Table1[[#This Row],[Number of precincts Reporting]]</f>
        <v>0</v>
      </c>
      <c r="F275" t="s">
        <v>0</v>
      </c>
      <c r="G275" t="s">
        <v>1</v>
      </c>
      <c r="H275">
        <v>101</v>
      </c>
      <c r="I275">
        <v>401</v>
      </c>
      <c r="J275" t="s">
        <v>8</v>
      </c>
      <c r="K275" t="s">
        <v>9</v>
      </c>
      <c r="L275">
        <v>27</v>
      </c>
      <c r="M275">
        <v>91</v>
      </c>
      <c r="N275">
        <v>0.8</v>
      </c>
      <c r="O275">
        <v>11428</v>
      </c>
    </row>
    <row r="276" spans="1:15" x14ac:dyDescent="0.2">
      <c r="A276">
        <v>28</v>
      </c>
      <c r="B276" t="str">
        <f>VLOOKUP(Table1[[#This Row],[CountyID]],[1]!Table1[#All],2,FALSE)</f>
        <v>Houston</v>
      </c>
      <c r="C276">
        <f>VLOOKUP(Table1[[#This Row],[CountyID]],[1]!Table1[#All],3,FALSE)</f>
        <v>27</v>
      </c>
      <c r="D276">
        <v>27</v>
      </c>
      <c r="E276">
        <f>Table1[[#This Row],[Number of Counties]]-Table1[[#This Row],[Number of precincts Reporting]]</f>
        <v>0</v>
      </c>
      <c r="F276" t="s">
        <v>0</v>
      </c>
      <c r="G276" t="s">
        <v>1</v>
      </c>
      <c r="H276">
        <v>101</v>
      </c>
      <c r="I276">
        <v>501</v>
      </c>
      <c r="J276" t="s">
        <v>10</v>
      </c>
      <c r="K276" t="s">
        <v>11</v>
      </c>
      <c r="L276">
        <v>27</v>
      </c>
      <c r="M276">
        <v>31</v>
      </c>
      <c r="N276">
        <v>0.27</v>
      </c>
      <c r="O276">
        <v>11428</v>
      </c>
    </row>
    <row r="277" spans="1:15" x14ac:dyDescent="0.2">
      <c r="A277">
        <v>28</v>
      </c>
      <c r="B277" t="str">
        <f>VLOOKUP(Table1[[#This Row],[CountyID]],[1]!Table1[#All],2,FALSE)</f>
        <v>Houston</v>
      </c>
      <c r="C277">
        <f>VLOOKUP(Table1[[#This Row],[CountyID]],[1]!Table1[#All],3,FALSE)</f>
        <v>27</v>
      </c>
      <c r="D277">
        <v>27</v>
      </c>
      <c r="E277">
        <f>Table1[[#This Row],[Number of Counties]]-Table1[[#This Row],[Number of precincts Reporting]]</f>
        <v>0</v>
      </c>
      <c r="F277" t="s">
        <v>0</v>
      </c>
      <c r="G277" t="s">
        <v>1</v>
      </c>
      <c r="H277">
        <v>101</v>
      </c>
      <c r="I277">
        <v>601</v>
      </c>
      <c r="J277" t="s">
        <v>12</v>
      </c>
      <c r="K277" t="s">
        <v>13</v>
      </c>
      <c r="L277">
        <v>27</v>
      </c>
      <c r="M277">
        <v>0</v>
      </c>
      <c r="N277">
        <v>0</v>
      </c>
      <c r="O277">
        <v>11428</v>
      </c>
    </row>
    <row r="278" spans="1:15" x14ac:dyDescent="0.2">
      <c r="A278">
        <v>28</v>
      </c>
      <c r="B278" t="str">
        <f>VLOOKUP(Table1[[#This Row],[CountyID]],[1]!Table1[#All],2,FALSE)</f>
        <v>Houston</v>
      </c>
      <c r="C278">
        <f>VLOOKUP(Table1[[#This Row],[CountyID]],[1]!Table1[#All],3,FALSE)</f>
        <v>27</v>
      </c>
      <c r="D278">
        <v>27</v>
      </c>
      <c r="E278">
        <f>Table1[[#This Row],[Number of Counties]]-Table1[[#This Row],[Number of precincts Reporting]]</f>
        <v>0</v>
      </c>
      <c r="F278" t="s">
        <v>0</v>
      </c>
      <c r="G278" t="s">
        <v>1</v>
      </c>
      <c r="H278">
        <v>101</v>
      </c>
      <c r="I278">
        <v>701</v>
      </c>
      <c r="J278" t="s">
        <v>14</v>
      </c>
      <c r="K278" t="s">
        <v>15</v>
      </c>
      <c r="L278">
        <v>27</v>
      </c>
      <c r="M278">
        <v>3</v>
      </c>
      <c r="N278">
        <v>0.03</v>
      </c>
      <c r="O278">
        <v>11428</v>
      </c>
    </row>
    <row r="279" spans="1:15" x14ac:dyDescent="0.2">
      <c r="A279">
        <v>28</v>
      </c>
      <c r="B279" t="str">
        <f>VLOOKUP(Table1[[#This Row],[CountyID]],[1]!Table1[#All],2,FALSE)</f>
        <v>Houston</v>
      </c>
      <c r="C279">
        <f>VLOOKUP(Table1[[#This Row],[CountyID]],[1]!Table1[#All],3,FALSE)</f>
        <v>27</v>
      </c>
      <c r="D279">
        <v>27</v>
      </c>
      <c r="E279">
        <f>Table1[[#This Row],[Number of Counties]]-Table1[[#This Row],[Number of precincts Reporting]]</f>
        <v>0</v>
      </c>
      <c r="F279" t="s">
        <v>0</v>
      </c>
      <c r="G279" t="s">
        <v>1</v>
      </c>
      <c r="H279">
        <v>101</v>
      </c>
      <c r="I279">
        <v>801</v>
      </c>
      <c r="J279" t="s">
        <v>16</v>
      </c>
      <c r="K279" t="s">
        <v>17</v>
      </c>
      <c r="L279">
        <v>27</v>
      </c>
      <c r="M279">
        <v>3</v>
      </c>
      <c r="N279">
        <v>0.03</v>
      </c>
      <c r="O279">
        <v>11428</v>
      </c>
    </row>
    <row r="280" spans="1:15" x14ac:dyDescent="0.2">
      <c r="A280">
        <v>28</v>
      </c>
      <c r="B280" t="str">
        <f>VLOOKUP(Table1[[#This Row],[CountyID]],[1]!Table1[#All],2,FALSE)</f>
        <v>Houston</v>
      </c>
      <c r="C280">
        <f>VLOOKUP(Table1[[#This Row],[CountyID]],[1]!Table1[#All],3,FALSE)</f>
        <v>27</v>
      </c>
      <c r="D280">
        <v>27</v>
      </c>
      <c r="E280">
        <f>Table1[[#This Row],[Number of Counties]]-Table1[[#This Row],[Number of precincts Reporting]]</f>
        <v>0</v>
      </c>
      <c r="F280" t="s">
        <v>0</v>
      </c>
      <c r="G280" t="s">
        <v>1</v>
      </c>
      <c r="H280">
        <v>101</v>
      </c>
      <c r="I280">
        <v>901</v>
      </c>
      <c r="J280" t="s">
        <v>18</v>
      </c>
      <c r="K280" t="s">
        <v>19</v>
      </c>
      <c r="L280">
        <v>27</v>
      </c>
      <c r="M280">
        <v>9</v>
      </c>
      <c r="N280">
        <v>0.08</v>
      </c>
      <c r="O280">
        <v>11428</v>
      </c>
    </row>
    <row r="281" spans="1:15" x14ac:dyDescent="0.2">
      <c r="A281">
        <v>28</v>
      </c>
      <c r="B281" t="str">
        <f>VLOOKUP(Table1[[#This Row],[CountyID]],[1]!Table1[#All],2,FALSE)</f>
        <v>Houston</v>
      </c>
      <c r="C281">
        <f>VLOOKUP(Table1[[#This Row],[CountyID]],[1]!Table1[#All],3,FALSE)</f>
        <v>27</v>
      </c>
      <c r="D281">
        <v>27</v>
      </c>
      <c r="E281">
        <f>Table1[[#This Row],[Number of Counties]]-Table1[[#This Row],[Number of precincts Reporting]]</f>
        <v>0</v>
      </c>
      <c r="F281" t="s">
        <v>0</v>
      </c>
      <c r="G281" t="s">
        <v>1</v>
      </c>
      <c r="H281">
        <v>101</v>
      </c>
      <c r="I281">
        <v>9901</v>
      </c>
      <c r="J281" t="s">
        <v>20</v>
      </c>
      <c r="K281" t="s">
        <v>21</v>
      </c>
      <c r="L281">
        <v>27</v>
      </c>
      <c r="M281">
        <v>34</v>
      </c>
      <c r="N281">
        <v>0.3</v>
      </c>
      <c r="O281">
        <v>11428</v>
      </c>
    </row>
    <row r="282" spans="1:15" x14ac:dyDescent="0.2">
      <c r="A282">
        <v>29</v>
      </c>
      <c r="B282" t="str">
        <f>VLOOKUP(Table1[[#This Row],[CountyID]],[1]!Table1[#All],2,FALSE)</f>
        <v>Hubbard</v>
      </c>
      <c r="C282">
        <f>VLOOKUP(Table1[[#This Row],[CountyID]],[1]!Table1[#All],3,FALSE)</f>
        <v>37</v>
      </c>
      <c r="D282">
        <v>37</v>
      </c>
      <c r="E282">
        <f>Table1[[#This Row],[Number of Counties]]-Table1[[#This Row],[Number of precincts Reporting]]</f>
        <v>0</v>
      </c>
      <c r="F282" t="s">
        <v>0</v>
      </c>
      <c r="G282" t="s">
        <v>1</v>
      </c>
      <c r="H282">
        <v>101</v>
      </c>
      <c r="I282">
        <v>101</v>
      </c>
      <c r="J282" t="s">
        <v>2</v>
      </c>
      <c r="K282" t="s">
        <v>3</v>
      </c>
      <c r="L282">
        <v>37</v>
      </c>
      <c r="M282">
        <v>8809</v>
      </c>
      <c r="N282">
        <v>64.69</v>
      </c>
      <c r="O282">
        <v>13617</v>
      </c>
    </row>
    <row r="283" spans="1:15" x14ac:dyDescent="0.2">
      <c r="A283">
        <v>29</v>
      </c>
      <c r="B283" t="str">
        <f>VLOOKUP(Table1[[#This Row],[CountyID]],[1]!Table1[#All],2,FALSE)</f>
        <v>Hubbard</v>
      </c>
      <c r="C283">
        <f>VLOOKUP(Table1[[#This Row],[CountyID]],[1]!Table1[#All],3,FALSE)</f>
        <v>37</v>
      </c>
      <c r="D283">
        <v>37</v>
      </c>
      <c r="E283">
        <f>Table1[[#This Row],[Number of Counties]]-Table1[[#This Row],[Number of precincts Reporting]]</f>
        <v>0</v>
      </c>
      <c r="F283" t="s">
        <v>0</v>
      </c>
      <c r="G283" t="s">
        <v>1</v>
      </c>
      <c r="H283">
        <v>101</v>
      </c>
      <c r="I283">
        <v>201</v>
      </c>
      <c r="J283" t="s">
        <v>4</v>
      </c>
      <c r="K283" t="s">
        <v>5</v>
      </c>
      <c r="L283">
        <v>37</v>
      </c>
      <c r="M283">
        <v>4536</v>
      </c>
      <c r="N283">
        <v>33.31</v>
      </c>
      <c r="O283">
        <v>13617</v>
      </c>
    </row>
    <row r="284" spans="1:15" x14ac:dyDescent="0.2">
      <c r="A284">
        <v>29</v>
      </c>
      <c r="B284" t="str">
        <f>VLOOKUP(Table1[[#This Row],[CountyID]],[1]!Table1[#All],2,FALSE)</f>
        <v>Hubbard</v>
      </c>
      <c r="C284">
        <f>VLOOKUP(Table1[[#This Row],[CountyID]],[1]!Table1[#All],3,FALSE)</f>
        <v>37</v>
      </c>
      <c r="D284">
        <v>37</v>
      </c>
      <c r="E284">
        <f>Table1[[#This Row],[Number of Counties]]-Table1[[#This Row],[Number of precincts Reporting]]</f>
        <v>0</v>
      </c>
      <c r="F284" t="s">
        <v>0</v>
      </c>
      <c r="G284" t="s">
        <v>1</v>
      </c>
      <c r="H284">
        <v>101</v>
      </c>
      <c r="I284">
        <v>301</v>
      </c>
      <c r="J284" t="s">
        <v>6</v>
      </c>
      <c r="K284" t="s">
        <v>7</v>
      </c>
      <c r="L284">
        <v>37</v>
      </c>
      <c r="M284">
        <v>54</v>
      </c>
      <c r="N284">
        <v>0.4</v>
      </c>
      <c r="O284">
        <v>13617</v>
      </c>
    </row>
    <row r="285" spans="1:15" x14ac:dyDescent="0.2">
      <c r="A285">
        <v>29</v>
      </c>
      <c r="B285" t="str">
        <f>VLOOKUP(Table1[[#This Row],[CountyID]],[1]!Table1[#All],2,FALSE)</f>
        <v>Hubbard</v>
      </c>
      <c r="C285">
        <f>VLOOKUP(Table1[[#This Row],[CountyID]],[1]!Table1[#All],3,FALSE)</f>
        <v>37</v>
      </c>
      <c r="D285">
        <v>37</v>
      </c>
      <c r="E285">
        <f>Table1[[#This Row],[Number of Counties]]-Table1[[#This Row],[Number of precincts Reporting]]</f>
        <v>0</v>
      </c>
      <c r="F285" t="s">
        <v>0</v>
      </c>
      <c r="G285" t="s">
        <v>1</v>
      </c>
      <c r="H285">
        <v>101</v>
      </c>
      <c r="I285">
        <v>401</v>
      </c>
      <c r="J285" t="s">
        <v>8</v>
      </c>
      <c r="K285" t="s">
        <v>9</v>
      </c>
      <c r="L285">
        <v>37</v>
      </c>
      <c r="M285">
        <v>115</v>
      </c>
      <c r="N285">
        <v>0.84</v>
      </c>
      <c r="O285">
        <v>13617</v>
      </c>
    </row>
    <row r="286" spans="1:15" x14ac:dyDescent="0.2">
      <c r="A286">
        <v>29</v>
      </c>
      <c r="B286" t="str">
        <f>VLOOKUP(Table1[[#This Row],[CountyID]],[1]!Table1[#All],2,FALSE)</f>
        <v>Hubbard</v>
      </c>
      <c r="C286">
        <f>VLOOKUP(Table1[[#This Row],[CountyID]],[1]!Table1[#All],3,FALSE)</f>
        <v>37</v>
      </c>
      <c r="D286">
        <v>37</v>
      </c>
      <c r="E286">
        <f>Table1[[#This Row],[Number of Counties]]-Table1[[#This Row],[Number of precincts Reporting]]</f>
        <v>0</v>
      </c>
      <c r="F286" t="s">
        <v>0</v>
      </c>
      <c r="G286" t="s">
        <v>1</v>
      </c>
      <c r="H286">
        <v>101</v>
      </c>
      <c r="I286">
        <v>501</v>
      </c>
      <c r="J286" t="s">
        <v>10</v>
      </c>
      <c r="K286" t="s">
        <v>11</v>
      </c>
      <c r="L286">
        <v>37</v>
      </c>
      <c r="M286">
        <v>32</v>
      </c>
      <c r="N286">
        <v>0.24</v>
      </c>
      <c r="O286">
        <v>13617</v>
      </c>
    </row>
    <row r="287" spans="1:15" x14ac:dyDescent="0.2">
      <c r="A287">
        <v>29</v>
      </c>
      <c r="B287" t="str">
        <f>VLOOKUP(Table1[[#This Row],[CountyID]],[1]!Table1[#All],2,FALSE)</f>
        <v>Hubbard</v>
      </c>
      <c r="C287">
        <f>VLOOKUP(Table1[[#This Row],[CountyID]],[1]!Table1[#All],3,FALSE)</f>
        <v>37</v>
      </c>
      <c r="D287">
        <v>37</v>
      </c>
      <c r="E287">
        <f>Table1[[#This Row],[Number of Counties]]-Table1[[#This Row],[Number of precincts Reporting]]</f>
        <v>0</v>
      </c>
      <c r="F287" t="s">
        <v>0</v>
      </c>
      <c r="G287" t="s">
        <v>1</v>
      </c>
      <c r="H287">
        <v>101</v>
      </c>
      <c r="I287">
        <v>601</v>
      </c>
      <c r="J287" t="s">
        <v>12</v>
      </c>
      <c r="K287" t="s">
        <v>13</v>
      </c>
      <c r="L287">
        <v>37</v>
      </c>
      <c r="M287">
        <v>4</v>
      </c>
      <c r="N287">
        <v>0.03</v>
      </c>
      <c r="O287">
        <v>13617</v>
      </c>
    </row>
    <row r="288" spans="1:15" x14ac:dyDescent="0.2">
      <c r="A288">
        <v>29</v>
      </c>
      <c r="B288" t="str">
        <f>VLOOKUP(Table1[[#This Row],[CountyID]],[1]!Table1[#All],2,FALSE)</f>
        <v>Hubbard</v>
      </c>
      <c r="C288">
        <f>VLOOKUP(Table1[[#This Row],[CountyID]],[1]!Table1[#All],3,FALSE)</f>
        <v>37</v>
      </c>
      <c r="D288">
        <v>37</v>
      </c>
      <c r="E288">
        <f>Table1[[#This Row],[Number of Counties]]-Table1[[#This Row],[Number of precincts Reporting]]</f>
        <v>0</v>
      </c>
      <c r="F288" t="s">
        <v>0</v>
      </c>
      <c r="G288" t="s">
        <v>1</v>
      </c>
      <c r="H288">
        <v>101</v>
      </c>
      <c r="I288">
        <v>701</v>
      </c>
      <c r="J288" t="s">
        <v>14</v>
      </c>
      <c r="K288" t="s">
        <v>15</v>
      </c>
      <c r="L288">
        <v>37</v>
      </c>
      <c r="M288">
        <v>1</v>
      </c>
      <c r="N288">
        <v>0.01</v>
      </c>
      <c r="O288">
        <v>13617</v>
      </c>
    </row>
    <row r="289" spans="1:15" x14ac:dyDescent="0.2">
      <c r="A289">
        <v>29</v>
      </c>
      <c r="B289" t="str">
        <f>VLOOKUP(Table1[[#This Row],[CountyID]],[1]!Table1[#All],2,FALSE)</f>
        <v>Hubbard</v>
      </c>
      <c r="C289">
        <f>VLOOKUP(Table1[[#This Row],[CountyID]],[1]!Table1[#All],3,FALSE)</f>
        <v>37</v>
      </c>
      <c r="D289">
        <v>37</v>
      </c>
      <c r="E289">
        <f>Table1[[#This Row],[Number of Counties]]-Table1[[#This Row],[Number of precincts Reporting]]</f>
        <v>0</v>
      </c>
      <c r="F289" t="s">
        <v>0</v>
      </c>
      <c r="G289" t="s">
        <v>1</v>
      </c>
      <c r="H289">
        <v>101</v>
      </c>
      <c r="I289">
        <v>801</v>
      </c>
      <c r="J289" t="s">
        <v>16</v>
      </c>
      <c r="K289" t="s">
        <v>17</v>
      </c>
      <c r="L289">
        <v>37</v>
      </c>
      <c r="M289">
        <v>5</v>
      </c>
      <c r="N289">
        <v>0.04</v>
      </c>
      <c r="O289">
        <v>13617</v>
      </c>
    </row>
    <row r="290" spans="1:15" x14ac:dyDescent="0.2">
      <c r="A290">
        <v>29</v>
      </c>
      <c r="B290" t="str">
        <f>VLOOKUP(Table1[[#This Row],[CountyID]],[1]!Table1[#All],2,FALSE)</f>
        <v>Hubbard</v>
      </c>
      <c r="C290">
        <f>VLOOKUP(Table1[[#This Row],[CountyID]],[1]!Table1[#All],3,FALSE)</f>
        <v>37</v>
      </c>
      <c r="D290">
        <v>37</v>
      </c>
      <c r="E290">
        <f>Table1[[#This Row],[Number of Counties]]-Table1[[#This Row],[Number of precincts Reporting]]</f>
        <v>0</v>
      </c>
      <c r="F290" t="s">
        <v>0</v>
      </c>
      <c r="G290" t="s">
        <v>1</v>
      </c>
      <c r="H290">
        <v>101</v>
      </c>
      <c r="I290">
        <v>901</v>
      </c>
      <c r="J290" t="s">
        <v>18</v>
      </c>
      <c r="K290" t="s">
        <v>19</v>
      </c>
      <c r="L290">
        <v>37</v>
      </c>
      <c r="M290">
        <v>14</v>
      </c>
      <c r="N290">
        <v>0.1</v>
      </c>
      <c r="O290">
        <v>13617</v>
      </c>
    </row>
    <row r="291" spans="1:15" x14ac:dyDescent="0.2">
      <c r="A291">
        <v>29</v>
      </c>
      <c r="B291" t="str">
        <f>VLOOKUP(Table1[[#This Row],[CountyID]],[1]!Table1[#All],2,FALSE)</f>
        <v>Hubbard</v>
      </c>
      <c r="C291">
        <f>VLOOKUP(Table1[[#This Row],[CountyID]],[1]!Table1[#All],3,FALSE)</f>
        <v>37</v>
      </c>
      <c r="D291">
        <v>37</v>
      </c>
      <c r="E291">
        <f>Table1[[#This Row],[Number of Counties]]-Table1[[#This Row],[Number of precincts Reporting]]</f>
        <v>0</v>
      </c>
      <c r="F291" t="s">
        <v>0</v>
      </c>
      <c r="G291" t="s">
        <v>1</v>
      </c>
      <c r="H291">
        <v>101</v>
      </c>
      <c r="I291">
        <v>9901</v>
      </c>
      <c r="J291" t="s">
        <v>20</v>
      </c>
      <c r="K291" t="s">
        <v>21</v>
      </c>
      <c r="L291">
        <v>37</v>
      </c>
      <c r="M291">
        <v>47</v>
      </c>
      <c r="N291">
        <v>0.35</v>
      </c>
      <c r="O291">
        <v>13617</v>
      </c>
    </row>
    <row r="292" spans="1:15" x14ac:dyDescent="0.2">
      <c r="A292">
        <v>30</v>
      </c>
      <c r="B292" t="str">
        <f>VLOOKUP(Table1[[#This Row],[CountyID]],[1]!Table1[#All],2,FALSE)</f>
        <v>Isanti</v>
      </c>
      <c r="C292">
        <f>VLOOKUP(Table1[[#This Row],[CountyID]],[1]!Table1[#All],3,FALSE)</f>
        <v>19</v>
      </c>
      <c r="D292">
        <v>19</v>
      </c>
      <c r="E292">
        <f>Table1[[#This Row],[Number of Counties]]-Table1[[#This Row],[Number of precincts Reporting]]</f>
        <v>0</v>
      </c>
      <c r="F292" t="s">
        <v>0</v>
      </c>
      <c r="G292" t="s">
        <v>1</v>
      </c>
      <c r="H292">
        <v>101</v>
      </c>
      <c r="I292">
        <v>101</v>
      </c>
      <c r="J292" t="s">
        <v>2</v>
      </c>
      <c r="K292" t="s">
        <v>3</v>
      </c>
      <c r="L292">
        <v>19</v>
      </c>
      <c r="M292">
        <v>18027</v>
      </c>
      <c r="N292">
        <v>69.55</v>
      </c>
      <c r="O292">
        <v>25918</v>
      </c>
    </row>
    <row r="293" spans="1:15" x14ac:dyDescent="0.2">
      <c r="A293">
        <v>30</v>
      </c>
      <c r="B293" t="str">
        <f>VLOOKUP(Table1[[#This Row],[CountyID]],[1]!Table1[#All],2,FALSE)</f>
        <v>Isanti</v>
      </c>
      <c r="C293">
        <f>VLOOKUP(Table1[[#This Row],[CountyID]],[1]!Table1[#All],3,FALSE)</f>
        <v>19</v>
      </c>
      <c r="D293">
        <v>19</v>
      </c>
      <c r="E293">
        <f>Table1[[#This Row],[Number of Counties]]-Table1[[#This Row],[Number of precincts Reporting]]</f>
        <v>0</v>
      </c>
      <c r="F293" t="s">
        <v>0</v>
      </c>
      <c r="G293" t="s">
        <v>1</v>
      </c>
      <c r="H293">
        <v>101</v>
      </c>
      <c r="I293">
        <v>201</v>
      </c>
      <c r="J293" t="s">
        <v>4</v>
      </c>
      <c r="K293" t="s">
        <v>5</v>
      </c>
      <c r="L293">
        <v>19</v>
      </c>
      <c r="M293">
        <v>7384</v>
      </c>
      <c r="N293">
        <v>28.49</v>
      </c>
      <c r="O293">
        <v>25918</v>
      </c>
    </row>
    <row r="294" spans="1:15" x14ac:dyDescent="0.2">
      <c r="A294">
        <v>30</v>
      </c>
      <c r="B294" t="str">
        <f>VLOOKUP(Table1[[#This Row],[CountyID]],[1]!Table1[#All],2,FALSE)</f>
        <v>Isanti</v>
      </c>
      <c r="C294">
        <f>VLOOKUP(Table1[[#This Row],[CountyID]],[1]!Table1[#All],3,FALSE)</f>
        <v>19</v>
      </c>
      <c r="D294">
        <v>19</v>
      </c>
      <c r="E294">
        <f>Table1[[#This Row],[Number of Counties]]-Table1[[#This Row],[Number of precincts Reporting]]</f>
        <v>0</v>
      </c>
      <c r="F294" t="s">
        <v>0</v>
      </c>
      <c r="G294" t="s">
        <v>1</v>
      </c>
      <c r="H294">
        <v>101</v>
      </c>
      <c r="I294">
        <v>301</v>
      </c>
      <c r="J294" t="s">
        <v>6</v>
      </c>
      <c r="K294" t="s">
        <v>7</v>
      </c>
      <c r="L294">
        <v>19</v>
      </c>
      <c r="M294">
        <v>108</v>
      </c>
      <c r="N294">
        <v>0.42</v>
      </c>
      <c r="O294">
        <v>25918</v>
      </c>
    </row>
    <row r="295" spans="1:15" x14ac:dyDescent="0.2">
      <c r="A295">
        <v>30</v>
      </c>
      <c r="B295" t="str">
        <f>VLOOKUP(Table1[[#This Row],[CountyID]],[1]!Table1[#All],2,FALSE)</f>
        <v>Isanti</v>
      </c>
      <c r="C295">
        <f>VLOOKUP(Table1[[#This Row],[CountyID]],[1]!Table1[#All],3,FALSE)</f>
        <v>19</v>
      </c>
      <c r="D295">
        <v>19</v>
      </c>
      <c r="E295">
        <f>Table1[[#This Row],[Number of Counties]]-Table1[[#This Row],[Number of precincts Reporting]]</f>
        <v>0</v>
      </c>
      <c r="F295" t="s">
        <v>0</v>
      </c>
      <c r="G295" t="s">
        <v>1</v>
      </c>
      <c r="H295">
        <v>101</v>
      </c>
      <c r="I295">
        <v>401</v>
      </c>
      <c r="J295" t="s">
        <v>8</v>
      </c>
      <c r="K295" t="s">
        <v>9</v>
      </c>
      <c r="L295">
        <v>19</v>
      </c>
      <c r="M295">
        <v>211</v>
      </c>
      <c r="N295">
        <v>0.81</v>
      </c>
      <c r="O295">
        <v>25918</v>
      </c>
    </row>
    <row r="296" spans="1:15" x14ac:dyDescent="0.2">
      <c r="A296">
        <v>30</v>
      </c>
      <c r="B296" t="str">
        <f>VLOOKUP(Table1[[#This Row],[CountyID]],[1]!Table1[#All],2,FALSE)</f>
        <v>Isanti</v>
      </c>
      <c r="C296">
        <f>VLOOKUP(Table1[[#This Row],[CountyID]],[1]!Table1[#All],3,FALSE)</f>
        <v>19</v>
      </c>
      <c r="D296">
        <v>19</v>
      </c>
      <c r="E296">
        <f>Table1[[#This Row],[Number of Counties]]-Table1[[#This Row],[Number of precincts Reporting]]</f>
        <v>0</v>
      </c>
      <c r="F296" t="s">
        <v>0</v>
      </c>
      <c r="G296" t="s">
        <v>1</v>
      </c>
      <c r="H296">
        <v>101</v>
      </c>
      <c r="I296">
        <v>501</v>
      </c>
      <c r="J296" t="s">
        <v>10</v>
      </c>
      <c r="K296" t="s">
        <v>11</v>
      </c>
      <c r="L296">
        <v>19</v>
      </c>
      <c r="M296">
        <v>56</v>
      </c>
      <c r="N296">
        <v>0.22</v>
      </c>
      <c r="O296">
        <v>25918</v>
      </c>
    </row>
    <row r="297" spans="1:15" x14ac:dyDescent="0.2">
      <c r="A297">
        <v>30</v>
      </c>
      <c r="B297" t="str">
        <f>VLOOKUP(Table1[[#This Row],[CountyID]],[1]!Table1[#All],2,FALSE)</f>
        <v>Isanti</v>
      </c>
      <c r="C297">
        <f>VLOOKUP(Table1[[#This Row],[CountyID]],[1]!Table1[#All],3,FALSE)</f>
        <v>19</v>
      </c>
      <c r="D297">
        <v>19</v>
      </c>
      <c r="E297">
        <f>Table1[[#This Row],[Number of Counties]]-Table1[[#This Row],[Number of precincts Reporting]]</f>
        <v>0</v>
      </c>
      <c r="F297" t="s">
        <v>0</v>
      </c>
      <c r="G297" t="s">
        <v>1</v>
      </c>
      <c r="H297">
        <v>101</v>
      </c>
      <c r="I297">
        <v>601</v>
      </c>
      <c r="J297" t="s">
        <v>12</v>
      </c>
      <c r="K297" t="s">
        <v>13</v>
      </c>
      <c r="L297">
        <v>19</v>
      </c>
      <c r="M297">
        <v>4</v>
      </c>
      <c r="N297">
        <v>0.02</v>
      </c>
      <c r="O297">
        <v>25918</v>
      </c>
    </row>
    <row r="298" spans="1:15" x14ac:dyDescent="0.2">
      <c r="A298">
        <v>30</v>
      </c>
      <c r="B298" t="str">
        <f>VLOOKUP(Table1[[#This Row],[CountyID]],[1]!Table1[#All],2,FALSE)</f>
        <v>Isanti</v>
      </c>
      <c r="C298">
        <f>VLOOKUP(Table1[[#This Row],[CountyID]],[1]!Table1[#All],3,FALSE)</f>
        <v>19</v>
      </c>
      <c r="D298">
        <v>19</v>
      </c>
      <c r="E298">
        <f>Table1[[#This Row],[Number of Counties]]-Table1[[#This Row],[Number of precincts Reporting]]</f>
        <v>0</v>
      </c>
      <c r="F298" t="s">
        <v>0</v>
      </c>
      <c r="G298" t="s">
        <v>1</v>
      </c>
      <c r="H298">
        <v>101</v>
      </c>
      <c r="I298">
        <v>701</v>
      </c>
      <c r="J298" t="s">
        <v>14</v>
      </c>
      <c r="K298" t="s">
        <v>15</v>
      </c>
      <c r="L298">
        <v>19</v>
      </c>
      <c r="M298">
        <v>1</v>
      </c>
      <c r="N298">
        <v>0</v>
      </c>
      <c r="O298">
        <v>25918</v>
      </c>
    </row>
    <row r="299" spans="1:15" x14ac:dyDescent="0.2">
      <c r="A299">
        <v>30</v>
      </c>
      <c r="B299" t="str">
        <f>VLOOKUP(Table1[[#This Row],[CountyID]],[1]!Table1[#All],2,FALSE)</f>
        <v>Isanti</v>
      </c>
      <c r="C299">
        <f>VLOOKUP(Table1[[#This Row],[CountyID]],[1]!Table1[#All],3,FALSE)</f>
        <v>19</v>
      </c>
      <c r="D299">
        <v>19</v>
      </c>
      <c r="E299">
        <f>Table1[[#This Row],[Number of Counties]]-Table1[[#This Row],[Number of precincts Reporting]]</f>
        <v>0</v>
      </c>
      <c r="F299" t="s">
        <v>0</v>
      </c>
      <c r="G299" t="s">
        <v>1</v>
      </c>
      <c r="H299">
        <v>101</v>
      </c>
      <c r="I299">
        <v>801</v>
      </c>
      <c r="J299" t="s">
        <v>16</v>
      </c>
      <c r="K299" t="s">
        <v>17</v>
      </c>
      <c r="L299">
        <v>19</v>
      </c>
      <c r="M299">
        <v>14</v>
      </c>
      <c r="N299">
        <v>0.05</v>
      </c>
      <c r="O299">
        <v>25918</v>
      </c>
    </row>
    <row r="300" spans="1:15" x14ac:dyDescent="0.2">
      <c r="A300">
        <v>30</v>
      </c>
      <c r="B300" t="str">
        <f>VLOOKUP(Table1[[#This Row],[CountyID]],[1]!Table1[#All],2,FALSE)</f>
        <v>Isanti</v>
      </c>
      <c r="C300">
        <f>VLOOKUP(Table1[[#This Row],[CountyID]],[1]!Table1[#All],3,FALSE)</f>
        <v>19</v>
      </c>
      <c r="D300">
        <v>19</v>
      </c>
      <c r="E300">
        <f>Table1[[#This Row],[Number of Counties]]-Table1[[#This Row],[Number of precincts Reporting]]</f>
        <v>0</v>
      </c>
      <c r="F300" t="s">
        <v>0</v>
      </c>
      <c r="G300" t="s">
        <v>1</v>
      </c>
      <c r="H300">
        <v>101</v>
      </c>
      <c r="I300">
        <v>901</v>
      </c>
      <c r="J300" t="s">
        <v>18</v>
      </c>
      <c r="K300" t="s">
        <v>19</v>
      </c>
      <c r="L300">
        <v>19</v>
      </c>
      <c r="M300">
        <v>24</v>
      </c>
      <c r="N300">
        <v>0.09</v>
      </c>
      <c r="O300">
        <v>25918</v>
      </c>
    </row>
    <row r="301" spans="1:15" x14ac:dyDescent="0.2">
      <c r="A301">
        <v>30</v>
      </c>
      <c r="B301" t="str">
        <f>VLOOKUP(Table1[[#This Row],[CountyID]],[1]!Table1[#All],2,FALSE)</f>
        <v>Isanti</v>
      </c>
      <c r="C301">
        <f>VLOOKUP(Table1[[#This Row],[CountyID]],[1]!Table1[#All],3,FALSE)</f>
        <v>19</v>
      </c>
      <c r="D301">
        <v>19</v>
      </c>
      <c r="E301">
        <f>Table1[[#This Row],[Number of Counties]]-Table1[[#This Row],[Number of precincts Reporting]]</f>
        <v>0</v>
      </c>
      <c r="F301" t="s">
        <v>0</v>
      </c>
      <c r="G301" t="s">
        <v>1</v>
      </c>
      <c r="H301">
        <v>101</v>
      </c>
      <c r="I301">
        <v>9901</v>
      </c>
      <c r="J301" t="s">
        <v>20</v>
      </c>
      <c r="K301" t="s">
        <v>21</v>
      </c>
      <c r="L301">
        <v>19</v>
      </c>
      <c r="M301">
        <v>89</v>
      </c>
      <c r="N301">
        <v>0.34</v>
      </c>
      <c r="O301">
        <v>25918</v>
      </c>
    </row>
    <row r="302" spans="1:15" x14ac:dyDescent="0.2">
      <c r="A302">
        <v>31</v>
      </c>
      <c r="B302" t="str">
        <f>VLOOKUP(Table1[[#This Row],[CountyID]],[1]!Table1[#All],2,FALSE)</f>
        <v>Itasca</v>
      </c>
      <c r="C302">
        <f>VLOOKUP(Table1[[#This Row],[CountyID]],[1]!Table1[#All],3,FALSE)</f>
        <v>75</v>
      </c>
      <c r="D302">
        <v>75</v>
      </c>
      <c r="E302">
        <f>Table1[[#This Row],[Number of Counties]]-Table1[[#This Row],[Number of precincts Reporting]]</f>
        <v>0</v>
      </c>
      <c r="F302" t="s">
        <v>0</v>
      </c>
      <c r="G302" t="s">
        <v>1</v>
      </c>
      <c r="H302">
        <v>101</v>
      </c>
      <c r="I302">
        <v>101</v>
      </c>
      <c r="J302" t="s">
        <v>2</v>
      </c>
      <c r="K302" t="s">
        <v>3</v>
      </c>
      <c r="L302">
        <v>75</v>
      </c>
      <c r="M302">
        <v>15863</v>
      </c>
      <c r="N302">
        <v>59.1</v>
      </c>
      <c r="O302">
        <v>26840</v>
      </c>
    </row>
    <row r="303" spans="1:15" x14ac:dyDescent="0.2">
      <c r="A303">
        <v>31</v>
      </c>
      <c r="B303" t="str">
        <f>VLOOKUP(Table1[[#This Row],[CountyID]],[1]!Table1[#All],2,FALSE)</f>
        <v>Itasca</v>
      </c>
      <c r="C303">
        <f>VLOOKUP(Table1[[#This Row],[CountyID]],[1]!Table1[#All],3,FALSE)</f>
        <v>75</v>
      </c>
      <c r="D303">
        <v>75</v>
      </c>
      <c r="E303">
        <f>Table1[[#This Row],[Number of Counties]]-Table1[[#This Row],[Number of precincts Reporting]]</f>
        <v>0</v>
      </c>
      <c r="F303" t="s">
        <v>0</v>
      </c>
      <c r="G303" t="s">
        <v>1</v>
      </c>
      <c r="H303">
        <v>101</v>
      </c>
      <c r="I303">
        <v>201</v>
      </c>
      <c r="J303" t="s">
        <v>4</v>
      </c>
      <c r="K303" t="s">
        <v>5</v>
      </c>
      <c r="L303">
        <v>75</v>
      </c>
      <c r="M303">
        <v>10467</v>
      </c>
      <c r="N303">
        <v>39</v>
      </c>
      <c r="O303">
        <v>26840</v>
      </c>
    </row>
    <row r="304" spans="1:15" x14ac:dyDescent="0.2">
      <c r="A304">
        <v>31</v>
      </c>
      <c r="B304" t="str">
        <f>VLOOKUP(Table1[[#This Row],[CountyID]],[1]!Table1[#All],2,FALSE)</f>
        <v>Itasca</v>
      </c>
      <c r="C304">
        <f>VLOOKUP(Table1[[#This Row],[CountyID]],[1]!Table1[#All],3,FALSE)</f>
        <v>75</v>
      </c>
      <c r="D304">
        <v>75</v>
      </c>
      <c r="E304">
        <f>Table1[[#This Row],[Number of Counties]]-Table1[[#This Row],[Number of precincts Reporting]]</f>
        <v>0</v>
      </c>
      <c r="F304" t="s">
        <v>0</v>
      </c>
      <c r="G304" t="s">
        <v>1</v>
      </c>
      <c r="H304">
        <v>101</v>
      </c>
      <c r="I304">
        <v>301</v>
      </c>
      <c r="J304" t="s">
        <v>6</v>
      </c>
      <c r="K304" t="s">
        <v>7</v>
      </c>
      <c r="L304">
        <v>75</v>
      </c>
      <c r="M304">
        <v>95</v>
      </c>
      <c r="N304">
        <v>0.35</v>
      </c>
      <c r="O304">
        <v>26840</v>
      </c>
    </row>
    <row r="305" spans="1:15" x14ac:dyDescent="0.2">
      <c r="A305">
        <v>31</v>
      </c>
      <c r="B305" t="str">
        <f>VLOOKUP(Table1[[#This Row],[CountyID]],[1]!Table1[#All],2,FALSE)</f>
        <v>Itasca</v>
      </c>
      <c r="C305">
        <f>VLOOKUP(Table1[[#This Row],[CountyID]],[1]!Table1[#All],3,FALSE)</f>
        <v>75</v>
      </c>
      <c r="D305">
        <v>75</v>
      </c>
      <c r="E305">
        <f>Table1[[#This Row],[Number of Counties]]-Table1[[#This Row],[Number of precincts Reporting]]</f>
        <v>0</v>
      </c>
      <c r="F305" t="s">
        <v>0</v>
      </c>
      <c r="G305" t="s">
        <v>1</v>
      </c>
      <c r="H305">
        <v>101</v>
      </c>
      <c r="I305">
        <v>401</v>
      </c>
      <c r="J305" t="s">
        <v>8</v>
      </c>
      <c r="K305" t="s">
        <v>9</v>
      </c>
      <c r="L305">
        <v>75</v>
      </c>
      <c r="M305">
        <v>254</v>
      </c>
      <c r="N305">
        <v>0.95</v>
      </c>
      <c r="O305">
        <v>26840</v>
      </c>
    </row>
    <row r="306" spans="1:15" x14ac:dyDescent="0.2">
      <c r="A306">
        <v>31</v>
      </c>
      <c r="B306" t="str">
        <f>VLOOKUP(Table1[[#This Row],[CountyID]],[1]!Table1[#All],2,FALSE)</f>
        <v>Itasca</v>
      </c>
      <c r="C306">
        <f>VLOOKUP(Table1[[#This Row],[CountyID]],[1]!Table1[#All],3,FALSE)</f>
        <v>75</v>
      </c>
      <c r="D306">
        <v>75</v>
      </c>
      <c r="E306">
        <f>Table1[[#This Row],[Number of Counties]]-Table1[[#This Row],[Number of precincts Reporting]]</f>
        <v>0</v>
      </c>
      <c r="F306" t="s">
        <v>0</v>
      </c>
      <c r="G306" t="s">
        <v>1</v>
      </c>
      <c r="H306">
        <v>101</v>
      </c>
      <c r="I306">
        <v>501</v>
      </c>
      <c r="J306" t="s">
        <v>10</v>
      </c>
      <c r="K306" t="s">
        <v>11</v>
      </c>
      <c r="L306">
        <v>75</v>
      </c>
      <c r="M306">
        <v>51</v>
      </c>
      <c r="N306">
        <v>0.19</v>
      </c>
      <c r="O306">
        <v>26840</v>
      </c>
    </row>
    <row r="307" spans="1:15" x14ac:dyDescent="0.2">
      <c r="A307">
        <v>31</v>
      </c>
      <c r="B307" t="str">
        <f>VLOOKUP(Table1[[#This Row],[CountyID]],[1]!Table1[#All],2,FALSE)</f>
        <v>Itasca</v>
      </c>
      <c r="C307">
        <f>VLOOKUP(Table1[[#This Row],[CountyID]],[1]!Table1[#All],3,FALSE)</f>
        <v>75</v>
      </c>
      <c r="D307">
        <v>75</v>
      </c>
      <c r="E307">
        <f>Table1[[#This Row],[Number of Counties]]-Table1[[#This Row],[Number of precincts Reporting]]</f>
        <v>0</v>
      </c>
      <c r="F307" t="s">
        <v>0</v>
      </c>
      <c r="G307" t="s">
        <v>1</v>
      </c>
      <c r="H307">
        <v>101</v>
      </c>
      <c r="I307">
        <v>601</v>
      </c>
      <c r="J307" t="s">
        <v>12</v>
      </c>
      <c r="K307" t="s">
        <v>13</v>
      </c>
      <c r="L307">
        <v>75</v>
      </c>
      <c r="M307">
        <v>5</v>
      </c>
      <c r="N307">
        <v>0.02</v>
      </c>
      <c r="O307">
        <v>26840</v>
      </c>
    </row>
    <row r="308" spans="1:15" x14ac:dyDescent="0.2">
      <c r="A308">
        <v>31</v>
      </c>
      <c r="B308" t="str">
        <f>VLOOKUP(Table1[[#This Row],[CountyID]],[1]!Table1[#All],2,FALSE)</f>
        <v>Itasca</v>
      </c>
      <c r="C308">
        <f>VLOOKUP(Table1[[#This Row],[CountyID]],[1]!Table1[#All],3,FALSE)</f>
        <v>75</v>
      </c>
      <c r="D308">
        <v>75</v>
      </c>
      <c r="E308">
        <f>Table1[[#This Row],[Number of Counties]]-Table1[[#This Row],[Number of precincts Reporting]]</f>
        <v>0</v>
      </c>
      <c r="F308" t="s">
        <v>0</v>
      </c>
      <c r="G308" t="s">
        <v>1</v>
      </c>
      <c r="H308">
        <v>101</v>
      </c>
      <c r="I308">
        <v>701</v>
      </c>
      <c r="J308" t="s">
        <v>14</v>
      </c>
      <c r="K308" t="s">
        <v>15</v>
      </c>
      <c r="L308">
        <v>75</v>
      </c>
      <c r="M308">
        <v>0</v>
      </c>
      <c r="N308">
        <v>0</v>
      </c>
      <c r="O308">
        <v>26840</v>
      </c>
    </row>
    <row r="309" spans="1:15" x14ac:dyDescent="0.2">
      <c r="A309">
        <v>31</v>
      </c>
      <c r="B309" t="str">
        <f>VLOOKUP(Table1[[#This Row],[CountyID]],[1]!Table1[#All],2,FALSE)</f>
        <v>Itasca</v>
      </c>
      <c r="C309">
        <f>VLOOKUP(Table1[[#This Row],[CountyID]],[1]!Table1[#All],3,FALSE)</f>
        <v>75</v>
      </c>
      <c r="D309">
        <v>75</v>
      </c>
      <c r="E309">
        <f>Table1[[#This Row],[Number of Counties]]-Table1[[#This Row],[Number of precincts Reporting]]</f>
        <v>0</v>
      </c>
      <c r="F309" t="s">
        <v>0</v>
      </c>
      <c r="G309" t="s">
        <v>1</v>
      </c>
      <c r="H309">
        <v>101</v>
      </c>
      <c r="I309">
        <v>801</v>
      </c>
      <c r="J309" t="s">
        <v>16</v>
      </c>
      <c r="K309" t="s">
        <v>17</v>
      </c>
      <c r="L309">
        <v>75</v>
      </c>
      <c r="M309">
        <v>9</v>
      </c>
      <c r="N309">
        <v>0.03</v>
      </c>
      <c r="O309">
        <v>26840</v>
      </c>
    </row>
    <row r="310" spans="1:15" x14ac:dyDescent="0.2">
      <c r="A310">
        <v>31</v>
      </c>
      <c r="B310" t="str">
        <f>VLOOKUP(Table1[[#This Row],[CountyID]],[1]!Table1[#All],2,FALSE)</f>
        <v>Itasca</v>
      </c>
      <c r="C310">
        <f>VLOOKUP(Table1[[#This Row],[CountyID]],[1]!Table1[#All],3,FALSE)</f>
        <v>75</v>
      </c>
      <c r="D310">
        <v>75</v>
      </c>
      <c r="E310">
        <f>Table1[[#This Row],[Number of Counties]]-Table1[[#This Row],[Number of precincts Reporting]]</f>
        <v>0</v>
      </c>
      <c r="F310" t="s">
        <v>0</v>
      </c>
      <c r="G310" t="s">
        <v>1</v>
      </c>
      <c r="H310">
        <v>101</v>
      </c>
      <c r="I310">
        <v>901</v>
      </c>
      <c r="J310" t="s">
        <v>18</v>
      </c>
      <c r="K310" t="s">
        <v>19</v>
      </c>
      <c r="L310">
        <v>75</v>
      </c>
      <c r="M310">
        <v>16</v>
      </c>
      <c r="N310">
        <v>0.06</v>
      </c>
      <c r="O310">
        <v>26840</v>
      </c>
    </row>
    <row r="311" spans="1:15" x14ac:dyDescent="0.2">
      <c r="A311">
        <v>31</v>
      </c>
      <c r="B311" t="str">
        <f>VLOOKUP(Table1[[#This Row],[CountyID]],[1]!Table1[#All],2,FALSE)</f>
        <v>Itasca</v>
      </c>
      <c r="C311">
        <f>VLOOKUP(Table1[[#This Row],[CountyID]],[1]!Table1[#All],3,FALSE)</f>
        <v>75</v>
      </c>
      <c r="D311">
        <v>75</v>
      </c>
      <c r="E311">
        <f>Table1[[#This Row],[Number of Counties]]-Table1[[#This Row],[Number of precincts Reporting]]</f>
        <v>0</v>
      </c>
      <c r="F311" t="s">
        <v>0</v>
      </c>
      <c r="G311" t="s">
        <v>1</v>
      </c>
      <c r="H311">
        <v>101</v>
      </c>
      <c r="I311">
        <v>9901</v>
      </c>
      <c r="J311" t="s">
        <v>20</v>
      </c>
      <c r="K311" t="s">
        <v>21</v>
      </c>
      <c r="L311">
        <v>75</v>
      </c>
      <c r="M311">
        <v>80</v>
      </c>
      <c r="N311">
        <v>0.3</v>
      </c>
      <c r="O311">
        <v>26840</v>
      </c>
    </row>
    <row r="312" spans="1:15" x14ac:dyDescent="0.2">
      <c r="A312">
        <v>32</v>
      </c>
      <c r="B312" t="str">
        <f>VLOOKUP(Table1[[#This Row],[CountyID]],[1]!Table1[#All],2,FALSE)</f>
        <v>Jackson</v>
      </c>
      <c r="C312">
        <f>VLOOKUP(Table1[[#This Row],[CountyID]],[1]!Table1[#All],3,FALSE)</f>
        <v>28</v>
      </c>
      <c r="D312">
        <v>28</v>
      </c>
      <c r="E312">
        <f>Table1[[#This Row],[Number of Counties]]-Table1[[#This Row],[Number of precincts Reporting]]</f>
        <v>0</v>
      </c>
      <c r="F312" t="s">
        <v>0</v>
      </c>
      <c r="G312" t="s">
        <v>1</v>
      </c>
      <c r="H312">
        <v>101</v>
      </c>
      <c r="I312">
        <v>101</v>
      </c>
      <c r="J312" t="s">
        <v>2</v>
      </c>
      <c r="K312" t="s">
        <v>3</v>
      </c>
      <c r="L312">
        <v>28</v>
      </c>
      <c r="M312">
        <v>3949</v>
      </c>
      <c r="N312">
        <v>69.97</v>
      </c>
      <c r="O312">
        <v>5644</v>
      </c>
    </row>
    <row r="313" spans="1:15" x14ac:dyDescent="0.2">
      <c r="A313">
        <v>32</v>
      </c>
      <c r="B313" t="str">
        <f>VLOOKUP(Table1[[#This Row],[CountyID]],[1]!Table1[#All],2,FALSE)</f>
        <v>Jackson</v>
      </c>
      <c r="C313">
        <f>VLOOKUP(Table1[[#This Row],[CountyID]],[1]!Table1[#All],3,FALSE)</f>
        <v>28</v>
      </c>
      <c r="D313">
        <v>28</v>
      </c>
      <c r="E313">
        <f>Table1[[#This Row],[Number of Counties]]-Table1[[#This Row],[Number of precincts Reporting]]</f>
        <v>0</v>
      </c>
      <c r="F313" t="s">
        <v>0</v>
      </c>
      <c r="G313" t="s">
        <v>1</v>
      </c>
      <c r="H313">
        <v>101</v>
      </c>
      <c r="I313">
        <v>201</v>
      </c>
      <c r="J313" t="s">
        <v>4</v>
      </c>
      <c r="K313" t="s">
        <v>5</v>
      </c>
      <c r="L313">
        <v>28</v>
      </c>
      <c r="M313">
        <v>1581</v>
      </c>
      <c r="N313">
        <v>28.01</v>
      </c>
      <c r="O313">
        <v>5644</v>
      </c>
    </row>
    <row r="314" spans="1:15" x14ac:dyDescent="0.2">
      <c r="A314">
        <v>32</v>
      </c>
      <c r="B314" t="str">
        <f>VLOOKUP(Table1[[#This Row],[CountyID]],[1]!Table1[#All],2,FALSE)</f>
        <v>Jackson</v>
      </c>
      <c r="C314">
        <f>VLOOKUP(Table1[[#This Row],[CountyID]],[1]!Table1[#All],3,FALSE)</f>
        <v>28</v>
      </c>
      <c r="D314">
        <v>28</v>
      </c>
      <c r="E314">
        <f>Table1[[#This Row],[Number of Counties]]-Table1[[#This Row],[Number of precincts Reporting]]</f>
        <v>0</v>
      </c>
      <c r="F314" t="s">
        <v>0</v>
      </c>
      <c r="G314" t="s">
        <v>1</v>
      </c>
      <c r="H314">
        <v>101</v>
      </c>
      <c r="I314">
        <v>301</v>
      </c>
      <c r="J314" t="s">
        <v>6</v>
      </c>
      <c r="K314" t="s">
        <v>7</v>
      </c>
      <c r="L314">
        <v>28</v>
      </c>
      <c r="M314">
        <v>12</v>
      </c>
      <c r="N314">
        <v>0.21</v>
      </c>
      <c r="O314">
        <v>5644</v>
      </c>
    </row>
    <row r="315" spans="1:15" x14ac:dyDescent="0.2">
      <c r="A315">
        <v>32</v>
      </c>
      <c r="B315" t="str">
        <f>VLOOKUP(Table1[[#This Row],[CountyID]],[1]!Table1[#All],2,FALSE)</f>
        <v>Jackson</v>
      </c>
      <c r="C315">
        <f>VLOOKUP(Table1[[#This Row],[CountyID]],[1]!Table1[#All],3,FALSE)</f>
        <v>28</v>
      </c>
      <c r="D315">
        <v>28</v>
      </c>
      <c r="E315">
        <f>Table1[[#This Row],[Number of Counties]]-Table1[[#This Row],[Number of precincts Reporting]]</f>
        <v>0</v>
      </c>
      <c r="F315" t="s">
        <v>0</v>
      </c>
      <c r="G315" t="s">
        <v>1</v>
      </c>
      <c r="H315">
        <v>101</v>
      </c>
      <c r="I315">
        <v>401</v>
      </c>
      <c r="J315" t="s">
        <v>8</v>
      </c>
      <c r="K315" t="s">
        <v>9</v>
      </c>
      <c r="L315">
        <v>28</v>
      </c>
      <c r="M315">
        <v>65</v>
      </c>
      <c r="N315">
        <v>1.1499999999999999</v>
      </c>
      <c r="O315">
        <v>5644</v>
      </c>
    </row>
    <row r="316" spans="1:15" x14ac:dyDescent="0.2">
      <c r="A316">
        <v>32</v>
      </c>
      <c r="B316" t="str">
        <f>VLOOKUP(Table1[[#This Row],[CountyID]],[1]!Table1[#All],2,FALSE)</f>
        <v>Jackson</v>
      </c>
      <c r="C316">
        <f>VLOOKUP(Table1[[#This Row],[CountyID]],[1]!Table1[#All],3,FALSE)</f>
        <v>28</v>
      </c>
      <c r="D316">
        <v>28</v>
      </c>
      <c r="E316">
        <f>Table1[[#This Row],[Number of Counties]]-Table1[[#This Row],[Number of precincts Reporting]]</f>
        <v>0</v>
      </c>
      <c r="F316" t="s">
        <v>0</v>
      </c>
      <c r="G316" t="s">
        <v>1</v>
      </c>
      <c r="H316">
        <v>101</v>
      </c>
      <c r="I316">
        <v>501</v>
      </c>
      <c r="J316" t="s">
        <v>10</v>
      </c>
      <c r="K316" t="s">
        <v>11</v>
      </c>
      <c r="L316">
        <v>28</v>
      </c>
      <c r="M316">
        <v>4</v>
      </c>
      <c r="N316">
        <v>7.0000000000000007E-2</v>
      </c>
      <c r="O316">
        <v>5644</v>
      </c>
    </row>
    <row r="317" spans="1:15" x14ac:dyDescent="0.2">
      <c r="A317">
        <v>32</v>
      </c>
      <c r="B317" t="str">
        <f>VLOOKUP(Table1[[#This Row],[CountyID]],[1]!Table1[#All],2,FALSE)</f>
        <v>Jackson</v>
      </c>
      <c r="C317">
        <f>VLOOKUP(Table1[[#This Row],[CountyID]],[1]!Table1[#All],3,FALSE)</f>
        <v>28</v>
      </c>
      <c r="D317">
        <v>28</v>
      </c>
      <c r="E317">
        <f>Table1[[#This Row],[Number of Counties]]-Table1[[#This Row],[Number of precincts Reporting]]</f>
        <v>0</v>
      </c>
      <c r="F317" t="s">
        <v>0</v>
      </c>
      <c r="G317" t="s">
        <v>1</v>
      </c>
      <c r="H317">
        <v>101</v>
      </c>
      <c r="I317">
        <v>601</v>
      </c>
      <c r="J317" t="s">
        <v>12</v>
      </c>
      <c r="K317" t="s">
        <v>13</v>
      </c>
      <c r="L317">
        <v>28</v>
      </c>
      <c r="M317">
        <v>1</v>
      </c>
      <c r="N317">
        <v>0.02</v>
      </c>
      <c r="O317">
        <v>5644</v>
      </c>
    </row>
    <row r="318" spans="1:15" x14ac:dyDescent="0.2">
      <c r="A318">
        <v>32</v>
      </c>
      <c r="B318" t="str">
        <f>VLOOKUP(Table1[[#This Row],[CountyID]],[1]!Table1[#All],2,FALSE)</f>
        <v>Jackson</v>
      </c>
      <c r="C318">
        <f>VLOOKUP(Table1[[#This Row],[CountyID]],[1]!Table1[#All],3,FALSE)</f>
        <v>28</v>
      </c>
      <c r="D318">
        <v>28</v>
      </c>
      <c r="E318">
        <f>Table1[[#This Row],[Number of Counties]]-Table1[[#This Row],[Number of precincts Reporting]]</f>
        <v>0</v>
      </c>
      <c r="F318" t="s">
        <v>0</v>
      </c>
      <c r="G318" t="s">
        <v>1</v>
      </c>
      <c r="H318">
        <v>101</v>
      </c>
      <c r="I318">
        <v>701</v>
      </c>
      <c r="J318" t="s">
        <v>14</v>
      </c>
      <c r="K318" t="s">
        <v>15</v>
      </c>
      <c r="L318">
        <v>28</v>
      </c>
      <c r="M318">
        <v>1</v>
      </c>
      <c r="N318">
        <v>0.02</v>
      </c>
      <c r="O318">
        <v>5644</v>
      </c>
    </row>
    <row r="319" spans="1:15" x14ac:dyDescent="0.2">
      <c r="A319">
        <v>32</v>
      </c>
      <c r="B319" t="str">
        <f>VLOOKUP(Table1[[#This Row],[CountyID]],[1]!Table1[#All],2,FALSE)</f>
        <v>Jackson</v>
      </c>
      <c r="C319">
        <f>VLOOKUP(Table1[[#This Row],[CountyID]],[1]!Table1[#All],3,FALSE)</f>
        <v>28</v>
      </c>
      <c r="D319">
        <v>28</v>
      </c>
      <c r="E319">
        <f>Table1[[#This Row],[Number of Counties]]-Table1[[#This Row],[Number of precincts Reporting]]</f>
        <v>0</v>
      </c>
      <c r="F319" t="s">
        <v>0</v>
      </c>
      <c r="G319" t="s">
        <v>1</v>
      </c>
      <c r="H319">
        <v>101</v>
      </c>
      <c r="I319">
        <v>801</v>
      </c>
      <c r="J319" t="s">
        <v>16</v>
      </c>
      <c r="K319" t="s">
        <v>17</v>
      </c>
      <c r="L319">
        <v>28</v>
      </c>
      <c r="M319">
        <v>1</v>
      </c>
      <c r="N319">
        <v>0.02</v>
      </c>
      <c r="O319">
        <v>5644</v>
      </c>
    </row>
    <row r="320" spans="1:15" x14ac:dyDescent="0.2">
      <c r="A320">
        <v>32</v>
      </c>
      <c r="B320" t="str">
        <f>VLOOKUP(Table1[[#This Row],[CountyID]],[1]!Table1[#All],2,FALSE)</f>
        <v>Jackson</v>
      </c>
      <c r="C320">
        <f>VLOOKUP(Table1[[#This Row],[CountyID]],[1]!Table1[#All],3,FALSE)</f>
        <v>28</v>
      </c>
      <c r="D320">
        <v>28</v>
      </c>
      <c r="E320">
        <f>Table1[[#This Row],[Number of Counties]]-Table1[[#This Row],[Number of precincts Reporting]]</f>
        <v>0</v>
      </c>
      <c r="F320" t="s">
        <v>0</v>
      </c>
      <c r="G320" t="s">
        <v>1</v>
      </c>
      <c r="H320">
        <v>101</v>
      </c>
      <c r="I320">
        <v>901</v>
      </c>
      <c r="J320" t="s">
        <v>18</v>
      </c>
      <c r="K320" t="s">
        <v>19</v>
      </c>
      <c r="L320">
        <v>28</v>
      </c>
      <c r="M320">
        <v>11</v>
      </c>
      <c r="N320">
        <v>0.19</v>
      </c>
      <c r="O320">
        <v>5644</v>
      </c>
    </row>
    <row r="321" spans="1:15" x14ac:dyDescent="0.2">
      <c r="A321">
        <v>32</v>
      </c>
      <c r="B321" t="str">
        <f>VLOOKUP(Table1[[#This Row],[CountyID]],[1]!Table1[#All],2,FALSE)</f>
        <v>Jackson</v>
      </c>
      <c r="C321">
        <f>VLOOKUP(Table1[[#This Row],[CountyID]],[1]!Table1[#All],3,FALSE)</f>
        <v>28</v>
      </c>
      <c r="D321">
        <v>28</v>
      </c>
      <c r="E321">
        <f>Table1[[#This Row],[Number of Counties]]-Table1[[#This Row],[Number of precincts Reporting]]</f>
        <v>0</v>
      </c>
      <c r="F321" t="s">
        <v>0</v>
      </c>
      <c r="G321" t="s">
        <v>1</v>
      </c>
      <c r="H321">
        <v>101</v>
      </c>
      <c r="I321">
        <v>9901</v>
      </c>
      <c r="J321" t="s">
        <v>20</v>
      </c>
      <c r="K321" t="s">
        <v>21</v>
      </c>
      <c r="L321">
        <v>28</v>
      </c>
      <c r="M321">
        <v>19</v>
      </c>
      <c r="N321">
        <v>0.34</v>
      </c>
      <c r="O321">
        <v>5644</v>
      </c>
    </row>
    <row r="322" spans="1:15" x14ac:dyDescent="0.2">
      <c r="A322">
        <v>33</v>
      </c>
      <c r="B322" t="str">
        <f>VLOOKUP(Table1[[#This Row],[CountyID]],[1]!Table1[#All],2,FALSE)</f>
        <v>Kanabec</v>
      </c>
      <c r="C322">
        <f>VLOOKUP(Table1[[#This Row],[CountyID]],[1]!Table1[#All],3,FALSE)</f>
        <v>20</v>
      </c>
      <c r="D322">
        <v>20</v>
      </c>
      <c r="E322">
        <f>Table1[[#This Row],[Number of Counties]]-Table1[[#This Row],[Number of precincts Reporting]]</f>
        <v>0</v>
      </c>
      <c r="F322" t="s">
        <v>0</v>
      </c>
      <c r="G322" t="s">
        <v>1</v>
      </c>
      <c r="H322">
        <v>101</v>
      </c>
      <c r="I322">
        <v>101</v>
      </c>
      <c r="J322" t="s">
        <v>2</v>
      </c>
      <c r="K322" t="s">
        <v>3</v>
      </c>
      <c r="L322">
        <v>20</v>
      </c>
      <c r="M322">
        <v>6818</v>
      </c>
      <c r="N322">
        <v>70.27</v>
      </c>
      <c r="O322">
        <v>9703</v>
      </c>
    </row>
    <row r="323" spans="1:15" x14ac:dyDescent="0.2">
      <c r="A323">
        <v>33</v>
      </c>
      <c r="B323" t="str">
        <f>VLOOKUP(Table1[[#This Row],[CountyID]],[1]!Table1[#All],2,FALSE)</f>
        <v>Kanabec</v>
      </c>
      <c r="C323">
        <f>VLOOKUP(Table1[[#This Row],[CountyID]],[1]!Table1[#All],3,FALSE)</f>
        <v>20</v>
      </c>
      <c r="D323">
        <v>20</v>
      </c>
      <c r="E323">
        <f>Table1[[#This Row],[Number of Counties]]-Table1[[#This Row],[Number of precincts Reporting]]</f>
        <v>0</v>
      </c>
      <c r="F323" t="s">
        <v>0</v>
      </c>
      <c r="G323" t="s">
        <v>1</v>
      </c>
      <c r="H323">
        <v>101</v>
      </c>
      <c r="I323">
        <v>201</v>
      </c>
      <c r="J323" t="s">
        <v>4</v>
      </c>
      <c r="K323" t="s">
        <v>5</v>
      </c>
      <c r="L323">
        <v>20</v>
      </c>
      <c r="M323">
        <v>2718</v>
      </c>
      <c r="N323">
        <v>28.01</v>
      </c>
      <c r="O323">
        <v>9703</v>
      </c>
    </row>
    <row r="324" spans="1:15" x14ac:dyDescent="0.2">
      <c r="A324">
        <v>33</v>
      </c>
      <c r="B324" t="str">
        <f>VLOOKUP(Table1[[#This Row],[CountyID]],[1]!Table1[#All],2,FALSE)</f>
        <v>Kanabec</v>
      </c>
      <c r="C324">
        <f>VLOOKUP(Table1[[#This Row],[CountyID]],[1]!Table1[#All],3,FALSE)</f>
        <v>20</v>
      </c>
      <c r="D324">
        <v>20</v>
      </c>
      <c r="E324">
        <f>Table1[[#This Row],[Number of Counties]]-Table1[[#This Row],[Number of precincts Reporting]]</f>
        <v>0</v>
      </c>
      <c r="F324" t="s">
        <v>0</v>
      </c>
      <c r="G324" t="s">
        <v>1</v>
      </c>
      <c r="H324">
        <v>101</v>
      </c>
      <c r="I324">
        <v>301</v>
      </c>
      <c r="J324" t="s">
        <v>6</v>
      </c>
      <c r="K324" t="s">
        <v>7</v>
      </c>
      <c r="L324">
        <v>20</v>
      </c>
      <c r="M324">
        <v>36</v>
      </c>
      <c r="N324">
        <v>0.37</v>
      </c>
      <c r="O324">
        <v>9703</v>
      </c>
    </row>
    <row r="325" spans="1:15" x14ac:dyDescent="0.2">
      <c r="A325">
        <v>33</v>
      </c>
      <c r="B325" t="str">
        <f>VLOOKUP(Table1[[#This Row],[CountyID]],[1]!Table1[#All],2,FALSE)</f>
        <v>Kanabec</v>
      </c>
      <c r="C325">
        <f>VLOOKUP(Table1[[#This Row],[CountyID]],[1]!Table1[#All],3,FALSE)</f>
        <v>20</v>
      </c>
      <c r="D325">
        <v>20</v>
      </c>
      <c r="E325">
        <f>Table1[[#This Row],[Number of Counties]]-Table1[[#This Row],[Number of precincts Reporting]]</f>
        <v>0</v>
      </c>
      <c r="F325" t="s">
        <v>0</v>
      </c>
      <c r="G325" t="s">
        <v>1</v>
      </c>
      <c r="H325">
        <v>101</v>
      </c>
      <c r="I325">
        <v>401</v>
      </c>
      <c r="J325" t="s">
        <v>8</v>
      </c>
      <c r="K325" t="s">
        <v>9</v>
      </c>
      <c r="L325">
        <v>20</v>
      </c>
      <c r="M325">
        <v>68</v>
      </c>
      <c r="N325">
        <v>0.7</v>
      </c>
      <c r="O325">
        <v>9703</v>
      </c>
    </row>
    <row r="326" spans="1:15" x14ac:dyDescent="0.2">
      <c r="A326">
        <v>33</v>
      </c>
      <c r="B326" t="str">
        <f>VLOOKUP(Table1[[#This Row],[CountyID]],[1]!Table1[#All],2,FALSE)</f>
        <v>Kanabec</v>
      </c>
      <c r="C326">
        <f>VLOOKUP(Table1[[#This Row],[CountyID]],[1]!Table1[#All],3,FALSE)</f>
        <v>20</v>
      </c>
      <c r="D326">
        <v>20</v>
      </c>
      <c r="E326">
        <f>Table1[[#This Row],[Number of Counties]]-Table1[[#This Row],[Number of precincts Reporting]]</f>
        <v>0</v>
      </c>
      <c r="F326" t="s">
        <v>0</v>
      </c>
      <c r="G326" t="s">
        <v>1</v>
      </c>
      <c r="H326">
        <v>101</v>
      </c>
      <c r="I326">
        <v>501</v>
      </c>
      <c r="J326" t="s">
        <v>10</v>
      </c>
      <c r="K326" t="s">
        <v>11</v>
      </c>
      <c r="L326">
        <v>20</v>
      </c>
      <c r="M326">
        <v>23</v>
      </c>
      <c r="N326">
        <v>0.24</v>
      </c>
      <c r="O326">
        <v>9703</v>
      </c>
    </row>
    <row r="327" spans="1:15" x14ac:dyDescent="0.2">
      <c r="A327">
        <v>33</v>
      </c>
      <c r="B327" t="str">
        <f>VLOOKUP(Table1[[#This Row],[CountyID]],[1]!Table1[#All],2,FALSE)</f>
        <v>Kanabec</v>
      </c>
      <c r="C327">
        <f>VLOOKUP(Table1[[#This Row],[CountyID]],[1]!Table1[#All],3,FALSE)</f>
        <v>20</v>
      </c>
      <c r="D327">
        <v>20</v>
      </c>
      <c r="E327">
        <f>Table1[[#This Row],[Number of Counties]]-Table1[[#This Row],[Number of precincts Reporting]]</f>
        <v>0</v>
      </c>
      <c r="F327" t="s">
        <v>0</v>
      </c>
      <c r="G327" t="s">
        <v>1</v>
      </c>
      <c r="H327">
        <v>101</v>
      </c>
      <c r="I327">
        <v>601</v>
      </c>
      <c r="J327" t="s">
        <v>12</v>
      </c>
      <c r="K327" t="s">
        <v>13</v>
      </c>
      <c r="L327">
        <v>20</v>
      </c>
      <c r="M327">
        <v>3</v>
      </c>
      <c r="N327">
        <v>0.03</v>
      </c>
      <c r="O327">
        <v>9703</v>
      </c>
    </row>
    <row r="328" spans="1:15" x14ac:dyDescent="0.2">
      <c r="A328">
        <v>33</v>
      </c>
      <c r="B328" t="str">
        <f>VLOOKUP(Table1[[#This Row],[CountyID]],[1]!Table1[#All],2,FALSE)</f>
        <v>Kanabec</v>
      </c>
      <c r="C328">
        <f>VLOOKUP(Table1[[#This Row],[CountyID]],[1]!Table1[#All],3,FALSE)</f>
        <v>20</v>
      </c>
      <c r="D328">
        <v>20</v>
      </c>
      <c r="E328">
        <f>Table1[[#This Row],[Number of Counties]]-Table1[[#This Row],[Number of precincts Reporting]]</f>
        <v>0</v>
      </c>
      <c r="F328" t="s">
        <v>0</v>
      </c>
      <c r="G328" t="s">
        <v>1</v>
      </c>
      <c r="H328">
        <v>101</v>
      </c>
      <c r="I328">
        <v>701</v>
      </c>
      <c r="J328" t="s">
        <v>14</v>
      </c>
      <c r="K328" t="s">
        <v>15</v>
      </c>
      <c r="L328">
        <v>20</v>
      </c>
      <c r="M328">
        <v>2</v>
      </c>
      <c r="N328">
        <v>0.02</v>
      </c>
      <c r="O328">
        <v>9703</v>
      </c>
    </row>
    <row r="329" spans="1:15" x14ac:dyDescent="0.2">
      <c r="A329">
        <v>33</v>
      </c>
      <c r="B329" t="str">
        <f>VLOOKUP(Table1[[#This Row],[CountyID]],[1]!Table1[#All],2,FALSE)</f>
        <v>Kanabec</v>
      </c>
      <c r="C329">
        <f>VLOOKUP(Table1[[#This Row],[CountyID]],[1]!Table1[#All],3,FALSE)</f>
        <v>20</v>
      </c>
      <c r="D329">
        <v>20</v>
      </c>
      <c r="E329">
        <f>Table1[[#This Row],[Number of Counties]]-Table1[[#This Row],[Number of precincts Reporting]]</f>
        <v>0</v>
      </c>
      <c r="F329" t="s">
        <v>0</v>
      </c>
      <c r="G329" t="s">
        <v>1</v>
      </c>
      <c r="H329">
        <v>101</v>
      </c>
      <c r="I329">
        <v>801</v>
      </c>
      <c r="J329" t="s">
        <v>16</v>
      </c>
      <c r="K329" t="s">
        <v>17</v>
      </c>
      <c r="L329">
        <v>20</v>
      </c>
      <c r="M329">
        <v>3</v>
      </c>
      <c r="N329">
        <v>0.03</v>
      </c>
      <c r="O329">
        <v>9703</v>
      </c>
    </row>
    <row r="330" spans="1:15" x14ac:dyDescent="0.2">
      <c r="A330">
        <v>33</v>
      </c>
      <c r="B330" t="str">
        <f>VLOOKUP(Table1[[#This Row],[CountyID]],[1]!Table1[#All],2,FALSE)</f>
        <v>Kanabec</v>
      </c>
      <c r="C330">
        <f>VLOOKUP(Table1[[#This Row],[CountyID]],[1]!Table1[#All],3,FALSE)</f>
        <v>20</v>
      </c>
      <c r="D330">
        <v>20</v>
      </c>
      <c r="E330">
        <f>Table1[[#This Row],[Number of Counties]]-Table1[[#This Row],[Number of precincts Reporting]]</f>
        <v>0</v>
      </c>
      <c r="F330" t="s">
        <v>0</v>
      </c>
      <c r="G330" t="s">
        <v>1</v>
      </c>
      <c r="H330">
        <v>101</v>
      </c>
      <c r="I330">
        <v>901</v>
      </c>
      <c r="J330" t="s">
        <v>18</v>
      </c>
      <c r="K330" t="s">
        <v>19</v>
      </c>
      <c r="L330">
        <v>20</v>
      </c>
      <c r="M330">
        <v>11</v>
      </c>
      <c r="N330">
        <v>0.11</v>
      </c>
      <c r="O330">
        <v>9703</v>
      </c>
    </row>
    <row r="331" spans="1:15" x14ac:dyDescent="0.2">
      <c r="A331">
        <v>33</v>
      </c>
      <c r="B331" t="str">
        <f>VLOOKUP(Table1[[#This Row],[CountyID]],[1]!Table1[#All],2,FALSE)</f>
        <v>Kanabec</v>
      </c>
      <c r="C331">
        <f>VLOOKUP(Table1[[#This Row],[CountyID]],[1]!Table1[#All],3,FALSE)</f>
        <v>20</v>
      </c>
      <c r="D331">
        <v>20</v>
      </c>
      <c r="E331">
        <f>Table1[[#This Row],[Number of Counties]]-Table1[[#This Row],[Number of precincts Reporting]]</f>
        <v>0</v>
      </c>
      <c r="F331" t="s">
        <v>0</v>
      </c>
      <c r="G331" t="s">
        <v>1</v>
      </c>
      <c r="H331">
        <v>101</v>
      </c>
      <c r="I331">
        <v>9901</v>
      </c>
      <c r="J331" t="s">
        <v>20</v>
      </c>
      <c r="K331" t="s">
        <v>21</v>
      </c>
      <c r="L331">
        <v>20</v>
      </c>
      <c r="M331">
        <v>21</v>
      </c>
      <c r="N331">
        <v>0.22</v>
      </c>
      <c r="O331">
        <v>9703</v>
      </c>
    </row>
    <row r="332" spans="1:15" x14ac:dyDescent="0.2">
      <c r="A332">
        <v>34</v>
      </c>
      <c r="B332" t="str">
        <f>VLOOKUP(Table1[[#This Row],[CountyID]],[1]!Table1[#All],2,FALSE)</f>
        <v>Kandiyohi</v>
      </c>
      <c r="C332">
        <f>VLOOKUP(Table1[[#This Row],[CountyID]],[1]!Table1[#All],3,FALSE)</f>
        <v>48</v>
      </c>
      <c r="D332">
        <v>48</v>
      </c>
      <c r="E332">
        <f>Table1[[#This Row],[Number of Counties]]-Table1[[#This Row],[Number of precincts Reporting]]</f>
        <v>0</v>
      </c>
      <c r="F332" t="s">
        <v>0</v>
      </c>
      <c r="G332" t="s">
        <v>1</v>
      </c>
      <c r="H332">
        <v>101</v>
      </c>
      <c r="I332">
        <v>101</v>
      </c>
      <c r="J332" t="s">
        <v>2</v>
      </c>
      <c r="K332" t="s">
        <v>3</v>
      </c>
      <c r="L332">
        <v>48</v>
      </c>
      <c r="M332">
        <v>15014</v>
      </c>
      <c r="N332">
        <v>64.48</v>
      </c>
      <c r="O332">
        <v>23283</v>
      </c>
    </row>
    <row r="333" spans="1:15" x14ac:dyDescent="0.2">
      <c r="A333">
        <v>34</v>
      </c>
      <c r="B333" t="str">
        <f>VLOOKUP(Table1[[#This Row],[CountyID]],[1]!Table1[#All],2,FALSE)</f>
        <v>Kandiyohi</v>
      </c>
      <c r="C333">
        <f>VLOOKUP(Table1[[#This Row],[CountyID]],[1]!Table1[#All],3,FALSE)</f>
        <v>48</v>
      </c>
      <c r="D333">
        <v>48</v>
      </c>
      <c r="E333">
        <f>Table1[[#This Row],[Number of Counties]]-Table1[[#This Row],[Number of precincts Reporting]]</f>
        <v>0</v>
      </c>
      <c r="F333" t="s">
        <v>0</v>
      </c>
      <c r="G333" t="s">
        <v>1</v>
      </c>
      <c r="H333">
        <v>101</v>
      </c>
      <c r="I333">
        <v>201</v>
      </c>
      <c r="J333" t="s">
        <v>4</v>
      </c>
      <c r="K333" t="s">
        <v>5</v>
      </c>
      <c r="L333">
        <v>48</v>
      </c>
      <c r="M333">
        <v>7814</v>
      </c>
      <c r="N333">
        <v>33.56</v>
      </c>
      <c r="O333">
        <v>23283</v>
      </c>
    </row>
    <row r="334" spans="1:15" x14ac:dyDescent="0.2">
      <c r="A334">
        <v>34</v>
      </c>
      <c r="B334" t="str">
        <f>VLOOKUP(Table1[[#This Row],[CountyID]],[1]!Table1[#All],2,FALSE)</f>
        <v>Kandiyohi</v>
      </c>
      <c r="C334">
        <f>VLOOKUP(Table1[[#This Row],[CountyID]],[1]!Table1[#All],3,FALSE)</f>
        <v>48</v>
      </c>
      <c r="D334">
        <v>48</v>
      </c>
      <c r="E334">
        <f>Table1[[#This Row],[Number of Counties]]-Table1[[#This Row],[Number of precincts Reporting]]</f>
        <v>0</v>
      </c>
      <c r="F334" t="s">
        <v>0</v>
      </c>
      <c r="G334" t="s">
        <v>1</v>
      </c>
      <c r="H334">
        <v>101</v>
      </c>
      <c r="I334">
        <v>301</v>
      </c>
      <c r="J334" t="s">
        <v>6</v>
      </c>
      <c r="K334" t="s">
        <v>7</v>
      </c>
      <c r="L334">
        <v>48</v>
      </c>
      <c r="M334">
        <v>96</v>
      </c>
      <c r="N334">
        <v>0.41</v>
      </c>
      <c r="O334">
        <v>23283</v>
      </c>
    </row>
    <row r="335" spans="1:15" x14ac:dyDescent="0.2">
      <c r="A335">
        <v>34</v>
      </c>
      <c r="B335" t="str">
        <f>VLOOKUP(Table1[[#This Row],[CountyID]],[1]!Table1[#All],2,FALSE)</f>
        <v>Kandiyohi</v>
      </c>
      <c r="C335">
        <f>VLOOKUP(Table1[[#This Row],[CountyID]],[1]!Table1[#All],3,FALSE)</f>
        <v>48</v>
      </c>
      <c r="D335">
        <v>48</v>
      </c>
      <c r="E335">
        <f>Table1[[#This Row],[Number of Counties]]-Table1[[#This Row],[Number of precincts Reporting]]</f>
        <v>0</v>
      </c>
      <c r="F335" t="s">
        <v>0</v>
      </c>
      <c r="G335" t="s">
        <v>1</v>
      </c>
      <c r="H335">
        <v>101</v>
      </c>
      <c r="I335">
        <v>401</v>
      </c>
      <c r="J335" t="s">
        <v>8</v>
      </c>
      <c r="K335" t="s">
        <v>9</v>
      </c>
      <c r="L335">
        <v>48</v>
      </c>
      <c r="M335">
        <v>174</v>
      </c>
      <c r="N335">
        <v>0.75</v>
      </c>
      <c r="O335">
        <v>23283</v>
      </c>
    </row>
    <row r="336" spans="1:15" x14ac:dyDescent="0.2">
      <c r="A336">
        <v>34</v>
      </c>
      <c r="B336" t="str">
        <f>VLOOKUP(Table1[[#This Row],[CountyID]],[1]!Table1[#All],2,FALSE)</f>
        <v>Kandiyohi</v>
      </c>
      <c r="C336">
        <f>VLOOKUP(Table1[[#This Row],[CountyID]],[1]!Table1[#All],3,FALSE)</f>
        <v>48</v>
      </c>
      <c r="D336">
        <v>48</v>
      </c>
      <c r="E336">
        <f>Table1[[#This Row],[Number of Counties]]-Table1[[#This Row],[Number of precincts Reporting]]</f>
        <v>0</v>
      </c>
      <c r="F336" t="s">
        <v>0</v>
      </c>
      <c r="G336" t="s">
        <v>1</v>
      </c>
      <c r="H336">
        <v>101</v>
      </c>
      <c r="I336">
        <v>501</v>
      </c>
      <c r="J336" t="s">
        <v>10</v>
      </c>
      <c r="K336" t="s">
        <v>11</v>
      </c>
      <c r="L336">
        <v>48</v>
      </c>
      <c r="M336">
        <v>63</v>
      </c>
      <c r="N336">
        <v>0.27</v>
      </c>
      <c r="O336">
        <v>23283</v>
      </c>
    </row>
    <row r="337" spans="1:15" x14ac:dyDescent="0.2">
      <c r="A337">
        <v>34</v>
      </c>
      <c r="B337" t="str">
        <f>VLOOKUP(Table1[[#This Row],[CountyID]],[1]!Table1[#All],2,FALSE)</f>
        <v>Kandiyohi</v>
      </c>
      <c r="C337">
        <f>VLOOKUP(Table1[[#This Row],[CountyID]],[1]!Table1[#All],3,FALSE)</f>
        <v>48</v>
      </c>
      <c r="D337">
        <v>48</v>
      </c>
      <c r="E337">
        <f>Table1[[#This Row],[Number of Counties]]-Table1[[#This Row],[Number of precincts Reporting]]</f>
        <v>0</v>
      </c>
      <c r="F337" t="s">
        <v>0</v>
      </c>
      <c r="G337" t="s">
        <v>1</v>
      </c>
      <c r="H337">
        <v>101</v>
      </c>
      <c r="I337">
        <v>601</v>
      </c>
      <c r="J337" t="s">
        <v>12</v>
      </c>
      <c r="K337" t="s">
        <v>13</v>
      </c>
      <c r="L337">
        <v>48</v>
      </c>
      <c r="M337">
        <v>10</v>
      </c>
      <c r="N337">
        <v>0.04</v>
      </c>
      <c r="O337">
        <v>23283</v>
      </c>
    </row>
    <row r="338" spans="1:15" x14ac:dyDescent="0.2">
      <c r="A338">
        <v>34</v>
      </c>
      <c r="B338" t="str">
        <f>VLOOKUP(Table1[[#This Row],[CountyID]],[1]!Table1[#All],2,FALSE)</f>
        <v>Kandiyohi</v>
      </c>
      <c r="C338">
        <f>VLOOKUP(Table1[[#This Row],[CountyID]],[1]!Table1[#All],3,FALSE)</f>
        <v>48</v>
      </c>
      <c r="D338">
        <v>48</v>
      </c>
      <c r="E338">
        <f>Table1[[#This Row],[Number of Counties]]-Table1[[#This Row],[Number of precincts Reporting]]</f>
        <v>0</v>
      </c>
      <c r="F338" t="s">
        <v>0</v>
      </c>
      <c r="G338" t="s">
        <v>1</v>
      </c>
      <c r="H338">
        <v>101</v>
      </c>
      <c r="I338">
        <v>701</v>
      </c>
      <c r="J338" t="s">
        <v>14</v>
      </c>
      <c r="K338" t="s">
        <v>15</v>
      </c>
      <c r="L338">
        <v>48</v>
      </c>
      <c r="M338">
        <v>1</v>
      </c>
      <c r="N338">
        <v>0</v>
      </c>
      <c r="O338">
        <v>23283</v>
      </c>
    </row>
    <row r="339" spans="1:15" x14ac:dyDescent="0.2">
      <c r="A339">
        <v>34</v>
      </c>
      <c r="B339" t="str">
        <f>VLOOKUP(Table1[[#This Row],[CountyID]],[1]!Table1[#All],2,FALSE)</f>
        <v>Kandiyohi</v>
      </c>
      <c r="C339">
        <f>VLOOKUP(Table1[[#This Row],[CountyID]],[1]!Table1[#All],3,FALSE)</f>
        <v>48</v>
      </c>
      <c r="D339">
        <v>48</v>
      </c>
      <c r="E339">
        <f>Table1[[#This Row],[Number of Counties]]-Table1[[#This Row],[Number of precincts Reporting]]</f>
        <v>0</v>
      </c>
      <c r="F339" t="s">
        <v>0</v>
      </c>
      <c r="G339" t="s">
        <v>1</v>
      </c>
      <c r="H339">
        <v>101</v>
      </c>
      <c r="I339">
        <v>801</v>
      </c>
      <c r="J339" t="s">
        <v>16</v>
      </c>
      <c r="K339" t="s">
        <v>17</v>
      </c>
      <c r="L339">
        <v>48</v>
      </c>
      <c r="M339">
        <v>22</v>
      </c>
      <c r="N339">
        <v>0.09</v>
      </c>
      <c r="O339">
        <v>23283</v>
      </c>
    </row>
    <row r="340" spans="1:15" x14ac:dyDescent="0.2">
      <c r="A340">
        <v>34</v>
      </c>
      <c r="B340" t="str">
        <f>VLOOKUP(Table1[[#This Row],[CountyID]],[1]!Table1[#All],2,FALSE)</f>
        <v>Kandiyohi</v>
      </c>
      <c r="C340">
        <f>VLOOKUP(Table1[[#This Row],[CountyID]],[1]!Table1[#All],3,FALSE)</f>
        <v>48</v>
      </c>
      <c r="D340">
        <v>48</v>
      </c>
      <c r="E340">
        <f>Table1[[#This Row],[Number of Counties]]-Table1[[#This Row],[Number of precincts Reporting]]</f>
        <v>0</v>
      </c>
      <c r="F340" t="s">
        <v>0</v>
      </c>
      <c r="G340" t="s">
        <v>1</v>
      </c>
      <c r="H340">
        <v>101</v>
      </c>
      <c r="I340">
        <v>901</v>
      </c>
      <c r="J340" t="s">
        <v>18</v>
      </c>
      <c r="K340" t="s">
        <v>19</v>
      </c>
      <c r="L340">
        <v>48</v>
      </c>
      <c r="M340">
        <v>19</v>
      </c>
      <c r="N340">
        <v>0.08</v>
      </c>
      <c r="O340">
        <v>23283</v>
      </c>
    </row>
    <row r="341" spans="1:15" x14ac:dyDescent="0.2">
      <c r="A341">
        <v>34</v>
      </c>
      <c r="B341" t="str">
        <f>VLOOKUP(Table1[[#This Row],[CountyID]],[1]!Table1[#All],2,FALSE)</f>
        <v>Kandiyohi</v>
      </c>
      <c r="C341">
        <f>VLOOKUP(Table1[[#This Row],[CountyID]],[1]!Table1[#All],3,FALSE)</f>
        <v>48</v>
      </c>
      <c r="D341">
        <v>48</v>
      </c>
      <c r="E341">
        <f>Table1[[#This Row],[Number of Counties]]-Table1[[#This Row],[Number of precincts Reporting]]</f>
        <v>0</v>
      </c>
      <c r="F341" t="s">
        <v>0</v>
      </c>
      <c r="G341" t="s">
        <v>1</v>
      </c>
      <c r="H341">
        <v>101</v>
      </c>
      <c r="I341">
        <v>9901</v>
      </c>
      <c r="J341" t="s">
        <v>20</v>
      </c>
      <c r="K341" t="s">
        <v>21</v>
      </c>
      <c r="L341">
        <v>48</v>
      </c>
      <c r="M341">
        <v>70</v>
      </c>
      <c r="N341">
        <v>0.3</v>
      </c>
      <c r="O341">
        <v>23283</v>
      </c>
    </row>
    <row r="342" spans="1:15" x14ac:dyDescent="0.2">
      <c r="A342">
        <v>35</v>
      </c>
      <c r="B342" t="str">
        <f>VLOOKUP(Table1[[#This Row],[CountyID]],[1]!Table1[#All],2,FALSE)</f>
        <v>Kittson</v>
      </c>
      <c r="C342">
        <f>VLOOKUP(Table1[[#This Row],[CountyID]],[1]!Table1[#All],3,FALSE)</f>
        <v>39</v>
      </c>
      <c r="D342">
        <v>39</v>
      </c>
      <c r="E342">
        <f>Table1[[#This Row],[Number of Counties]]-Table1[[#This Row],[Number of precincts Reporting]]</f>
        <v>0</v>
      </c>
      <c r="F342" t="s">
        <v>0</v>
      </c>
      <c r="G342" t="s">
        <v>1</v>
      </c>
      <c r="H342">
        <v>101</v>
      </c>
      <c r="I342">
        <v>101</v>
      </c>
      <c r="J342" t="s">
        <v>2</v>
      </c>
      <c r="K342" t="s">
        <v>3</v>
      </c>
      <c r="L342">
        <v>39</v>
      </c>
      <c r="M342">
        <v>1535</v>
      </c>
      <c r="N342">
        <v>61.4</v>
      </c>
      <c r="O342">
        <v>2500</v>
      </c>
    </row>
    <row r="343" spans="1:15" x14ac:dyDescent="0.2">
      <c r="A343">
        <v>35</v>
      </c>
      <c r="B343" t="str">
        <f>VLOOKUP(Table1[[#This Row],[CountyID]],[1]!Table1[#All],2,FALSE)</f>
        <v>Kittson</v>
      </c>
      <c r="C343">
        <f>VLOOKUP(Table1[[#This Row],[CountyID]],[1]!Table1[#All],3,FALSE)</f>
        <v>39</v>
      </c>
      <c r="D343">
        <v>39</v>
      </c>
      <c r="E343">
        <f>Table1[[#This Row],[Number of Counties]]-Table1[[#This Row],[Number of precincts Reporting]]</f>
        <v>0</v>
      </c>
      <c r="F343" t="s">
        <v>0</v>
      </c>
      <c r="G343" t="s">
        <v>1</v>
      </c>
      <c r="H343">
        <v>101</v>
      </c>
      <c r="I343">
        <v>201</v>
      </c>
      <c r="J343" t="s">
        <v>4</v>
      </c>
      <c r="K343" t="s">
        <v>5</v>
      </c>
      <c r="L343">
        <v>39</v>
      </c>
      <c r="M343">
        <v>911</v>
      </c>
      <c r="N343">
        <v>36.44</v>
      </c>
      <c r="O343">
        <v>2500</v>
      </c>
    </row>
    <row r="344" spans="1:15" x14ac:dyDescent="0.2">
      <c r="A344">
        <v>35</v>
      </c>
      <c r="B344" t="str">
        <f>VLOOKUP(Table1[[#This Row],[CountyID]],[1]!Table1[#All],2,FALSE)</f>
        <v>Kittson</v>
      </c>
      <c r="C344">
        <f>VLOOKUP(Table1[[#This Row],[CountyID]],[1]!Table1[#All],3,FALSE)</f>
        <v>39</v>
      </c>
      <c r="D344">
        <v>39</v>
      </c>
      <c r="E344">
        <f>Table1[[#This Row],[Number of Counties]]-Table1[[#This Row],[Number of precincts Reporting]]</f>
        <v>0</v>
      </c>
      <c r="F344" t="s">
        <v>0</v>
      </c>
      <c r="G344" t="s">
        <v>1</v>
      </c>
      <c r="H344">
        <v>101</v>
      </c>
      <c r="I344">
        <v>301</v>
      </c>
      <c r="J344" t="s">
        <v>6</v>
      </c>
      <c r="K344" t="s">
        <v>7</v>
      </c>
      <c r="L344">
        <v>39</v>
      </c>
      <c r="M344">
        <v>18</v>
      </c>
      <c r="N344">
        <v>0.72</v>
      </c>
      <c r="O344">
        <v>2500</v>
      </c>
    </row>
    <row r="345" spans="1:15" x14ac:dyDescent="0.2">
      <c r="A345">
        <v>35</v>
      </c>
      <c r="B345" t="str">
        <f>VLOOKUP(Table1[[#This Row],[CountyID]],[1]!Table1[#All],2,FALSE)</f>
        <v>Kittson</v>
      </c>
      <c r="C345">
        <f>VLOOKUP(Table1[[#This Row],[CountyID]],[1]!Table1[#All],3,FALSE)</f>
        <v>39</v>
      </c>
      <c r="D345">
        <v>39</v>
      </c>
      <c r="E345">
        <f>Table1[[#This Row],[Number of Counties]]-Table1[[#This Row],[Number of precincts Reporting]]</f>
        <v>0</v>
      </c>
      <c r="F345" t="s">
        <v>0</v>
      </c>
      <c r="G345" t="s">
        <v>1</v>
      </c>
      <c r="H345">
        <v>101</v>
      </c>
      <c r="I345">
        <v>401</v>
      </c>
      <c r="J345" t="s">
        <v>8</v>
      </c>
      <c r="K345" t="s">
        <v>9</v>
      </c>
      <c r="L345">
        <v>39</v>
      </c>
      <c r="M345">
        <v>24</v>
      </c>
      <c r="N345">
        <v>0.96</v>
      </c>
      <c r="O345">
        <v>2500</v>
      </c>
    </row>
    <row r="346" spans="1:15" x14ac:dyDescent="0.2">
      <c r="A346">
        <v>35</v>
      </c>
      <c r="B346" t="str">
        <f>VLOOKUP(Table1[[#This Row],[CountyID]],[1]!Table1[#All],2,FALSE)</f>
        <v>Kittson</v>
      </c>
      <c r="C346">
        <f>VLOOKUP(Table1[[#This Row],[CountyID]],[1]!Table1[#All],3,FALSE)</f>
        <v>39</v>
      </c>
      <c r="D346">
        <v>39</v>
      </c>
      <c r="E346">
        <f>Table1[[#This Row],[Number of Counties]]-Table1[[#This Row],[Number of precincts Reporting]]</f>
        <v>0</v>
      </c>
      <c r="F346" t="s">
        <v>0</v>
      </c>
      <c r="G346" t="s">
        <v>1</v>
      </c>
      <c r="H346">
        <v>101</v>
      </c>
      <c r="I346">
        <v>501</v>
      </c>
      <c r="J346" t="s">
        <v>10</v>
      </c>
      <c r="K346" t="s">
        <v>11</v>
      </c>
      <c r="L346">
        <v>39</v>
      </c>
      <c r="M346">
        <v>3</v>
      </c>
      <c r="N346">
        <v>0.12</v>
      </c>
      <c r="O346">
        <v>2500</v>
      </c>
    </row>
    <row r="347" spans="1:15" x14ac:dyDescent="0.2">
      <c r="A347">
        <v>35</v>
      </c>
      <c r="B347" t="str">
        <f>VLOOKUP(Table1[[#This Row],[CountyID]],[1]!Table1[#All],2,FALSE)</f>
        <v>Kittson</v>
      </c>
      <c r="C347">
        <f>VLOOKUP(Table1[[#This Row],[CountyID]],[1]!Table1[#All],3,FALSE)</f>
        <v>39</v>
      </c>
      <c r="D347">
        <v>39</v>
      </c>
      <c r="E347">
        <f>Table1[[#This Row],[Number of Counties]]-Table1[[#This Row],[Number of precincts Reporting]]</f>
        <v>0</v>
      </c>
      <c r="F347" t="s">
        <v>0</v>
      </c>
      <c r="G347" t="s">
        <v>1</v>
      </c>
      <c r="H347">
        <v>101</v>
      </c>
      <c r="I347">
        <v>601</v>
      </c>
      <c r="J347" t="s">
        <v>12</v>
      </c>
      <c r="K347" t="s">
        <v>13</v>
      </c>
      <c r="L347">
        <v>39</v>
      </c>
      <c r="M347">
        <v>0</v>
      </c>
      <c r="N347">
        <v>0</v>
      </c>
      <c r="O347">
        <v>2500</v>
      </c>
    </row>
    <row r="348" spans="1:15" x14ac:dyDescent="0.2">
      <c r="A348">
        <v>35</v>
      </c>
      <c r="B348" t="str">
        <f>VLOOKUP(Table1[[#This Row],[CountyID]],[1]!Table1[#All],2,FALSE)</f>
        <v>Kittson</v>
      </c>
      <c r="C348">
        <f>VLOOKUP(Table1[[#This Row],[CountyID]],[1]!Table1[#All],3,FALSE)</f>
        <v>39</v>
      </c>
      <c r="D348">
        <v>39</v>
      </c>
      <c r="E348">
        <f>Table1[[#This Row],[Number of Counties]]-Table1[[#This Row],[Number of precincts Reporting]]</f>
        <v>0</v>
      </c>
      <c r="F348" t="s">
        <v>0</v>
      </c>
      <c r="G348" t="s">
        <v>1</v>
      </c>
      <c r="H348">
        <v>101</v>
      </c>
      <c r="I348">
        <v>701</v>
      </c>
      <c r="J348" t="s">
        <v>14</v>
      </c>
      <c r="K348" t="s">
        <v>15</v>
      </c>
      <c r="L348">
        <v>39</v>
      </c>
      <c r="M348">
        <v>0</v>
      </c>
      <c r="N348">
        <v>0</v>
      </c>
      <c r="O348">
        <v>2500</v>
      </c>
    </row>
    <row r="349" spans="1:15" x14ac:dyDescent="0.2">
      <c r="A349">
        <v>35</v>
      </c>
      <c r="B349" t="str">
        <f>VLOOKUP(Table1[[#This Row],[CountyID]],[1]!Table1[#All],2,FALSE)</f>
        <v>Kittson</v>
      </c>
      <c r="C349">
        <f>VLOOKUP(Table1[[#This Row],[CountyID]],[1]!Table1[#All],3,FALSE)</f>
        <v>39</v>
      </c>
      <c r="D349">
        <v>39</v>
      </c>
      <c r="E349">
        <f>Table1[[#This Row],[Number of Counties]]-Table1[[#This Row],[Number of precincts Reporting]]</f>
        <v>0</v>
      </c>
      <c r="F349" t="s">
        <v>0</v>
      </c>
      <c r="G349" t="s">
        <v>1</v>
      </c>
      <c r="H349">
        <v>101</v>
      </c>
      <c r="I349">
        <v>801</v>
      </c>
      <c r="J349" t="s">
        <v>16</v>
      </c>
      <c r="K349" t="s">
        <v>17</v>
      </c>
      <c r="L349">
        <v>39</v>
      </c>
      <c r="M349">
        <v>3</v>
      </c>
      <c r="N349">
        <v>0.12</v>
      </c>
      <c r="O349">
        <v>2500</v>
      </c>
    </row>
    <row r="350" spans="1:15" x14ac:dyDescent="0.2">
      <c r="A350">
        <v>35</v>
      </c>
      <c r="B350" t="str">
        <f>VLOOKUP(Table1[[#This Row],[CountyID]],[1]!Table1[#All],2,FALSE)</f>
        <v>Kittson</v>
      </c>
      <c r="C350">
        <f>VLOOKUP(Table1[[#This Row],[CountyID]],[1]!Table1[#All],3,FALSE)</f>
        <v>39</v>
      </c>
      <c r="D350">
        <v>39</v>
      </c>
      <c r="E350">
        <f>Table1[[#This Row],[Number of Counties]]-Table1[[#This Row],[Number of precincts Reporting]]</f>
        <v>0</v>
      </c>
      <c r="F350" t="s">
        <v>0</v>
      </c>
      <c r="G350" t="s">
        <v>1</v>
      </c>
      <c r="H350">
        <v>101</v>
      </c>
      <c r="I350">
        <v>901</v>
      </c>
      <c r="J350" t="s">
        <v>18</v>
      </c>
      <c r="K350" t="s">
        <v>19</v>
      </c>
      <c r="L350">
        <v>39</v>
      </c>
      <c r="M350">
        <v>1</v>
      </c>
      <c r="N350">
        <v>0.04</v>
      </c>
      <c r="O350">
        <v>2500</v>
      </c>
    </row>
    <row r="351" spans="1:15" x14ac:dyDescent="0.2">
      <c r="A351">
        <v>35</v>
      </c>
      <c r="B351" t="str">
        <f>VLOOKUP(Table1[[#This Row],[CountyID]],[1]!Table1[#All],2,FALSE)</f>
        <v>Kittson</v>
      </c>
      <c r="C351">
        <f>VLOOKUP(Table1[[#This Row],[CountyID]],[1]!Table1[#All],3,FALSE)</f>
        <v>39</v>
      </c>
      <c r="D351">
        <v>39</v>
      </c>
      <c r="E351">
        <f>Table1[[#This Row],[Number of Counties]]-Table1[[#This Row],[Number of precincts Reporting]]</f>
        <v>0</v>
      </c>
      <c r="F351" t="s">
        <v>0</v>
      </c>
      <c r="G351" t="s">
        <v>1</v>
      </c>
      <c r="H351">
        <v>101</v>
      </c>
      <c r="I351">
        <v>9901</v>
      </c>
      <c r="J351" t="s">
        <v>20</v>
      </c>
      <c r="K351" t="s">
        <v>21</v>
      </c>
      <c r="L351">
        <v>39</v>
      </c>
      <c r="M351">
        <v>5</v>
      </c>
      <c r="N351">
        <v>0.2</v>
      </c>
      <c r="O351">
        <v>2500</v>
      </c>
    </row>
    <row r="352" spans="1:15" x14ac:dyDescent="0.2">
      <c r="A352">
        <v>36</v>
      </c>
      <c r="B352" t="str">
        <f>VLOOKUP(Table1[[#This Row],[CountyID]],[1]!Table1[#All],2,FALSE)</f>
        <v>Koochiching</v>
      </c>
      <c r="C352">
        <f>VLOOKUP(Table1[[#This Row],[CountyID]],[1]!Table1[#All],3,FALSE)</f>
        <v>22</v>
      </c>
      <c r="D352">
        <v>22</v>
      </c>
      <c r="E352">
        <f>Table1[[#This Row],[Number of Counties]]-Table1[[#This Row],[Number of precincts Reporting]]</f>
        <v>0</v>
      </c>
      <c r="F352" t="s">
        <v>0</v>
      </c>
      <c r="G352" t="s">
        <v>1</v>
      </c>
      <c r="H352">
        <v>101</v>
      </c>
      <c r="I352">
        <v>101</v>
      </c>
      <c r="J352" t="s">
        <v>2</v>
      </c>
      <c r="K352" t="s">
        <v>3</v>
      </c>
      <c r="L352">
        <v>22</v>
      </c>
      <c r="M352">
        <v>4204</v>
      </c>
      <c r="N352">
        <v>61.92</v>
      </c>
      <c r="O352">
        <v>6789</v>
      </c>
    </row>
    <row r="353" spans="1:15" x14ac:dyDescent="0.2">
      <c r="A353">
        <v>36</v>
      </c>
      <c r="B353" t="str">
        <f>VLOOKUP(Table1[[#This Row],[CountyID]],[1]!Table1[#All],2,FALSE)</f>
        <v>Koochiching</v>
      </c>
      <c r="C353">
        <f>VLOOKUP(Table1[[#This Row],[CountyID]],[1]!Table1[#All],3,FALSE)</f>
        <v>22</v>
      </c>
      <c r="D353">
        <v>22</v>
      </c>
      <c r="E353">
        <f>Table1[[#This Row],[Number of Counties]]-Table1[[#This Row],[Number of precincts Reporting]]</f>
        <v>0</v>
      </c>
      <c r="F353" t="s">
        <v>0</v>
      </c>
      <c r="G353" t="s">
        <v>1</v>
      </c>
      <c r="H353">
        <v>101</v>
      </c>
      <c r="I353">
        <v>201</v>
      </c>
      <c r="J353" t="s">
        <v>4</v>
      </c>
      <c r="K353" t="s">
        <v>5</v>
      </c>
      <c r="L353">
        <v>22</v>
      </c>
      <c r="M353">
        <v>2465</v>
      </c>
      <c r="N353">
        <v>36.31</v>
      </c>
      <c r="O353">
        <v>6789</v>
      </c>
    </row>
    <row r="354" spans="1:15" x14ac:dyDescent="0.2">
      <c r="A354">
        <v>36</v>
      </c>
      <c r="B354" t="str">
        <f>VLOOKUP(Table1[[#This Row],[CountyID]],[1]!Table1[#All],2,FALSE)</f>
        <v>Koochiching</v>
      </c>
      <c r="C354">
        <f>VLOOKUP(Table1[[#This Row],[CountyID]],[1]!Table1[#All],3,FALSE)</f>
        <v>22</v>
      </c>
      <c r="D354">
        <v>22</v>
      </c>
      <c r="E354">
        <f>Table1[[#This Row],[Number of Counties]]-Table1[[#This Row],[Number of precincts Reporting]]</f>
        <v>0</v>
      </c>
      <c r="F354" t="s">
        <v>0</v>
      </c>
      <c r="G354" t="s">
        <v>1</v>
      </c>
      <c r="H354">
        <v>101</v>
      </c>
      <c r="I354">
        <v>301</v>
      </c>
      <c r="J354" t="s">
        <v>6</v>
      </c>
      <c r="K354" t="s">
        <v>7</v>
      </c>
      <c r="L354">
        <v>22</v>
      </c>
      <c r="M354">
        <v>25</v>
      </c>
      <c r="N354">
        <v>0.37</v>
      </c>
      <c r="O354">
        <v>6789</v>
      </c>
    </row>
    <row r="355" spans="1:15" x14ac:dyDescent="0.2">
      <c r="A355">
        <v>36</v>
      </c>
      <c r="B355" t="str">
        <f>VLOOKUP(Table1[[#This Row],[CountyID]],[1]!Table1[#All],2,FALSE)</f>
        <v>Koochiching</v>
      </c>
      <c r="C355">
        <f>VLOOKUP(Table1[[#This Row],[CountyID]],[1]!Table1[#All],3,FALSE)</f>
        <v>22</v>
      </c>
      <c r="D355">
        <v>22</v>
      </c>
      <c r="E355">
        <f>Table1[[#This Row],[Number of Counties]]-Table1[[#This Row],[Number of precincts Reporting]]</f>
        <v>0</v>
      </c>
      <c r="F355" t="s">
        <v>0</v>
      </c>
      <c r="G355" t="s">
        <v>1</v>
      </c>
      <c r="H355">
        <v>101</v>
      </c>
      <c r="I355">
        <v>401</v>
      </c>
      <c r="J355" t="s">
        <v>8</v>
      </c>
      <c r="K355" t="s">
        <v>9</v>
      </c>
      <c r="L355">
        <v>22</v>
      </c>
      <c r="M355">
        <v>52</v>
      </c>
      <c r="N355">
        <v>0.77</v>
      </c>
      <c r="O355">
        <v>6789</v>
      </c>
    </row>
    <row r="356" spans="1:15" x14ac:dyDescent="0.2">
      <c r="A356">
        <v>36</v>
      </c>
      <c r="B356" t="str">
        <f>VLOOKUP(Table1[[#This Row],[CountyID]],[1]!Table1[#All],2,FALSE)</f>
        <v>Koochiching</v>
      </c>
      <c r="C356">
        <f>VLOOKUP(Table1[[#This Row],[CountyID]],[1]!Table1[#All],3,FALSE)</f>
        <v>22</v>
      </c>
      <c r="D356">
        <v>22</v>
      </c>
      <c r="E356">
        <f>Table1[[#This Row],[Number of Counties]]-Table1[[#This Row],[Number of precincts Reporting]]</f>
        <v>0</v>
      </c>
      <c r="F356" t="s">
        <v>0</v>
      </c>
      <c r="G356" t="s">
        <v>1</v>
      </c>
      <c r="H356">
        <v>101</v>
      </c>
      <c r="I356">
        <v>501</v>
      </c>
      <c r="J356" t="s">
        <v>10</v>
      </c>
      <c r="K356" t="s">
        <v>11</v>
      </c>
      <c r="L356">
        <v>22</v>
      </c>
      <c r="M356">
        <v>20</v>
      </c>
      <c r="N356">
        <v>0.28999999999999998</v>
      </c>
      <c r="O356">
        <v>6789</v>
      </c>
    </row>
    <row r="357" spans="1:15" x14ac:dyDescent="0.2">
      <c r="A357">
        <v>36</v>
      </c>
      <c r="B357" t="str">
        <f>VLOOKUP(Table1[[#This Row],[CountyID]],[1]!Table1[#All],2,FALSE)</f>
        <v>Koochiching</v>
      </c>
      <c r="C357">
        <f>VLOOKUP(Table1[[#This Row],[CountyID]],[1]!Table1[#All],3,FALSE)</f>
        <v>22</v>
      </c>
      <c r="D357">
        <v>22</v>
      </c>
      <c r="E357">
        <f>Table1[[#This Row],[Number of Counties]]-Table1[[#This Row],[Number of precincts Reporting]]</f>
        <v>0</v>
      </c>
      <c r="F357" t="s">
        <v>0</v>
      </c>
      <c r="G357" t="s">
        <v>1</v>
      </c>
      <c r="H357">
        <v>101</v>
      </c>
      <c r="I357">
        <v>601</v>
      </c>
      <c r="J357" t="s">
        <v>12</v>
      </c>
      <c r="K357" t="s">
        <v>13</v>
      </c>
      <c r="L357">
        <v>22</v>
      </c>
      <c r="M357">
        <v>2</v>
      </c>
      <c r="N357">
        <v>0.03</v>
      </c>
      <c r="O357">
        <v>6789</v>
      </c>
    </row>
    <row r="358" spans="1:15" x14ac:dyDescent="0.2">
      <c r="A358">
        <v>36</v>
      </c>
      <c r="B358" t="str">
        <f>VLOOKUP(Table1[[#This Row],[CountyID]],[1]!Table1[#All],2,FALSE)</f>
        <v>Koochiching</v>
      </c>
      <c r="C358">
        <f>VLOOKUP(Table1[[#This Row],[CountyID]],[1]!Table1[#All],3,FALSE)</f>
        <v>22</v>
      </c>
      <c r="D358">
        <v>22</v>
      </c>
      <c r="E358">
        <f>Table1[[#This Row],[Number of Counties]]-Table1[[#This Row],[Number of precincts Reporting]]</f>
        <v>0</v>
      </c>
      <c r="F358" t="s">
        <v>0</v>
      </c>
      <c r="G358" t="s">
        <v>1</v>
      </c>
      <c r="H358">
        <v>101</v>
      </c>
      <c r="I358">
        <v>701</v>
      </c>
      <c r="J358" t="s">
        <v>14</v>
      </c>
      <c r="K358" t="s">
        <v>15</v>
      </c>
      <c r="L358">
        <v>22</v>
      </c>
      <c r="M358">
        <v>1</v>
      </c>
      <c r="N358">
        <v>0.01</v>
      </c>
      <c r="O358">
        <v>6789</v>
      </c>
    </row>
    <row r="359" spans="1:15" x14ac:dyDescent="0.2">
      <c r="A359">
        <v>36</v>
      </c>
      <c r="B359" t="str">
        <f>VLOOKUP(Table1[[#This Row],[CountyID]],[1]!Table1[#All],2,FALSE)</f>
        <v>Koochiching</v>
      </c>
      <c r="C359">
        <f>VLOOKUP(Table1[[#This Row],[CountyID]],[1]!Table1[#All],3,FALSE)</f>
        <v>22</v>
      </c>
      <c r="D359">
        <v>22</v>
      </c>
      <c r="E359">
        <f>Table1[[#This Row],[Number of Counties]]-Table1[[#This Row],[Number of precincts Reporting]]</f>
        <v>0</v>
      </c>
      <c r="F359" t="s">
        <v>0</v>
      </c>
      <c r="G359" t="s">
        <v>1</v>
      </c>
      <c r="H359">
        <v>101</v>
      </c>
      <c r="I359">
        <v>801</v>
      </c>
      <c r="J359" t="s">
        <v>16</v>
      </c>
      <c r="K359" t="s">
        <v>17</v>
      </c>
      <c r="L359">
        <v>22</v>
      </c>
      <c r="M359">
        <v>1</v>
      </c>
      <c r="N359">
        <v>0.01</v>
      </c>
      <c r="O359">
        <v>6789</v>
      </c>
    </row>
    <row r="360" spans="1:15" x14ac:dyDescent="0.2">
      <c r="A360">
        <v>36</v>
      </c>
      <c r="B360" t="str">
        <f>VLOOKUP(Table1[[#This Row],[CountyID]],[1]!Table1[#All],2,FALSE)</f>
        <v>Koochiching</v>
      </c>
      <c r="C360">
        <f>VLOOKUP(Table1[[#This Row],[CountyID]],[1]!Table1[#All],3,FALSE)</f>
        <v>22</v>
      </c>
      <c r="D360">
        <v>22</v>
      </c>
      <c r="E360">
        <f>Table1[[#This Row],[Number of Counties]]-Table1[[#This Row],[Number of precincts Reporting]]</f>
        <v>0</v>
      </c>
      <c r="F360" t="s">
        <v>0</v>
      </c>
      <c r="G360" t="s">
        <v>1</v>
      </c>
      <c r="H360">
        <v>101</v>
      </c>
      <c r="I360">
        <v>901</v>
      </c>
      <c r="J360" t="s">
        <v>18</v>
      </c>
      <c r="K360" t="s">
        <v>19</v>
      </c>
      <c r="L360">
        <v>22</v>
      </c>
      <c r="M360">
        <v>6</v>
      </c>
      <c r="N360">
        <v>0.09</v>
      </c>
      <c r="O360">
        <v>6789</v>
      </c>
    </row>
    <row r="361" spans="1:15" x14ac:dyDescent="0.2">
      <c r="A361">
        <v>36</v>
      </c>
      <c r="B361" t="str">
        <f>VLOOKUP(Table1[[#This Row],[CountyID]],[1]!Table1[#All],2,FALSE)</f>
        <v>Koochiching</v>
      </c>
      <c r="C361">
        <f>VLOOKUP(Table1[[#This Row],[CountyID]],[1]!Table1[#All],3,FALSE)</f>
        <v>22</v>
      </c>
      <c r="D361">
        <v>22</v>
      </c>
      <c r="E361">
        <f>Table1[[#This Row],[Number of Counties]]-Table1[[#This Row],[Number of precincts Reporting]]</f>
        <v>0</v>
      </c>
      <c r="F361" t="s">
        <v>0</v>
      </c>
      <c r="G361" t="s">
        <v>1</v>
      </c>
      <c r="H361">
        <v>101</v>
      </c>
      <c r="I361">
        <v>9901</v>
      </c>
      <c r="J361" t="s">
        <v>20</v>
      </c>
      <c r="K361" t="s">
        <v>21</v>
      </c>
      <c r="L361">
        <v>22</v>
      </c>
      <c r="M361">
        <v>13</v>
      </c>
      <c r="N361">
        <v>0.19</v>
      </c>
      <c r="O361">
        <v>6789</v>
      </c>
    </row>
    <row r="362" spans="1:15" x14ac:dyDescent="0.2">
      <c r="A362">
        <v>37</v>
      </c>
      <c r="B362" t="str">
        <f>VLOOKUP(Table1[[#This Row],[CountyID]],[1]!Table1[#All],2,FALSE)</f>
        <v>Lac Qui Parle</v>
      </c>
      <c r="C362">
        <f>VLOOKUP(Table1[[#This Row],[CountyID]],[1]!Table1[#All],3,FALSE)</f>
        <v>29</v>
      </c>
      <c r="D362">
        <v>29</v>
      </c>
      <c r="E362">
        <f>Table1[[#This Row],[Number of Counties]]-Table1[[#This Row],[Number of precincts Reporting]]</f>
        <v>0</v>
      </c>
      <c r="F362" t="s">
        <v>0</v>
      </c>
      <c r="G362" t="s">
        <v>1</v>
      </c>
      <c r="H362">
        <v>101</v>
      </c>
      <c r="I362">
        <v>101</v>
      </c>
      <c r="J362" t="s">
        <v>2</v>
      </c>
      <c r="K362" t="s">
        <v>3</v>
      </c>
      <c r="L362">
        <v>29</v>
      </c>
      <c r="M362">
        <v>2600</v>
      </c>
      <c r="N362">
        <v>65.069999999999993</v>
      </c>
      <c r="O362">
        <v>3996</v>
      </c>
    </row>
    <row r="363" spans="1:15" x14ac:dyDescent="0.2">
      <c r="A363">
        <v>37</v>
      </c>
      <c r="B363" t="str">
        <f>VLOOKUP(Table1[[#This Row],[CountyID]],[1]!Table1[#All],2,FALSE)</f>
        <v>Lac Qui Parle</v>
      </c>
      <c r="C363">
        <f>VLOOKUP(Table1[[#This Row],[CountyID]],[1]!Table1[#All],3,FALSE)</f>
        <v>29</v>
      </c>
      <c r="D363">
        <v>29</v>
      </c>
      <c r="E363">
        <f>Table1[[#This Row],[Number of Counties]]-Table1[[#This Row],[Number of precincts Reporting]]</f>
        <v>0</v>
      </c>
      <c r="F363" t="s">
        <v>0</v>
      </c>
      <c r="G363" t="s">
        <v>1</v>
      </c>
      <c r="H363">
        <v>101</v>
      </c>
      <c r="I363">
        <v>201</v>
      </c>
      <c r="J363" t="s">
        <v>4</v>
      </c>
      <c r="K363" t="s">
        <v>5</v>
      </c>
      <c r="L363">
        <v>29</v>
      </c>
      <c r="M363">
        <v>1314</v>
      </c>
      <c r="N363">
        <v>32.880000000000003</v>
      </c>
      <c r="O363">
        <v>3996</v>
      </c>
    </row>
    <row r="364" spans="1:15" x14ac:dyDescent="0.2">
      <c r="A364">
        <v>37</v>
      </c>
      <c r="B364" t="str">
        <f>VLOOKUP(Table1[[#This Row],[CountyID]],[1]!Table1[#All],2,FALSE)</f>
        <v>Lac Qui Parle</v>
      </c>
      <c r="C364">
        <f>VLOOKUP(Table1[[#This Row],[CountyID]],[1]!Table1[#All],3,FALSE)</f>
        <v>29</v>
      </c>
      <c r="D364">
        <v>29</v>
      </c>
      <c r="E364">
        <f>Table1[[#This Row],[Number of Counties]]-Table1[[#This Row],[Number of precincts Reporting]]</f>
        <v>0</v>
      </c>
      <c r="F364" t="s">
        <v>0</v>
      </c>
      <c r="G364" t="s">
        <v>1</v>
      </c>
      <c r="H364">
        <v>101</v>
      </c>
      <c r="I364">
        <v>301</v>
      </c>
      <c r="J364" t="s">
        <v>6</v>
      </c>
      <c r="K364" t="s">
        <v>7</v>
      </c>
      <c r="L364">
        <v>29</v>
      </c>
      <c r="M364">
        <v>15</v>
      </c>
      <c r="N364">
        <v>0.38</v>
      </c>
      <c r="O364">
        <v>3996</v>
      </c>
    </row>
    <row r="365" spans="1:15" x14ac:dyDescent="0.2">
      <c r="A365">
        <v>37</v>
      </c>
      <c r="B365" t="str">
        <f>VLOOKUP(Table1[[#This Row],[CountyID]],[1]!Table1[#All],2,FALSE)</f>
        <v>Lac Qui Parle</v>
      </c>
      <c r="C365">
        <f>VLOOKUP(Table1[[#This Row],[CountyID]],[1]!Table1[#All],3,FALSE)</f>
        <v>29</v>
      </c>
      <c r="D365">
        <v>29</v>
      </c>
      <c r="E365">
        <f>Table1[[#This Row],[Number of Counties]]-Table1[[#This Row],[Number of precincts Reporting]]</f>
        <v>0</v>
      </c>
      <c r="F365" t="s">
        <v>0</v>
      </c>
      <c r="G365" t="s">
        <v>1</v>
      </c>
      <c r="H365">
        <v>101</v>
      </c>
      <c r="I365">
        <v>401</v>
      </c>
      <c r="J365" t="s">
        <v>8</v>
      </c>
      <c r="K365" t="s">
        <v>9</v>
      </c>
      <c r="L365">
        <v>29</v>
      </c>
      <c r="M365">
        <v>38</v>
      </c>
      <c r="N365">
        <v>0.95</v>
      </c>
      <c r="O365">
        <v>3996</v>
      </c>
    </row>
    <row r="366" spans="1:15" x14ac:dyDescent="0.2">
      <c r="A366">
        <v>37</v>
      </c>
      <c r="B366" t="str">
        <f>VLOOKUP(Table1[[#This Row],[CountyID]],[1]!Table1[#All],2,FALSE)</f>
        <v>Lac Qui Parle</v>
      </c>
      <c r="C366">
        <f>VLOOKUP(Table1[[#This Row],[CountyID]],[1]!Table1[#All],3,FALSE)</f>
        <v>29</v>
      </c>
      <c r="D366">
        <v>29</v>
      </c>
      <c r="E366">
        <f>Table1[[#This Row],[Number of Counties]]-Table1[[#This Row],[Number of precincts Reporting]]</f>
        <v>0</v>
      </c>
      <c r="F366" t="s">
        <v>0</v>
      </c>
      <c r="G366" t="s">
        <v>1</v>
      </c>
      <c r="H366">
        <v>101</v>
      </c>
      <c r="I366">
        <v>501</v>
      </c>
      <c r="J366" t="s">
        <v>10</v>
      </c>
      <c r="K366" t="s">
        <v>11</v>
      </c>
      <c r="L366">
        <v>29</v>
      </c>
      <c r="M366">
        <v>10</v>
      </c>
      <c r="N366">
        <v>0.25</v>
      </c>
      <c r="O366">
        <v>3996</v>
      </c>
    </row>
    <row r="367" spans="1:15" x14ac:dyDescent="0.2">
      <c r="A367">
        <v>37</v>
      </c>
      <c r="B367" t="str">
        <f>VLOOKUP(Table1[[#This Row],[CountyID]],[1]!Table1[#All],2,FALSE)</f>
        <v>Lac Qui Parle</v>
      </c>
      <c r="C367">
        <f>VLOOKUP(Table1[[#This Row],[CountyID]],[1]!Table1[#All],3,FALSE)</f>
        <v>29</v>
      </c>
      <c r="D367">
        <v>29</v>
      </c>
      <c r="E367">
        <f>Table1[[#This Row],[Number of Counties]]-Table1[[#This Row],[Number of precincts Reporting]]</f>
        <v>0</v>
      </c>
      <c r="F367" t="s">
        <v>0</v>
      </c>
      <c r="G367" t="s">
        <v>1</v>
      </c>
      <c r="H367">
        <v>101</v>
      </c>
      <c r="I367">
        <v>601</v>
      </c>
      <c r="J367" t="s">
        <v>12</v>
      </c>
      <c r="K367" t="s">
        <v>13</v>
      </c>
      <c r="L367">
        <v>29</v>
      </c>
      <c r="M367">
        <v>2</v>
      </c>
      <c r="N367">
        <v>0.05</v>
      </c>
      <c r="O367">
        <v>3996</v>
      </c>
    </row>
    <row r="368" spans="1:15" x14ac:dyDescent="0.2">
      <c r="A368">
        <v>37</v>
      </c>
      <c r="B368" t="str">
        <f>VLOOKUP(Table1[[#This Row],[CountyID]],[1]!Table1[#All],2,FALSE)</f>
        <v>Lac Qui Parle</v>
      </c>
      <c r="C368">
        <f>VLOOKUP(Table1[[#This Row],[CountyID]],[1]!Table1[#All],3,FALSE)</f>
        <v>29</v>
      </c>
      <c r="D368">
        <v>29</v>
      </c>
      <c r="E368">
        <f>Table1[[#This Row],[Number of Counties]]-Table1[[#This Row],[Number of precincts Reporting]]</f>
        <v>0</v>
      </c>
      <c r="F368" t="s">
        <v>0</v>
      </c>
      <c r="G368" t="s">
        <v>1</v>
      </c>
      <c r="H368">
        <v>101</v>
      </c>
      <c r="I368">
        <v>701</v>
      </c>
      <c r="J368" t="s">
        <v>14</v>
      </c>
      <c r="K368" t="s">
        <v>15</v>
      </c>
      <c r="L368">
        <v>29</v>
      </c>
      <c r="M368">
        <v>0</v>
      </c>
      <c r="N368">
        <v>0</v>
      </c>
      <c r="O368">
        <v>3996</v>
      </c>
    </row>
    <row r="369" spans="1:15" x14ac:dyDescent="0.2">
      <c r="A369">
        <v>37</v>
      </c>
      <c r="B369" t="str">
        <f>VLOOKUP(Table1[[#This Row],[CountyID]],[1]!Table1[#All],2,FALSE)</f>
        <v>Lac Qui Parle</v>
      </c>
      <c r="C369">
        <f>VLOOKUP(Table1[[#This Row],[CountyID]],[1]!Table1[#All],3,FALSE)</f>
        <v>29</v>
      </c>
      <c r="D369">
        <v>29</v>
      </c>
      <c r="E369">
        <f>Table1[[#This Row],[Number of Counties]]-Table1[[#This Row],[Number of precincts Reporting]]</f>
        <v>0</v>
      </c>
      <c r="F369" t="s">
        <v>0</v>
      </c>
      <c r="G369" t="s">
        <v>1</v>
      </c>
      <c r="H369">
        <v>101</v>
      </c>
      <c r="I369">
        <v>801</v>
      </c>
      <c r="J369" t="s">
        <v>16</v>
      </c>
      <c r="K369" t="s">
        <v>17</v>
      </c>
      <c r="L369">
        <v>29</v>
      </c>
      <c r="M369">
        <v>5</v>
      </c>
      <c r="N369">
        <v>0.13</v>
      </c>
      <c r="O369">
        <v>3996</v>
      </c>
    </row>
    <row r="370" spans="1:15" x14ac:dyDescent="0.2">
      <c r="A370">
        <v>37</v>
      </c>
      <c r="B370" t="str">
        <f>VLOOKUP(Table1[[#This Row],[CountyID]],[1]!Table1[#All],2,FALSE)</f>
        <v>Lac Qui Parle</v>
      </c>
      <c r="C370">
        <f>VLOOKUP(Table1[[#This Row],[CountyID]],[1]!Table1[#All],3,FALSE)</f>
        <v>29</v>
      </c>
      <c r="D370">
        <v>29</v>
      </c>
      <c r="E370">
        <f>Table1[[#This Row],[Number of Counties]]-Table1[[#This Row],[Number of precincts Reporting]]</f>
        <v>0</v>
      </c>
      <c r="F370" t="s">
        <v>0</v>
      </c>
      <c r="G370" t="s">
        <v>1</v>
      </c>
      <c r="H370">
        <v>101</v>
      </c>
      <c r="I370">
        <v>901</v>
      </c>
      <c r="J370" t="s">
        <v>18</v>
      </c>
      <c r="K370" t="s">
        <v>19</v>
      </c>
      <c r="L370">
        <v>29</v>
      </c>
      <c r="M370">
        <v>5</v>
      </c>
      <c r="N370">
        <v>0.13</v>
      </c>
      <c r="O370">
        <v>3996</v>
      </c>
    </row>
    <row r="371" spans="1:15" x14ac:dyDescent="0.2">
      <c r="A371">
        <v>37</v>
      </c>
      <c r="B371" t="str">
        <f>VLOOKUP(Table1[[#This Row],[CountyID]],[1]!Table1[#All],2,FALSE)</f>
        <v>Lac Qui Parle</v>
      </c>
      <c r="C371">
        <f>VLOOKUP(Table1[[#This Row],[CountyID]],[1]!Table1[#All],3,FALSE)</f>
        <v>29</v>
      </c>
      <c r="D371">
        <v>29</v>
      </c>
      <c r="E371">
        <f>Table1[[#This Row],[Number of Counties]]-Table1[[#This Row],[Number of precincts Reporting]]</f>
        <v>0</v>
      </c>
      <c r="F371" t="s">
        <v>0</v>
      </c>
      <c r="G371" t="s">
        <v>1</v>
      </c>
      <c r="H371">
        <v>101</v>
      </c>
      <c r="I371">
        <v>9901</v>
      </c>
      <c r="J371" t="s">
        <v>20</v>
      </c>
      <c r="K371" t="s">
        <v>21</v>
      </c>
      <c r="L371">
        <v>29</v>
      </c>
      <c r="M371">
        <v>7</v>
      </c>
      <c r="N371">
        <v>0.18</v>
      </c>
      <c r="O371">
        <v>3996</v>
      </c>
    </row>
    <row r="372" spans="1:15" x14ac:dyDescent="0.2">
      <c r="A372">
        <v>38</v>
      </c>
      <c r="B372" t="str">
        <f>VLOOKUP(Table1[[#This Row],[CountyID]],[1]!Table1[#All],2,FALSE)</f>
        <v>Lake</v>
      </c>
      <c r="C372">
        <f>VLOOKUP(Table1[[#This Row],[CountyID]],[1]!Table1[#All],3,FALSE)</f>
        <v>19</v>
      </c>
      <c r="D372">
        <v>19</v>
      </c>
      <c r="E372">
        <f>Table1[[#This Row],[Number of Counties]]-Table1[[#This Row],[Number of precincts Reporting]]</f>
        <v>0</v>
      </c>
      <c r="F372" t="s">
        <v>0</v>
      </c>
      <c r="G372" t="s">
        <v>1</v>
      </c>
      <c r="H372">
        <v>101</v>
      </c>
      <c r="I372">
        <v>101</v>
      </c>
      <c r="J372" t="s">
        <v>2</v>
      </c>
      <c r="K372" t="s">
        <v>3</v>
      </c>
      <c r="L372">
        <v>19</v>
      </c>
      <c r="M372">
        <v>3265</v>
      </c>
      <c r="N372">
        <v>46.95</v>
      </c>
      <c r="O372">
        <v>6954</v>
      </c>
    </row>
    <row r="373" spans="1:15" x14ac:dyDescent="0.2">
      <c r="A373">
        <v>38</v>
      </c>
      <c r="B373" t="str">
        <f>VLOOKUP(Table1[[#This Row],[CountyID]],[1]!Table1[#All],2,FALSE)</f>
        <v>Lake</v>
      </c>
      <c r="C373">
        <f>VLOOKUP(Table1[[#This Row],[CountyID]],[1]!Table1[#All],3,FALSE)</f>
        <v>19</v>
      </c>
      <c r="D373">
        <v>19</v>
      </c>
      <c r="E373">
        <f>Table1[[#This Row],[Number of Counties]]-Table1[[#This Row],[Number of precincts Reporting]]</f>
        <v>0</v>
      </c>
      <c r="F373" t="s">
        <v>0</v>
      </c>
      <c r="G373" t="s">
        <v>1</v>
      </c>
      <c r="H373">
        <v>101</v>
      </c>
      <c r="I373">
        <v>201</v>
      </c>
      <c r="J373" t="s">
        <v>4</v>
      </c>
      <c r="K373" t="s">
        <v>5</v>
      </c>
      <c r="L373">
        <v>19</v>
      </c>
      <c r="M373">
        <v>3534</v>
      </c>
      <c r="N373">
        <v>50.82</v>
      </c>
      <c r="O373">
        <v>6954</v>
      </c>
    </row>
    <row r="374" spans="1:15" x14ac:dyDescent="0.2">
      <c r="A374">
        <v>38</v>
      </c>
      <c r="B374" t="str">
        <f>VLOOKUP(Table1[[#This Row],[CountyID]],[1]!Table1[#All],2,FALSE)</f>
        <v>Lake</v>
      </c>
      <c r="C374">
        <f>VLOOKUP(Table1[[#This Row],[CountyID]],[1]!Table1[#All],3,FALSE)</f>
        <v>19</v>
      </c>
      <c r="D374">
        <v>19</v>
      </c>
      <c r="E374">
        <f>Table1[[#This Row],[Number of Counties]]-Table1[[#This Row],[Number of precincts Reporting]]</f>
        <v>0</v>
      </c>
      <c r="F374" t="s">
        <v>0</v>
      </c>
      <c r="G374" t="s">
        <v>1</v>
      </c>
      <c r="H374">
        <v>101</v>
      </c>
      <c r="I374">
        <v>301</v>
      </c>
      <c r="J374" t="s">
        <v>6</v>
      </c>
      <c r="K374" t="s">
        <v>7</v>
      </c>
      <c r="L374">
        <v>19</v>
      </c>
      <c r="M374">
        <v>28</v>
      </c>
      <c r="N374">
        <v>0.4</v>
      </c>
      <c r="O374">
        <v>6954</v>
      </c>
    </row>
    <row r="375" spans="1:15" x14ac:dyDescent="0.2">
      <c r="A375">
        <v>38</v>
      </c>
      <c r="B375" t="str">
        <f>VLOOKUP(Table1[[#This Row],[CountyID]],[1]!Table1[#All],2,FALSE)</f>
        <v>Lake</v>
      </c>
      <c r="C375">
        <f>VLOOKUP(Table1[[#This Row],[CountyID]],[1]!Table1[#All],3,FALSE)</f>
        <v>19</v>
      </c>
      <c r="D375">
        <v>19</v>
      </c>
      <c r="E375">
        <f>Table1[[#This Row],[Number of Counties]]-Table1[[#This Row],[Number of precincts Reporting]]</f>
        <v>0</v>
      </c>
      <c r="F375" t="s">
        <v>0</v>
      </c>
      <c r="G375" t="s">
        <v>1</v>
      </c>
      <c r="H375">
        <v>101</v>
      </c>
      <c r="I375">
        <v>401</v>
      </c>
      <c r="J375" t="s">
        <v>8</v>
      </c>
      <c r="K375" t="s">
        <v>9</v>
      </c>
      <c r="L375">
        <v>19</v>
      </c>
      <c r="M375">
        <v>57</v>
      </c>
      <c r="N375">
        <v>0.82</v>
      </c>
      <c r="O375">
        <v>6954</v>
      </c>
    </row>
    <row r="376" spans="1:15" x14ac:dyDescent="0.2">
      <c r="A376">
        <v>38</v>
      </c>
      <c r="B376" t="str">
        <f>VLOOKUP(Table1[[#This Row],[CountyID]],[1]!Table1[#All],2,FALSE)</f>
        <v>Lake</v>
      </c>
      <c r="C376">
        <f>VLOOKUP(Table1[[#This Row],[CountyID]],[1]!Table1[#All],3,FALSE)</f>
        <v>19</v>
      </c>
      <c r="D376">
        <v>19</v>
      </c>
      <c r="E376">
        <f>Table1[[#This Row],[Number of Counties]]-Table1[[#This Row],[Number of precincts Reporting]]</f>
        <v>0</v>
      </c>
      <c r="F376" t="s">
        <v>0</v>
      </c>
      <c r="G376" t="s">
        <v>1</v>
      </c>
      <c r="H376">
        <v>101</v>
      </c>
      <c r="I376">
        <v>501</v>
      </c>
      <c r="J376" t="s">
        <v>10</v>
      </c>
      <c r="K376" t="s">
        <v>11</v>
      </c>
      <c r="L376">
        <v>19</v>
      </c>
      <c r="M376">
        <v>30</v>
      </c>
      <c r="N376">
        <v>0.43</v>
      </c>
      <c r="O376">
        <v>6954</v>
      </c>
    </row>
    <row r="377" spans="1:15" x14ac:dyDescent="0.2">
      <c r="A377">
        <v>38</v>
      </c>
      <c r="B377" t="str">
        <f>VLOOKUP(Table1[[#This Row],[CountyID]],[1]!Table1[#All],2,FALSE)</f>
        <v>Lake</v>
      </c>
      <c r="C377">
        <f>VLOOKUP(Table1[[#This Row],[CountyID]],[1]!Table1[#All],3,FALSE)</f>
        <v>19</v>
      </c>
      <c r="D377">
        <v>19</v>
      </c>
      <c r="E377">
        <f>Table1[[#This Row],[Number of Counties]]-Table1[[#This Row],[Number of precincts Reporting]]</f>
        <v>0</v>
      </c>
      <c r="F377" t="s">
        <v>0</v>
      </c>
      <c r="G377" t="s">
        <v>1</v>
      </c>
      <c r="H377">
        <v>101</v>
      </c>
      <c r="I377">
        <v>601</v>
      </c>
      <c r="J377" t="s">
        <v>12</v>
      </c>
      <c r="K377" t="s">
        <v>13</v>
      </c>
      <c r="L377">
        <v>19</v>
      </c>
      <c r="M377">
        <v>4</v>
      </c>
      <c r="N377">
        <v>0.06</v>
      </c>
      <c r="O377">
        <v>6954</v>
      </c>
    </row>
    <row r="378" spans="1:15" x14ac:dyDescent="0.2">
      <c r="A378">
        <v>38</v>
      </c>
      <c r="B378" t="str">
        <f>VLOOKUP(Table1[[#This Row],[CountyID]],[1]!Table1[#All],2,FALSE)</f>
        <v>Lake</v>
      </c>
      <c r="C378">
        <f>VLOOKUP(Table1[[#This Row],[CountyID]],[1]!Table1[#All],3,FALSE)</f>
        <v>19</v>
      </c>
      <c r="D378">
        <v>19</v>
      </c>
      <c r="E378">
        <f>Table1[[#This Row],[Number of Counties]]-Table1[[#This Row],[Number of precincts Reporting]]</f>
        <v>0</v>
      </c>
      <c r="F378" t="s">
        <v>0</v>
      </c>
      <c r="G378" t="s">
        <v>1</v>
      </c>
      <c r="H378">
        <v>101</v>
      </c>
      <c r="I378">
        <v>701</v>
      </c>
      <c r="J378" t="s">
        <v>14</v>
      </c>
      <c r="K378" t="s">
        <v>15</v>
      </c>
      <c r="L378">
        <v>19</v>
      </c>
      <c r="M378">
        <v>0</v>
      </c>
      <c r="N378">
        <v>0</v>
      </c>
      <c r="O378">
        <v>6954</v>
      </c>
    </row>
    <row r="379" spans="1:15" x14ac:dyDescent="0.2">
      <c r="A379">
        <v>38</v>
      </c>
      <c r="B379" t="str">
        <f>VLOOKUP(Table1[[#This Row],[CountyID]],[1]!Table1[#All],2,FALSE)</f>
        <v>Lake</v>
      </c>
      <c r="C379">
        <f>VLOOKUP(Table1[[#This Row],[CountyID]],[1]!Table1[#All],3,FALSE)</f>
        <v>19</v>
      </c>
      <c r="D379">
        <v>19</v>
      </c>
      <c r="E379">
        <f>Table1[[#This Row],[Number of Counties]]-Table1[[#This Row],[Number of precincts Reporting]]</f>
        <v>0</v>
      </c>
      <c r="F379" t="s">
        <v>0</v>
      </c>
      <c r="G379" t="s">
        <v>1</v>
      </c>
      <c r="H379">
        <v>101</v>
      </c>
      <c r="I379">
        <v>801</v>
      </c>
      <c r="J379" t="s">
        <v>16</v>
      </c>
      <c r="K379" t="s">
        <v>17</v>
      </c>
      <c r="L379">
        <v>19</v>
      </c>
      <c r="M379">
        <v>5</v>
      </c>
      <c r="N379">
        <v>7.0000000000000007E-2</v>
      </c>
      <c r="O379">
        <v>6954</v>
      </c>
    </row>
    <row r="380" spans="1:15" x14ac:dyDescent="0.2">
      <c r="A380">
        <v>38</v>
      </c>
      <c r="B380" t="str">
        <f>VLOOKUP(Table1[[#This Row],[CountyID]],[1]!Table1[#All],2,FALSE)</f>
        <v>Lake</v>
      </c>
      <c r="C380">
        <f>VLOOKUP(Table1[[#This Row],[CountyID]],[1]!Table1[#All],3,FALSE)</f>
        <v>19</v>
      </c>
      <c r="D380">
        <v>19</v>
      </c>
      <c r="E380">
        <f>Table1[[#This Row],[Number of Counties]]-Table1[[#This Row],[Number of precincts Reporting]]</f>
        <v>0</v>
      </c>
      <c r="F380" t="s">
        <v>0</v>
      </c>
      <c r="G380" t="s">
        <v>1</v>
      </c>
      <c r="H380">
        <v>101</v>
      </c>
      <c r="I380">
        <v>901</v>
      </c>
      <c r="J380" t="s">
        <v>18</v>
      </c>
      <c r="K380" t="s">
        <v>19</v>
      </c>
      <c r="L380">
        <v>19</v>
      </c>
      <c r="M380">
        <v>6</v>
      </c>
      <c r="N380">
        <v>0.09</v>
      </c>
      <c r="O380">
        <v>6954</v>
      </c>
    </row>
    <row r="381" spans="1:15" x14ac:dyDescent="0.2">
      <c r="A381">
        <v>38</v>
      </c>
      <c r="B381" t="str">
        <f>VLOOKUP(Table1[[#This Row],[CountyID]],[1]!Table1[#All],2,FALSE)</f>
        <v>Lake</v>
      </c>
      <c r="C381">
        <f>VLOOKUP(Table1[[#This Row],[CountyID]],[1]!Table1[#All],3,FALSE)</f>
        <v>19</v>
      </c>
      <c r="D381">
        <v>19</v>
      </c>
      <c r="E381">
        <f>Table1[[#This Row],[Number of Counties]]-Table1[[#This Row],[Number of precincts Reporting]]</f>
        <v>0</v>
      </c>
      <c r="F381" t="s">
        <v>0</v>
      </c>
      <c r="G381" t="s">
        <v>1</v>
      </c>
      <c r="H381">
        <v>101</v>
      </c>
      <c r="I381">
        <v>9901</v>
      </c>
      <c r="J381" t="s">
        <v>20</v>
      </c>
      <c r="K381" t="s">
        <v>21</v>
      </c>
      <c r="L381">
        <v>19</v>
      </c>
      <c r="M381">
        <v>25</v>
      </c>
      <c r="N381">
        <v>0.36</v>
      </c>
      <c r="O381">
        <v>6954</v>
      </c>
    </row>
    <row r="382" spans="1:15" x14ac:dyDescent="0.2">
      <c r="A382">
        <v>39</v>
      </c>
      <c r="B382" t="str">
        <f>VLOOKUP(Table1[[#This Row],[CountyID]],[1]!Table1[#All],2,FALSE)</f>
        <v>Lake Of The Woods</v>
      </c>
      <c r="C382">
        <f>VLOOKUP(Table1[[#This Row],[CountyID]],[1]!Table1[#All],3,FALSE)</f>
        <v>17</v>
      </c>
      <c r="D382">
        <v>17</v>
      </c>
      <c r="E382">
        <f>Table1[[#This Row],[Number of Counties]]-Table1[[#This Row],[Number of precincts Reporting]]</f>
        <v>0</v>
      </c>
      <c r="F382" t="s">
        <v>0</v>
      </c>
      <c r="G382" t="s">
        <v>1</v>
      </c>
      <c r="H382">
        <v>101</v>
      </c>
      <c r="I382">
        <v>101</v>
      </c>
      <c r="J382" t="s">
        <v>2</v>
      </c>
      <c r="K382" t="s">
        <v>3</v>
      </c>
      <c r="L382">
        <v>17</v>
      </c>
      <c r="M382">
        <v>1710</v>
      </c>
      <c r="N382">
        <v>72.86</v>
      </c>
      <c r="O382">
        <v>2347</v>
      </c>
    </row>
    <row r="383" spans="1:15" x14ac:dyDescent="0.2">
      <c r="A383">
        <v>39</v>
      </c>
      <c r="B383" t="str">
        <f>VLOOKUP(Table1[[#This Row],[CountyID]],[1]!Table1[#All],2,FALSE)</f>
        <v>Lake Of The Woods</v>
      </c>
      <c r="C383">
        <f>VLOOKUP(Table1[[#This Row],[CountyID]],[1]!Table1[#All],3,FALSE)</f>
        <v>17</v>
      </c>
      <c r="D383">
        <v>17</v>
      </c>
      <c r="E383">
        <f>Table1[[#This Row],[Number of Counties]]-Table1[[#This Row],[Number of precincts Reporting]]</f>
        <v>0</v>
      </c>
      <c r="F383" t="s">
        <v>0</v>
      </c>
      <c r="G383" t="s">
        <v>1</v>
      </c>
      <c r="H383">
        <v>101</v>
      </c>
      <c r="I383">
        <v>201</v>
      </c>
      <c r="J383" t="s">
        <v>4</v>
      </c>
      <c r="K383" t="s">
        <v>5</v>
      </c>
      <c r="L383">
        <v>17</v>
      </c>
      <c r="M383">
        <v>604</v>
      </c>
      <c r="N383">
        <v>25.73</v>
      </c>
      <c r="O383">
        <v>2347</v>
      </c>
    </row>
    <row r="384" spans="1:15" x14ac:dyDescent="0.2">
      <c r="A384">
        <v>39</v>
      </c>
      <c r="B384" t="str">
        <f>VLOOKUP(Table1[[#This Row],[CountyID]],[1]!Table1[#All],2,FALSE)</f>
        <v>Lake Of The Woods</v>
      </c>
      <c r="C384">
        <f>VLOOKUP(Table1[[#This Row],[CountyID]],[1]!Table1[#All],3,FALSE)</f>
        <v>17</v>
      </c>
      <c r="D384">
        <v>17</v>
      </c>
      <c r="E384">
        <f>Table1[[#This Row],[Number of Counties]]-Table1[[#This Row],[Number of precincts Reporting]]</f>
        <v>0</v>
      </c>
      <c r="F384" t="s">
        <v>0</v>
      </c>
      <c r="G384" t="s">
        <v>1</v>
      </c>
      <c r="H384">
        <v>101</v>
      </c>
      <c r="I384">
        <v>301</v>
      </c>
      <c r="J384" t="s">
        <v>6</v>
      </c>
      <c r="K384" t="s">
        <v>7</v>
      </c>
      <c r="L384">
        <v>17</v>
      </c>
      <c r="M384">
        <v>11</v>
      </c>
      <c r="N384">
        <v>0.47</v>
      </c>
      <c r="O384">
        <v>2347</v>
      </c>
    </row>
    <row r="385" spans="1:15" x14ac:dyDescent="0.2">
      <c r="A385">
        <v>39</v>
      </c>
      <c r="B385" t="str">
        <f>VLOOKUP(Table1[[#This Row],[CountyID]],[1]!Table1[#All],2,FALSE)</f>
        <v>Lake Of The Woods</v>
      </c>
      <c r="C385">
        <f>VLOOKUP(Table1[[#This Row],[CountyID]],[1]!Table1[#All],3,FALSE)</f>
        <v>17</v>
      </c>
      <c r="D385">
        <v>17</v>
      </c>
      <c r="E385">
        <f>Table1[[#This Row],[Number of Counties]]-Table1[[#This Row],[Number of precincts Reporting]]</f>
        <v>0</v>
      </c>
      <c r="F385" t="s">
        <v>0</v>
      </c>
      <c r="G385" t="s">
        <v>1</v>
      </c>
      <c r="H385">
        <v>101</v>
      </c>
      <c r="I385">
        <v>401</v>
      </c>
      <c r="J385" t="s">
        <v>8</v>
      </c>
      <c r="K385" t="s">
        <v>9</v>
      </c>
      <c r="L385">
        <v>17</v>
      </c>
      <c r="M385">
        <v>17</v>
      </c>
      <c r="N385">
        <v>0.72</v>
      </c>
      <c r="O385">
        <v>2347</v>
      </c>
    </row>
    <row r="386" spans="1:15" x14ac:dyDescent="0.2">
      <c r="A386">
        <v>39</v>
      </c>
      <c r="B386" t="str">
        <f>VLOOKUP(Table1[[#This Row],[CountyID]],[1]!Table1[#All],2,FALSE)</f>
        <v>Lake Of The Woods</v>
      </c>
      <c r="C386">
        <f>VLOOKUP(Table1[[#This Row],[CountyID]],[1]!Table1[#All],3,FALSE)</f>
        <v>17</v>
      </c>
      <c r="D386">
        <v>17</v>
      </c>
      <c r="E386">
        <f>Table1[[#This Row],[Number of Counties]]-Table1[[#This Row],[Number of precincts Reporting]]</f>
        <v>0</v>
      </c>
      <c r="F386" t="s">
        <v>0</v>
      </c>
      <c r="G386" t="s">
        <v>1</v>
      </c>
      <c r="H386">
        <v>101</v>
      </c>
      <c r="I386">
        <v>501</v>
      </c>
      <c r="J386" t="s">
        <v>10</v>
      </c>
      <c r="K386" t="s">
        <v>11</v>
      </c>
      <c r="L386">
        <v>17</v>
      </c>
      <c r="M386">
        <v>4</v>
      </c>
      <c r="N386">
        <v>0.17</v>
      </c>
      <c r="O386">
        <v>2347</v>
      </c>
    </row>
    <row r="387" spans="1:15" x14ac:dyDescent="0.2">
      <c r="A387">
        <v>39</v>
      </c>
      <c r="B387" t="str">
        <f>VLOOKUP(Table1[[#This Row],[CountyID]],[1]!Table1[#All],2,FALSE)</f>
        <v>Lake Of The Woods</v>
      </c>
      <c r="C387">
        <f>VLOOKUP(Table1[[#This Row],[CountyID]],[1]!Table1[#All],3,FALSE)</f>
        <v>17</v>
      </c>
      <c r="D387">
        <v>17</v>
      </c>
      <c r="E387">
        <f>Table1[[#This Row],[Number of Counties]]-Table1[[#This Row],[Number of precincts Reporting]]</f>
        <v>0</v>
      </c>
      <c r="F387" t="s">
        <v>0</v>
      </c>
      <c r="G387" t="s">
        <v>1</v>
      </c>
      <c r="H387">
        <v>101</v>
      </c>
      <c r="I387">
        <v>601</v>
      </c>
      <c r="J387" t="s">
        <v>12</v>
      </c>
      <c r="K387" t="s">
        <v>13</v>
      </c>
      <c r="L387">
        <v>17</v>
      </c>
      <c r="M387">
        <v>0</v>
      </c>
      <c r="N387">
        <v>0</v>
      </c>
      <c r="O387">
        <v>2347</v>
      </c>
    </row>
    <row r="388" spans="1:15" x14ac:dyDescent="0.2">
      <c r="A388">
        <v>39</v>
      </c>
      <c r="B388" t="str">
        <f>VLOOKUP(Table1[[#This Row],[CountyID]],[1]!Table1[#All],2,FALSE)</f>
        <v>Lake Of The Woods</v>
      </c>
      <c r="C388">
        <f>VLOOKUP(Table1[[#This Row],[CountyID]],[1]!Table1[#All],3,FALSE)</f>
        <v>17</v>
      </c>
      <c r="D388">
        <v>17</v>
      </c>
      <c r="E388">
        <f>Table1[[#This Row],[Number of Counties]]-Table1[[#This Row],[Number of precincts Reporting]]</f>
        <v>0</v>
      </c>
      <c r="F388" t="s">
        <v>0</v>
      </c>
      <c r="G388" t="s">
        <v>1</v>
      </c>
      <c r="H388">
        <v>101</v>
      </c>
      <c r="I388">
        <v>701</v>
      </c>
      <c r="J388" t="s">
        <v>14</v>
      </c>
      <c r="K388" t="s">
        <v>15</v>
      </c>
      <c r="L388">
        <v>17</v>
      </c>
      <c r="M388">
        <v>0</v>
      </c>
      <c r="N388">
        <v>0</v>
      </c>
      <c r="O388">
        <v>2347</v>
      </c>
    </row>
    <row r="389" spans="1:15" x14ac:dyDescent="0.2">
      <c r="A389">
        <v>39</v>
      </c>
      <c r="B389" t="str">
        <f>VLOOKUP(Table1[[#This Row],[CountyID]],[1]!Table1[#All],2,FALSE)</f>
        <v>Lake Of The Woods</v>
      </c>
      <c r="C389">
        <f>VLOOKUP(Table1[[#This Row],[CountyID]],[1]!Table1[#All],3,FALSE)</f>
        <v>17</v>
      </c>
      <c r="D389">
        <v>17</v>
      </c>
      <c r="E389">
        <f>Table1[[#This Row],[Number of Counties]]-Table1[[#This Row],[Number of precincts Reporting]]</f>
        <v>0</v>
      </c>
      <c r="F389" t="s">
        <v>0</v>
      </c>
      <c r="G389" t="s">
        <v>1</v>
      </c>
      <c r="H389">
        <v>101</v>
      </c>
      <c r="I389">
        <v>801</v>
      </c>
      <c r="J389" t="s">
        <v>16</v>
      </c>
      <c r="K389" t="s">
        <v>17</v>
      </c>
      <c r="L389">
        <v>17</v>
      </c>
      <c r="M389">
        <v>0</v>
      </c>
      <c r="N389">
        <v>0</v>
      </c>
      <c r="O389">
        <v>2347</v>
      </c>
    </row>
    <row r="390" spans="1:15" x14ac:dyDescent="0.2">
      <c r="A390">
        <v>39</v>
      </c>
      <c r="B390" t="str">
        <f>VLOOKUP(Table1[[#This Row],[CountyID]],[1]!Table1[#All],2,FALSE)</f>
        <v>Lake Of The Woods</v>
      </c>
      <c r="C390">
        <f>VLOOKUP(Table1[[#This Row],[CountyID]],[1]!Table1[#All],3,FALSE)</f>
        <v>17</v>
      </c>
      <c r="D390">
        <v>17</v>
      </c>
      <c r="E390">
        <f>Table1[[#This Row],[Number of Counties]]-Table1[[#This Row],[Number of precincts Reporting]]</f>
        <v>0</v>
      </c>
      <c r="F390" t="s">
        <v>0</v>
      </c>
      <c r="G390" t="s">
        <v>1</v>
      </c>
      <c r="H390">
        <v>101</v>
      </c>
      <c r="I390">
        <v>901</v>
      </c>
      <c r="J390" t="s">
        <v>18</v>
      </c>
      <c r="K390" t="s">
        <v>19</v>
      </c>
      <c r="L390">
        <v>17</v>
      </c>
      <c r="M390">
        <v>0</v>
      </c>
      <c r="N390">
        <v>0</v>
      </c>
      <c r="O390">
        <v>2347</v>
      </c>
    </row>
    <row r="391" spans="1:15" x14ac:dyDescent="0.2">
      <c r="A391">
        <v>39</v>
      </c>
      <c r="B391" t="str">
        <f>VLOOKUP(Table1[[#This Row],[CountyID]],[1]!Table1[#All],2,FALSE)</f>
        <v>Lake Of The Woods</v>
      </c>
      <c r="C391">
        <f>VLOOKUP(Table1[[#This Row],[CountyID]],[1]!Table1[#All],3,FALSE)</f>
        <v>17</v>
      </c>
      <c r="D391">
        <v>17</v>
      </c>
      <c r="E391">
        <f>Table1[[#This Row],[Number of Counties]]-Table1[[#This Row],[Number of precincts Reporting]]</f>
        <v>0</v>
      </c>
      <c r="F391" t="s">
        <v>0</v>
      </c>
      <c r="G391" t="s">
        <v>1</v>
      </c>
      <c r="H391">
        <v>101</v>
      </c>
      <c r="I391">
        <v>9901</v>
      </c>
      <c r="J391" t="s">
        <v>20</v>
      </c>
      <c r="K391" t="s">
        <v>21</v>
      </c>
      <c r="L391">
        <v>17</v>
      </c>
      <c r="M391">
        <v>1</v>
      </c>
      <c r="N391">
        <v>0.04</v>
      </c>
      <c r="O391">
        <v>2347</v>
      </c>
    </row>
    <row r="392" spans="1:15" x14ac:dyDescent="0.2">
      <c r="A392">
        <v>40</v>
      </c>
      <c r="B392" t="str">
        <f>VLOOKUP(Table1[[#This Row],[CountyID]],[1]!Table1[#All],2,FALSE)</f>
        <v>Le Sueur</v>
      </c>
      <c r="C392">
        <f>VLOOKUP(Table1[[#This Row],[CountyID]],[1]!Table1[#All],3,FALSE)</f>
        <v>26</v>
      </c>
      <c r="D392">
        <v>26</v>
      </c>
      <c r="E392">
        <f>Table1[[#This Row],[Number of Counties]]-Table1[[#This Row],[Number of precincts Reporting]]</f>
        <v>0</v>
      </c>
      <c r="F392" t="s">
        <v>0</v>
      </c>
      <c r="G392" t="s">
        <v>1</v>
      </c>
      <c r="H392">
        <v>101</v>
      </c>
      <c r="I392">
        <v>101</v>
      </c>
      <c r="J392" t="s">
        <v>2</v>
      </c>
      <c r="K392" t="s">
        <v>3</v>
      </c>
      <c r="L392">
        <v>26</v>
      </c>
      <c r="M392">
        <v>11503</v>
      </c>
      <c r="N392">
        <v>65.849999999999994</v>
      </c>
      <c r="O392">
        <v>17469</v>
      </c>
    </row>
    <row r="393" spans="1:15" x14ac:dyDescent="0.2">
      <c r="A393">
        <v>40</v>
      </c>
      <c r="B393" t="str">
        <f>VLOOKUP(Table1[[#This Row],[CountyID]],[1]!Table1[#All],2,FALSE)</f>
        <v>Le Sueur</v>
      </c>
      <c r="C393">
        <f>VLOOKUP(Table1[[#This Row],[CountyID]],[1]!Table1[#All],3,FALSE)</f>
        <v>26</v>
      </c>
      <c r="D393">
        <v>26</v>
      </c>
      <c r="E393">
        <f>Table1[[#This Row],[Number of Counties]]-Table1[[#This Row],[Number of precincts Reporting]]</f>
        <v>0</v>
      </c>
      <c r="F393" t="s">
        <v>0</v>
      </c>
      <c r="G393" t="s">
        <v>1</v>
      </c>
      <c r="H393">
        <v>101</v>
      </c>
      <c r="I393">
        <v>201</v>
      </c>
      <c r="J393" t="s">
        <v>4</v>
      </c>
      <c r="K393" t="s">
        <v>5</v>
      </c>
      <c r="L393">
        <v>26</v>
      </c>
      <c r="M393">
        <v>5636</v>
      </c>
      <c r="N393">
        <v>32.26</v>
      </c>
      <c r="O393">
        <v>17469</v>
      </c>
    </row>
    <row r="394" spans="1:15" x14ac:dyDescent="0.2">
      <c r="A394">
        <v>40</v>
      </c>
      <c r="B394" t="str">
        <f>VLOOKUP(Table1[[#This Row],[CountyID]],[1]!Table1[#All],2,FALSE)</f>
        <v>Le Sueur</v>
      </c>
      <c r="C394">
        <f>VLOOKUP(Table1[[#This Row],[CountyID]],[1]!Table1[#All],3,FALSE)</f>
        <v>26</v>
      </c>
      <c r="D394">
        <v>26</v>
      </c>
      <c r="E394">
        <f>Table1[[#This Row],[Number of Counties]]-Table1[[#This Row],[Number of precincts Reporting]]</f>
        <v>0</v>
      </c>
      <c r="F394" t="s">
        <v>0</v>
      </c>
      <c r="G394" t="s">
        <v>1</v>
      </c>
      <c r="H394">
        <v>101</v>
      </c>
      <c r="I394">
        <v>301</v>
      </c>
      <c r="J394" t="s">
        <v>6</v>
      </c>
      <c r="K394" t="s">
        <v>7</v>
      </c>
      <c r="L394">
        <v>26</v>
      </c>
      <c r="M394">
        <v>57</v>
      </c>
      <c r="N394">
        <v>0.33</v>
      </c>
      <c r="O394">
        <v>17469</v>
      </c>
    </row>
    <row r="395" spans="1:15" x14ac:dyDescent="0.2">
      <c r="A395">
        <v>40</v>
      </c>
      <c r="B395" t="str">
        <f>VLOOKUP(Table1[[#This Row],[CountyID]],[1]!Table1[#All],2,FALSE)</f>
        <v>Le Sueur</v>
      </c>
      <c r="C395">
        <f>VLOOKUP(Table1[[#This Row],[CountyID]],[1]!Table1[#All],3,FALSE)</f>
        <v>26</v>
      </c>
      <c r="D395">
        <v>26</v>
      </c>
      <c r="E395">
        <f>Table1[[#This Row],[Number of Counties]]-Table1[[#This Row],[Number of precincts Reporting]]</f>
        <v>0</v>
      </c>
      <c r="F395" t="s">
        <v>0</v>
      </c>
      <c r="G395" t="s">
        <v>1</v>
      </c>
      <c r="H395">
        <v>101</v>
      </c>
      <c r="I395">
        <v>401</v>
      </c>
      <c r="J395" t="s">
        <v>8</v>
      </c>
      <c r="K395" t="s">
        <v>9</v>
      </c>
      <c r="L395">
        <v>26</v>
      </c>
      <c r="M395">
        <v>158</v>
      </c>
      <c r="N395">
        <v>0.9</v>
      </c>
      <c r="O395">
        <v>17469</v>
      </c>
    </row>
    <row r="396" spans="1:15" x14ac:dyDescent="0.2">
      <c r="A396">
        <v>40</v>
      </c>
      <c r="B396" t="str">
        <f>VLOOKUP(Table1[[#This Row],[CountyID]],[1]!Table1[#All],2,FALSE)</f>
        <v>Le Sueur</v>
      </c>
      <c r="C396">
        <f>VLOOKUP(Table1[[#This Row],[CountyID]],[1]!Table1[#All],3,FALSE)</f>
        <v>26</v>
      </c>
      <c r="D396">
        <v>26</v>
      </c>
      <c r="E396">
        <f>Table1[[#This Row],[Number of Counties]]-Table1[[#This Row],[Number of precincts Reporting]]</f>
        <v>0</v>
      </c>
      <c r="F396" t="s">
        <v>0</v>
      </c>
      <c r="G396" t="s">
        <v>1</v>
      </c>
      <c r="H396">
        <v>101</v>
      </c>
      <c r="I396">
        <v>501</v>
      </c>
      <c r="J396" t="s">
        <v>10</v>
      </c>
      <c r="K396" t="s">
        <v>11</v>
      </c>
      <c r="L396">
        <v>26</v>
      </c>
      <c r="M396">
        <v>38</v>
      </c>
      <c r="N396">
        <v>0.22</v>
      </c>
      <c r="O396">
        <v>17469</v>
      </c>
    </row>
    <row r="397" spans="1:15" x14ac:dyDescent="0.2">
      <c r="A397">
        <v>40</v>
      </c>
      <c r="B397" t="str">
        <f>VLOOKUP(Table1[[#This Row],[CountyID]],[1]!Table1[#All],2,FALSE)</f>
        <v>Le Sueur</v>
      </c>
      <c r="C397">
        <f>VLOOKUP(Table1[[#This Row],[CountyID]],[1]!Table1[#All],3,FALSE)</f>
        <v>26</v>
      </c>
      <c r="D397">
        <v>26</v>
      </c>
      <c r="E397">
        <f>Table1[[#This Row],[Number of Counties]]-Table1[[#This Row],[Number of precincts Reporting]]</f>
        <v>0</v>
      </c>
      <c r="F397" t="s">
        <v>0</v>
      </c>
      <c r="G397" t="s">
        <v>1</v>
      </c>
      <c r="H397">
        <v>101</v>
      </c>
      <c r="I397">
        <v>601</v>
      </c>
      <c r="J397" t="s">
        <v>12</v>
      </c>
      <c r="K397" t="s">
        <v>13</v>
      </c>
      <c r="L397">
        <v>26</v>
      </c>
      <c r="M397">
        <v>9</v>
      </c>
      <c r="N397">
        <v>0.05</v>
      </c>
      <c r="O397">
        <v>17469</v>
      </c>
    </row>
    <row r="398" spans="1:15" x14ac:dyDescent="0.2">
      <c r="A398">
        <v>40</v>
      </c>
      <c r="B398" t="str">
        <f>VLOOKUP(Table1[[#This Row],[CountyID]],[1]!Table1[#All],2,FALSE)</f>
        <v>Le Sueur</v>
      </c>
      <c r="C398">
        <f>VLOOKUP(Table1[[#This Row],[CountyID]],[1]!Table1[#All],3,FALSE)</f>
        <v>26</v>
      </c>
      <c r="D398">
        <v>26</v>
      </c>
      <c r="E398">
        <f>Table1[[#This Row],[Number of Counties]]-Table1[[#This Row],[Number of precincts Reporting]]</f>
        <v>0</v>
      </c>
      <c r="F398" t="s">
        <v>0</v>
      </c>
      <c r="G398" t="s">
        <v>1</v>
      </c>
      <c r="H398">
        <v>101</v>
      </c>
      <c r="I398">
        <v>701</v>
      </c>
      <c r="J398" t="s">
        <v>14</v>
      </c>
      <c r="K398" t="s">
        <v>15</v>
      </c>
      <c r="L398">
        <v>26</v>
      </c>
      <c r="M398">
        <v>1</v>
      </c>
      <c r="N398">
        <v>0.01</v>
      </c>
      <c r="O398">
        <v>17469</v>
      </c>
    </row>
    <row r="399" spans="1:15" x14ac:dyDescent="0.2">
      <c r="A399">
        <v>40</v>
      </c>
      <c r="B399" t="str">
        <f>VLOOKUP(Table1[[#This Row],[CountyID]],[1]!Table1[#All],2,FALSE)</f>
        <v>Le Sueur</v>
      </c>
      <c r="C399">
        <f>VLOOKUP(Table1[[#This Row],[CountyID]],[1]!Table1[#All],3,FALSE)</f>
        <v>26</v>
      </c>
      <c r="D399">
        <v>26</v>
      </c>
      <c r="E399">
        <f>Table1[[#This Row],[Number of Counties]]-Table1[[#This Row],[Number of precincts Reporting]]</f>
        <v>0</v>
      </c>
      <c r="F399" t="s">
        <v>0</v>
      </c>
      <c r="G399" t="s">
        <v>1</v>
      </c>
      <c r="H399">
        <v>101</v>
      </c>
      <c r="I399">
        <v>801</v>
      </c>
      <c r="J399" t="s">
        <v>16</v>
      </c>
      <c r="K399" t="s">
        <v>17</v>
      </c>
      <c r="L399">
        <v>26</v>
      </c>
      <c r="M399">
        <v>5</v>
      </c>
      <c r="N399">
        <v>0.03</v>
      </c>
      <c r="O399">
        <v>17469</v>
      </c>
    </row>
    <row r="400" spans="1:15" x14ac:dyDescent="0.2">
      <c r="A400">
        <v>40</v>
      </c>
      <c r="B400" t="str">
        <f>VLOOKUP(Table1[[#This Row],[CountyID]],[1]!Table1[#All],2,FALSE)</f>
        <v>Le Sueur</v>
      </c>
      <c r="C400">
        <f>VLOOKUP(Table1[[#This Row],[CountyID]],[1]!Table1[#All],3,FALSE)</f>
        <v>26</v>
      </c>
      <c r="D400">
        <v>26</v>
      </c>
      <c r="E400">
        <f>Table1[[#This Row],[Number of Counties]]-Table1[[#This Row],[Number of precincts Reporting]]</f>
        <v>0</v>
      </c>
      <c r="F400" t="s">
        <v>0</v>
      </c>
      <c r="G400" t="s">
        <v>1</v>
      </c>
      <c r="H400">
        <v>101</v>
      </c>
      <c r="I400">
        <v>901</v>
      </c>
      <c r="J400" t="s">
        <v>18</v>
      </c>
      <c r="K400" t="s">
        <v>19</v>
      </c>
      <c r="L400">
        <v>26</v>
      </c>
      <c r="M400">
        <v>15</v>
      </c>
      <c r="N400">
        <v>0.09</v>
      </c>
      <c r="O400">
        <v>17469</v>
      </c>
    </row>
    <row r="401" spans="1:15" x14ac:dyDescent="0.2">
      <c r="A401">
        <v>40</v>
      </c>
      <c r="B401" t="str">
        <f>VLOOKUP(Table1[[#This Row],[CountyID]],[1]!Table1[#All],2,FALSE)</f>
        <v>Le Sueur</v>
      </c>
      <c r="C401">
        <f>VLOOKUP(Table1[[#This Row],[CountyID]],[1]!Table1[#All],3,FALSE)</f>
        <v>26</v>
      </c>
      <c r="D401">
        <v>26</v>
      </c>
      <c r="E401">
        <f>Table1[[#This Row],[Number of Counties]]-Table1[[#This Row],[Number of precincts Reporting]]</f>
        <v>0</v>
      </c>
      <c r="F401" t="s">
        <v>0</v>
      </c>
      <c r="G401" t="s">
        <v>1</v>
      </c>
      <c r="H401">
        <v>101</v>
      </c>
      <c r="I401">
        <v>9901</v>
      </c>
      <c r="J401" t="s">
        <v>20</v>
      </c>
      <c r="K401" t="s">
        <v>21</v>
      </c>
      <c r="L401">
        <v>26</v>
      </c>
      <c r="M401">
        <v>47</v>
      </c>
      <c r="N401">
        <v>0.27</v>
      </c>
      <c r="O401">
        <v>17469</v>
      </c>
    </row>
    <row r="402" spans="1:15" x14ac:dyDescent="0.2">
      <c r="A402">
        <v>41</v>
      </c>
      <c r="B402" t="str">
        <f>VLOOKUP(Table1[[#This Row],[CountyID]],[1]!Table1[#All],2,FALSE)</f>
        <v>Lincoln</v>
      </c>
      <c r="C402">
        <f>VLOOKUP(Table1[[#This Row],[CountyID]],[1]!Table1[#All],3,FALSE)</f>
        <v>20</v>
      </c>
      <c r="D402">
        <v>20</v>
      </c>
      <c r="E402">
        <f>Table1[[#This Row],[Number of Counties]]-Table1[[#This Row],[Number of precincts Reporting]]</f>
        <v>0</v>
      </c>
      <c r="F402" t="s">
        <v>0</v>
      </c>
      <c r="G402" t="s">
        <v>1</v>
      </c>
      <c r="H402">
        <v>101</v>
      </c>
      <c r="I402">
        <v>101</v>
      </c>
      <c r="J402" t="s">
        <v>2</v>
      </c>
      <c r="K402" t="s">
        <v>3</v>
      </c>
      <c r="L402">
        <v>20</v>
      </c>
      <c r="M402">
        <v>2190</v>
      </c>
      <c r="N402">
        <v>67.7</v>
      </c>
      <c r="O402">
        <v>3235</v>
      </c>
    </row>
    <row r="403" spans="1:15" x14ac:dyDescent="0.2">
      <c r="A403">
        <v>41</v>
      </c>
      <c r="B403" t="str">
        <f>VLOOKUP(Table1[[#This Row],[CountyID]],[1]!Table1[#All],2,FALSE)</f>
        <v>Lincoln</v>
      </c>
      <c r="C403">
        <f>VLOOKUP(Table1[[#This Row],[CountyID]],[1]!Table1[#All],3,FALSE)</f>
        <v>20</v>
      </c>
      <c r="D403">
        <v>20</v>
      </c>
      <c r="E403">
        <f>Table1[[#This Row],[Number of Counties]]-Table1[[#This Row],[Number of precincts Reporting]]</f>
        <v>0</v>
      </c>
      <c r="F403" t="s">
        <v>0</v>
      </c>
      <c r="G403" t="s">
        <v>1</v>
      </c>
      <c r="H403">
        <v>101</v>
      </c>
      <c r="I403">
        <v>201</v>
      </c>
      <c r="J403" t="s">
        <v>4</v>
      </c>
      <c r="K403" t="s">
        <v>5</v>
      </c>
      <c r="L403">
        <v>20</v>
      </c>
      <c r="M403">
        <v>972</v>
      </c>
      <c r="N403">
        <v>30.05</v>
      </c>
      <c r="O403">
        <v>3235</v>
      </c>
    </row>
    <row r="404" spans="1:15" x14ac:dyDescent="0.2">
      <c r="A404">
        <v>41</v>
      </c>
      <c r="B404" t="str">
        <f>VLOOKUP(Table1[[#This Row],[CountyID]],[1]!Table1[#All],2,FALSE)</f>
        <v>Lincoln</v>
      </c>
      <c r="C404">
        <f>VLOOKUP(Table1[[#This Row],[CountyID]],[1]!Table1[#All],3,FALSE)</f>
        <v>20</v>
      </c>
      <c r="D404">
        <v>20</v>
      </c>
      <c r="E404">
        <f>Table1[[#This Row],[Number of Counties]]-Table1[[#This Row],[Number of precincts Reporting]]</f>
        <v>0</v>
      </c>
      <c r="F404" t="s">
        <v>0</v>
      </c>
      <c r="G404" t="s">
        <v>1</v>
      </c>
      <c r="H404">
        <v>101</v>
      </c>
      <c r="I404">
        <v>301</v>
      </c>
      <c r="J404" t="s">
        <v>6</v>
      </c>
      <c r="K404" t="s">
        <v>7</v>
      </c>
      <c r="L404">
        <v>20</v>
      </c>
      <c r="M404">
        <v>13</v>
      </c>
      <c r="N404">
        <v>0.4</v>
      </c>
      <c r="O404">
        <v>3235</v>
      </c>
    </row>
    <row r="405" spans="1:15" x14ac:dyDescent="0.2">
      <c r="A405">
        <v>41</v>
      </c>
      <c r="B405" t="str">
        <f>VLOOKUP(Table1[[#This Row],[CountyID]],[1]!Table1[#All],2,FALSE)</f>
        <v>Lincoln</v>
      </c>
      <c r="C405">
        <f>VLOOKUP(Table1[[#This Row],[CountyID]],[1]!Table1[#All],3,FALSE)</f>
        <v>20</v>
      </c>
      <c r="D405">
        <v>20</v>
      </c>
      <c r="E405">
        <f>Table1[[#This Row],[Number of Counties]]-Table1[[#This Row],[Number of precincts Reporting]]</f>
        <v>0</v>
      </c>
      <c r="F405" t="s">
        <v>0</v>
      </c>
      <c r="G405" t="s">
        <v>1</v>
      </c>
      <c r="H405">
        <v>101</v>
      </c>
      <c r="I405">
        <v>401</v>
      </c>
      <c r="J405" t="s">
        <v>8</v>
      </c>
      <c r="K405" t="s">
        <v>9</v>
      </c>
      <c r="L405">
        <v>20</v>
      </c>
      <c r="M405">
        <v>38</v>
      </c>
      <c r="N405">
        <v>1.17</v>
      </c>
      <c r="O405">
        <v>3235</v>
      </c>
    </row>
    <row r="406" spans="1:15" x14ac:dyDescent="0.2">
      <c r="A406">
        <v>41</v>
      </c>
      <c r="B406" t="str">
        <f>VLOOKUP(Table1[[#This Row],[CountyID]],[1]!Table1[#All],2,FALSE)</f>
        <v>Lincoln</v>
      </c>
      <c r="C406">
        <f>VLOOKUP(Table1[[#This Row],[CountyID]],[1]!Table1[#All],3,FALSE)</f>
        <v>20</v>
      </c>
      <c r="D406">
        <v>20</v>
      </c>
      <c r="E406">
        <f>Table1[[#This Row],[Number of Counties]]-Table1[[#This Row],[Number of precincts Reporting]]</f>
        <v>0</v>
      </c>
      <c r="F406" t="s">
        <v>0</v>
      </c>
      <c r="G406" t="s">
        <v>1</v>
      </c>
      <c r="H406">
        <v>101</v>
      </c>
      <c r="I406">
        <v>501</v>
      </c>
      <c r="J406" t="s">
        <v>10</v>
      </c>
      <c r="K406" t="s">
        <v>11</v>
      </c>
      <c r="L406">
        <v>20</v>
      </c>
      <c r="M406">
        <v>6</v>
      </c>
      <c r="N406">
        <v>0.19</v>
      </c>
      <c r="O406">
        <v>3235</v>
      </c>
    </row>
    <row r="407" spans="1:15" x14ac:dyDescent="0.2">
      <c r="A407">
        <v>41</v>
      </c>
      <c r="B407" t="str">
        <f>VLOOKUP(Table1[[#This Row],[CountyID]],[1]!Table1[#All],2,FALSE)</f>
        <v>Lincoln</v>
      </c>
      <c r="C407">
        <f>VLOOKUP(Table1[[#This Row],[CountyID]],[1]!Table1[#All],3,FALSE)</f>
        <v>20</v>
      </c>
      <c r="D407">
        <v>20</v>
      </c>
      <c r="E407">
        <f>Table1[[#This Row],[Number of Counties]]-Table1[[#This Row],[Number of precincts Reporting]]</f>
        <v>0</v>
      </c>
      <c r="F407" t="s">
        <v>0</v>
      </c>
      <c r="G407" t="s">
        <v>1</v>
      </c>
      <c r="H407">
        <v>101</v>
      </c>
      <c r="I407">
        <v>601</v>
      </c>
      <c r="J407" t="s">
        <v>12</v>
      </c>
      <c r="K407" t="s">
        <v>13</v>
      </c>
      <c r="L407">
        <v>20</v>
      </c>
      <c r="M407">
        <v>2</v>
      </c>
      <c r="N407">
        <v>0.06</v>
      </c>
      <c r="O407">
        <v>3235</v>
      </c>
    </row>
    <row r="408" spans="1:15" x14ac:dyDescent="0.2">
      <c r="A408">
        <v>41</v>
      </c>
      <c r="B408" t="str">
        <f>VLOOKUP(Table1[[#This Row],[CountyID]],[1]!Table1[#All],2,FALSE)</f>
        <v>Lincoln</v>
      </c>
      <c r="C408">
        <f>VLOOKUP(Table1[[#This Row],[CountyID]],[1]!Table1[#All],3,FALSE)</f>
        <v>20</v>
      </c>
      <c r="D408">
        <v>20</v>
      </c>
      <c r="E408">
        <f>Table1[[#This Row],[Number of Counties]]-Table1[[#This Row],[Number of precincts Reporting]]</f>
        <v>0</v>
      </c>
      <c r="F408" t="s">
        <v>0</v>
      </c>
      <c r="G408" t="s">
        <v>1</v>
      </c>
      <c r="H408">
        <v>101</v>
      </c>
      <c r="I408">
        <v>701</v>
      </c>
      <c r="J408" t="s">
        <v>14</v>
      </c>
      <c r="K408" t="s">
        <v>15</v>
      </c>
      <c r="L408">
        <v>20</v>
      </c>
      <c r="M408">
        <v>0</v>
      </c>
      <c r="N408">
        <v>0</v>
      </c>
      <c r="O408">
        <v>3235</v>
      </c>
    </row>
    <row r="409" spans="1:15" x14ac:dyDescent="0.2">
      <c r="A409">
        <v>41</v>
      </c>
      <c r="B409" t="str">
        <f>VLOOKUP(Table1[[#This Row],[CountyID]],[1]!Table1[#All],2,FALSE)</f>
        <v>Lincoln</v>
      </c>
      <c r="C409">
        <f>VLOOKUP(Table1[[#This Row],[CountyID]],[1]!Table1[#All],3,FALSE)</f>
        <v>20</v>
      </c>
      <c r="D409">
        <v>20</v>
      </c>
      <c r="E409">
        <f>Table1[[#This Row],[Number of Counties]]-Table1[[#This Row],[Number of precincts Reporting]]</f>
        <v>0</v>
      </c>
      <c r="F409" t="s">
        <v>0</v>
      </c>
      <c r="G409" t="s">
        <v>1</v>
      </c>
      <c r="H409">
        <v>101</v>
      </c>
      <c r="I409">
        <v>801</v>
      </c>
      <c r="J409" t="s">
        <v>16</v>
      </c>
      <c r="K409" t="s">
        <v>17</v>
      </c>
      <c r="L409">
        <v>20</v>
      </c>
      <c r="M409">
        <v>0</v>
      </c>
      <c r="N409">
        <v>0</v>
      </c>
      <c r="O409">
        <v>3235</v>
      </c>
    </row>
    <row r="410" spans="1:15" x14ac:dyDescent="0.2">
      <c r="A410">
        <v>41</v>
      </c>
      <c r="B410" t="str">
        <f>VLOOKUP(Table1[[#This Row],[CountyID]],[1]!Table1[#All],2,FALSE)</f>
        <v>Lincoln</v>
      </c>
      <c r="C410">
        <f>VLOOKUP(Table1[[#This Row],[CountyID]],[1]!Table1[#All],3,FALSE)</f>
        <v>20</v>
      </c>
      <c r="D410">
        <v>20</v>
      </c>
      <c r="E410">
        <f>Table1[[#This Row],[Number of Counties]]-Table1[[#This Row],[Number of precincts Reporting]]</f>
        <v>0</v>
      </c>
      <c r="F410" t="s">
        <v>0</v>
      </c>
      <c r="G410" t="s">
        <v>1</v>
      </c>
      <c r="H410">
        <v>101</v>
      </c>
      <c r="I410">
        <v>901</v>
      </c>
      <c r="J410" t="s">
        <v>18</v>
      </c>
      <c r="K410" t="s">
        <v>19</v>
      </c>
      <c r="L410">
        <v>20</v>
      </c>
      <c r="M410">
        <v>5</v>
      </c>
      <c r="N410">
        <v>0.15</v>
      </c>
      <c r="O410">
        <v>3235</v>
      </c>
    </row>
    <row r="411" spans="1:15" x14ac:dyDescent="0.2">
      <c r="A411">
        <v>41</v>
      </c>
      <c r="B411" t="str">
        <f>VLOOKUP(Table1[[#This Row],[CountyID]],[1]!Table1[#All],2,FALSE)</f>
        <v>Lincoln</v>
      </c>
      <c r="C411">
        <f>VLOOKUP(Table1[[#This Row],[CountyID]],[1]!Table1[#All],3,FALSE)</f>
        <v>20</v>
      </c>
      <c r="D411">
        <v>20</v>
      </c>
      <c r="E411">
        <f>Table1[[#This Row],[Number of Counties]]-Table1[[#This Row],[Number of precincts Reporting]]</f>
        <v>0</v>
      </c>
      <c r="F411" t="s">
        <v>0</v>
      </c>
      <c r="G411" t="s">
        <v>1</v>
      </c>
      <c r="H411">
        <v>101</v>
      </c>
      <c r="I411">
        <v>9901</v>
      </c>
      <c r="J411" t="s">
        <v>20</v>
      </c>
      <c r="K411" t="s">
        <v>21</v>
      </c>
      <c r="L411">
        <v>20</v>
      </c>
      <c r="M411">
        <v>9</v>
      </c>
      <c r="N411">
        <v>0.28000000000000003</v>
      </c>
      <c r="O411">
        <v>3235</v>
      </c>
    </row>
    <row r="412" spans="1:15" x14ac:dyDescent="0.2">
      <c r="A412">
        <v>42</v>
      </c>
      <c r="B412" t="str">
        <f>VLOOKUP(Table1[[#This Row],[CountyID]],[1]!Table1[#All],2,FALSE)</f>
        <v>Lyon</v>
      </c>
      <c r="C412">
        <f>VLOOKUP(Table1[[#This Row],[CountyID]],[1]!Table1[#All],3,FALSE)</f>
        <v>33</v>
      </c>
      <c r="D412">
        <v>33</v>
      </c>
      <c r="E412">
        <f>Table1[[#This Row],[Number of Counties]]-Table1[[#This Row],[Number of precincts Reporting]]</f>
        <v>0</v>
      </c>
      <c r="F412" t="s">
        <v>0</v>
      </c>
      <c r="G412" t="s">
        <v>1</v>
      </c>
      <c r="H412">
        <v>101</v>
      </c>
      <c r="I412">
        <v>101</v>
      </c>
      <c r="J412" t="s">
        <v>2</v>
      </c>
      <c r="K412" t="s">
        <v>3</v>
      </c>
      <c r="L412">
        <v>33</v>
      </c>
      <c r="M412">
        <v>8400</v>
      </c>
      <c r="N412">
        <v>64.67</v>
      </c>
      <c r="O412">
        <v>12990</v>
      </c>
    </row>
    <row r="413" spans="1:15" x14ac:dyDescent="0.2">
      <c r="A413">
        <v>42</v>
      </c>
      <c r="B413" t="str">
        <f>VLOOKUP(Table1[[#This Row],[CountyID]],[1]!Table1[#All],2,FALSE)</f>
        <v>Lyon</v>
      </c>
      <c r="C413">
        <f>VLOOKUP(Table1[[#This Row],[CountyID]],[1]!Table1[#All],3,FALSE)</f>
        <v>33</v>
      </c>
      <c r="D413">
        <v>33</v>
      </c>
      <c r="E413">
        <f>Table1[[#This Row],[Number of Counties]]-Table1[[#This Row],[Number of precincts Reporting]]</f>
        <v>0</v>
      </c>
      <c r="F413" t="s">
        <v>0</v>
      </c>
      <c r="G413" t="s">
        <v>1</v>
      </c>
      <c r="H413">
        <v>101</v>
      </c>
      <c r="I413">
        <v>201</v>
      </c>
      <c r="J413" t="s">
        <v>4</v>
      </c>
      <c r="K413" t="s">
        <v>5</v>
      </c>
      <c r="L413">
        <v>33</v>
      </c>
      <c r="M413">
        <v>4284</v>
      </c>
      <c r="N413">
        <v>32.979999999999997</v>
      </c>
      <c r="O413">
        <v>12990</v>
      </c>
    </row>
    <row r="414" spans="1:15" x14ac:dyDescent="0.2">
      <c r="A414">
        <v>42</v>
      </c>
      <c r="B414" t="str">
        <f>VLOOKUP(Table1[[#This Row],[CountyID]],[1]!Table1[#All],2,FALSE)</f>
        <v>Lyon</v>
      </c>
      <c r="C414">
        <f>VLOOKUP(Table1[[#This Row],[CountyID]],[1]!Table1[#All],3,FALSE)</f>
        <v>33</v>
      </c>
      <c r="D414">
        <v>33</v>
      </c>
      <c r="E414">
        <f>Table1[[#This Row],[Number of Counties]]-Table1[[#This Row],[Number of precincts Reporting]]</f>
        <v>0</v>
      </c>
      <c r="F414" t="s">
        <v>0</v>
      </c>
      <c r="G414" t="s">
        <v>1</v>
      </c>
      <c r="H414">
        <v>101</v>
      </c>
      <c r="I414">
        <v>301</v>
      </c>
      <c r="J414" t="s">
        <v>6</v>
      </c>
      <c r="K414" t="s">
        <v>7</v>
      </c>
      <c r="L414">
        <v>33</v>
      </c>
      <c r="M414">
        <v>64</v>
      </c>
      <c r="N414">
        <v>0.49</v>
      </c>
      <c r="O414">
        <v>12990</v>
      </c>
    </row>
    <row r="415" spans="1:15" x14ac:dyDescent="0.2">
      <c r="A415">
        <v>42</v>
      </c>
      <c r="B415" t="str">
        <f>VLOOKUP(Table1[[#This Row],[CountyID]],[1]!Table1[#All],2,FALSE)</f>
        <v>Lyon</v>
      </c>
      <c r="C415">
        <f>VLOOKUP(Table1[[#This Row],[CountyID]],[1]!Table1[#All],3,FALSE)</f>
        <v>33</v>
      </c>
      <c r="D415">
        <v>33</v>
      </c>
      <c r="E415">
        <f>Table1[[#This Row],[Number of Counties]]-Table1[[#This Row],[Number of precincts Reporting]]</f>
        <v>0</v>
      </c>
      <c r="F415" t="s">
        <v>0</v>
      </c>
      <c r="G415" t="s">
        <v>1</v>
      </c>
      <c r="H415">
        <v>101</v>
      </c>
      <c r="I415">
        <v>401</v>
      </c>
      <c r="J415" t="s">
        <v>8</v>
      </c>
      <c r="K415" t="s">
        <v>9</v>
      </c>
      <c r="L415">
        <v>33</v>
      </c>
      <c r="M415">
        <v>149</v>
      </c>
      <c r="N415">
        <v>1.1499999999999999</v>
      </c>
      <c r="O415">
        <v>12990</v>
      </c>
    </row>
    <row r="416" spans="1:15" x14ac:dyDescent="0.2">
      <c r="A416">
        <v>42</v>
      </c>
      <c r="B416" t="str">
        <f>VLOOKUP(Table1[[#This Row],[CountyID]],[1]!Table1[#All],2,FALSE)</f>
        <v>Lyon</v>
      </c>
      <c r="C416">
        <f>VLOOKUP(Table1[[#This Row],[CountyID]],[1]!Table1[#All],3,FALSE)</f>
        <v>33</v>
      </c>
      <c r="D416">
        <v>33</v>
      </c>
      <c r="E416">
        <f>Table1[[#This Row],[Number of Counties]]-Table1[[#This Row],[Number of precincts Reporting]]</f>
        <v>0</v>
      </c>
      <c r="F416" t="s">
        <v>0</v>
      </c>
      <c r="G416" t="s">
        <v>1</v>
      </c>
      <c r="H416">
        <v>101</v>
      </c>
      <c r="I416">
        <v>501</v>
      </c>
      <c r="J416" t="s">
        <v>10</v>
      </c>
      <c r="K416" t="s">
        <v>11</v>
      </c>
      <c r="L416">
        <v>33</v>
      </c>
      <c r="M416">
        <v>25</v>
      </c>
      <c r="N416">
        <v>0.19</v>
      </c>
      <c r="O416">
        <v>12990</v>
      </c>
    </row>
    <row r="417" spans="1:15" x14ac:dyDescent="0.2">
      <c r="A417">
        <v>42</v>
      </c>
      <c r="B417" t="str">
        <f>VLOOKUP(Table1[[#This Row],[CountyID]],[1]!Table1[#All],2,FALSE)</f>
        <v>Lyon</v>
      </c>
      <c r="C417">
        <f>VLOOKUP(Table1[[#This Row],[CountyID]],[1]!Table1[#All],3,FALSE)</f>
        <v>33</v>
      </c>
      <c r="D417">
        <v>33</v>
      </c>
      <c r="E417">
        <f>Table1[[#This Row],[Number of Counties]]-Table1[[#This Row],[Number of precincts Reporting]]</f>
        <v>0</v>
      </c>
      <c r="F417" t="s">
        <v>0</v>
      </c>
      <c r="G417" t="s">
        <v>1</v>
      </c>
      <c r="H417">
        <v>101</v>
      </c>
      <c r="I417">
        <v>601</v>
      </c>
      <c r="J417" t="s">
        <v>12</v>
      </c>
      <c r="K417" t="s">
        <v>13</v>
      </c>
      <c r="L417">
        <v>33</v>
      </c>
      <c r="M417">
        <v>3</v>
      </c>
      <c r="N417">
        <v>0.02</v>
      </c>
      <c r="O417">
        <v>12990</v>
      </c>
    </row>
    <row r="418" spans="1:15" x14ac:dyDescent="0.2">
      <c r="A418">
        <v>42</v>
      </c>
      <c r="B418" t="str">
        <f>VLOOKUP(Table1[[#This Row],[CountyID]],[1]!Table1[#All],2,FALSE)</f>
        <v>Lyon</v>
      </c>
      <c r="C418">
        <f>VLOOKUP(Table1[[#This Row],[CountyID]],[1]!Table1[#All],3,FALSE)</f>
        <v>33</v>
      </c>
      <c r="D418">
        <v>33</v>
      </c>
      <c r="E418">
        <f>Table1[[#This Row],[Number of Counties]]-Table1[[#This Row],[Number of precincts Reporting]]</f>
        <v>0</v>
      </c>
      <c r="F418" t="s">
        <v>0</v>
      </c>
      <c r="G418" t="s">
        <v>1</v>
      </c>
      <c r="H418">
        <v>101</v>
      </c>
      <c r="I418">
        <v>701</v>
      </c>
      <c r="J418" t="s">
        <v>14</v>
      </c>
      <c r="K418" t="s">
        <v>15</v>
      </c>
      <c r="L418">
        <v>33</v>
      </c>
      <c r="M418">
        <v>1</v>
      </c>
      <c r="N418">
        <v>0.01</v>
      </c>
      <c r="O418">
        <v>12990</v>
      </c>
    </row>
    <row r="419" spans="1:15" x14ac:dyDescent="0.2">
      <c r="A419">
        <v>42</v>
      </c>
      <c r="B419" t="str">
        <f>VLOOKUP(Table1[[#This Row],[CountyID]],[1]!Table1[#All],2,FALSE)</f>
        <v>Lyon</v>
      </c>
      <c r="C419">
        <f>VLOOKUP(Table1[[#This Row],[CountyID]],[1]!Table1[#All],3,FALSE)</f>
        <v>33</v>
      </c>
      <c r="D419">
        <v>33</v>
      </c>
      <c r="E419">
        <f>Table1[[#This Row],[Number of Counties]]-Table1[[#This Row],[Number of precincts Reporting]]</f>
        <v>0</v>
      </c>
      <c r="F419" t="s">
        <v>0</v>
      </c>
      <c r="G419" t="s">
        <v>1</v>
      </c>
      <c r="H419">
        <v>101</v>
      </c>
      <c r="I419">
        <v>801</v>
      </c>
      <c r="J419" t="s">
        <v>16</v>
      </c>
      <c r="K419" t="s">
        <v>17</v>
      </c>
      <c r="L419">
        <v>33</v>
      </c>
      <c r="M419">
        <v>7</v>
      </c>
      <c r="N419">
        <v>0.05</v>
      </c>
      <c r="O419">
        <v>12990</v>
      </c>
    </row>
    <row r="420" spans="1:15" x14ac:dyDescent="0.2">
      <c r="A420">
        <v>42</v>
      </c>
      <c r="B420" t="str">
        <f>VLOOKUP(Table1[[#This Row],[CountyID]],[1]!Table1[#All],2,FALSE)</f>
        <v>Lyon</v>
      </c>
      <c r="C420">
        <f>VLOOKUP(Table1[[#This Row],[CountyID]],[1]!Table1[#All],3,FALSE)</f>
        <v>33</v>
      </c>
      <c r="D420">
        <v>33</v>
      </c>
      <c r="E420">
        <f>Table1[[#This Row],[Number of Counties]]-Table1[[#This Row],[Number of precincts Reporting]]</f>
        <v>0</v>
      </c>
      <c r="F420" t="s">
        <v>0</v>
      </c>
      <c r="G420" t="s">
        <v>1</v>
      </c>
      <c r="H420">
        <v>101</v>
      </c>
      <c r="I420">
        <v>901</v>
      </c>
      <c r="J420" t="s">
        <v>18</v>
      </c>
      <c r="K420" t="s">
        <v>19</v>
      </c>
      <c r="L420">
        <v>33</v>
      </c>
      <c r="M420">
        <v>13</v>
      </c>
      <c r="N420">
        <v>0.1</v>
      </c>
      <c r="O420">
        <v>12990</v>
      </c>
    </row>
    <row r="421" spans="1:15" x14ac:dyDescent="0.2">
      <c r="A421">
        <v>42</v>
      </c>
      <c r="B421" t="str">
        <f>VLOOKUP(Table1[[#This Row],[CountyID]],[1]!Table1[#All],2,FALSE)</f>
        <v>Lyon</v>
      </c>
      <c r="C421">
        <f>VLOOKUP(Table1[[#This Row],[CountyID]],[1]!Table1[#All],3,FALSE)</f>
        <v>33</v>
      </c>
      <c r="D421">
        <v>33</v>
      </c>
      <c r="E421">
        <f>Table1[[#This Row],[Number of Counties]]-Table1[[#This Row],[Number of precincts Reporting]]</f>
        <v>0</v>
      </c>
      <c r="F421" t="s">
        <v>0</v>
      </c>
      <c r="G421" t="s">
        <v>1</v>
      </c>
      <c r="H421">
        <v>101</v>
      </c>
      <c r="I421">
        <v>9901</v>
      </c>
      <c r="J421" t="s">
        <v>20</v>
      </c>
      <c r="K421" t="s">
        <v>21</v>
      </c>
      <c r="L421">
        <v>33</v>
      </c>
      <c r="M421">
        <v>44</v>
      </c>
      <c r="N421">
        <v>0.34</v>
      </c>
      <c r="O421">
        <v>12990</v>
      </c>
    </row>
    <row r="422" spans="1:15" x14ac:dyDescent="0.2">
      <c r="A422">
        <v>43</v>
      </c>
      <c r="B422" t="str">
        <f>VLOOKUP(Table1[[#This Row],[CountyID]],[1]!Table1[#All],2,FALSE)</f>
        <v>Mcleod</v>
      </c>
      <c r="C422">
        <f>VLOOKUP(Table1[[#This Row],[CountyID]],[1]!Table1[#All],3,FALSE)</f>
        <v>29</v>
      </c>
      <c r="D422">
        <v>29</v>
      </c>
      <c r="E422">
        <f>Table1[[#This Row],[Number of Counties]]-Table1[[#This Row],[Number of precincts Reporting]]</f>
        <v>0</v>
      </c>
      <c r="F422" t="s">
        <v>0</v>
      </c>
      <c r="G422" t="s">
        <v>1</v>
      </c>
      <c r="H422">
        <v>101</v>
      </c>
      <c r="I422">
        <v>101</v>
      </c>
      <c r="J422" t="s">
        <v>2</v>
      </c>
      <c r="K422" t="s">
        <v>3</v>
      </c>
      <c r="L422">
        <v>29</v>
      </c>
      <c r="M422">
        <v>14394</v>
      </c>
      <c r="N422">
        <v>67.900000000000006</v>
      </c>
      <c r="O422">
        <v>21199</v>
      </c>
    </row>
    <row r="423" spans="1:15" x14ac:dyDescent="0.2">
      <c r="A423">
        <v>43</v>
      </c>
      <c r="B423" t="str">
        <f>VLOOKUP(Table1[[#This Row],[CountyID]],[1]!Table1[#All],2,FALSE)</f>
        <v>Mcleod</v>
      </c>
      <c r="C423">
        <f>VLOOKUP(Table1[[#This Row],[CountyID]],[1]!Table1[#All],3,FALSE)</f>
        <v>29</v>
      </c>
      <c r="D423">
        <v>29</v>
      </c>
      <c r="E423">
        <f>Table1[[#This Row],[Number of Counties]]-Table1[[#This Row],[Number of precincts Reporting]]</f>
        <v>0</v>
      </c>
      <c r="F423" t="s">
        <v>0</v>
      </c>
      <c r="G423" t="s">
        <v>1</v>
      </c>
      <c r="H423">
        <v>101</v>
      </c>
      <c r="I423">
        <v>201</v>
      </c>
      <c r="J423" t="s">
        <v>4</v>
      </c>
      <c r="K423" t="s">
        <v>5</v>
      </c>
      <c r="L423">
        <v>29</v>
      </c>
      <c r="M423">
        <v>6374</v>
      </c>
      <c r="N423">
        <v>30.07</v>
      </c>
      <c r="O423">
        <v>21199</v>
      </c>
    </row>
    <row r="424" spans="1:15" x14ac:dyDescent="0.2">
      <c r="A424">
        <v>43</v>
      </c>
      <c r="B424" t="str">
        <f>VLOOKUP(Table1[[#This Row],[CountyID]],[1]!Table1[#All],2,FALSE)</f>
        <v>Mcleod</v>
      </c>
      <c r="C424">
        <f>VLOOKUP(Table1[[#This Row],[CountyID]],[1]!Table1[#All],3,FALSE)</f>
        <v>29</v>
      </c>
      <c r="D424">
        <v>29</v>
      </c>
      <c r="E424">
        <f>Table1[[#This Row],[Number of Counties]]-Table1[[#This Row],[Number of precincts Reporting]]</f>
        <v>0</v>
      </c>
      <c r="F424" t="s">
        <v>0</v>
      </c>
      <c r="G424" t="s">
        <v>1</v>
      </c>
      <c r="H424">
        <v>101</v>
      </c>
      <c r="I424">
        <v>301</v>
      </c>
      <c r="J424" t="s">
        <v>6</v>
      </c>
      <c r="K424" t="s">
        <v>7</v>
      </c>
      <c r="L424">
        <v>29</v>
      </c>
      <c r="M424">
        <v>84</v>
      </c>
      <c r="N424">
        <v>0.4</v>
      </c>
      <c r="O424">
        <v>21199</v>
      </c>
    </row>
    <row r="425" spans="1:15" x14ac:dyDescent="0.2">
      <c r="A425">
        <v>43</v>
      </c>
      <c r="B425" t="str">
        <f>VLOOKUP(Table1[[#This Row],[CountyID]],[1]!Table1[#All],2,FALSE)</f>
        <v>Mcleod</v>
      </c>
      <c r="C425">
        <f>VLOOKUP(Table1[[#This Row],[CountyID]],[1]!Table1[#All],3,FALSE)</f>
        <v>29</v>
      </c>
      <c r="D425">
        <v>29</v>
      </c>
      <c r="E425">
        <f>Table1[[#This Row],[Number of Counties]]-Table1[[#This Row],[Number of precincts Reporting]]</f>
        <v>0</v>
      </c>
      <c r="F425" t="s">
        <v>0</v>
      </c>
      <c r="G425" t="s">
        <v>1</v>
      </c>
      <c r="H425">
        <v>101</v>
      </c>
      <c r="I425">
        <v>401</v>
      </c>
      <c r="J425" t="s">
        <v>8</v>
      </c>
      <c r="K425" t="s">
        <v>9</v>
      </c>
      <c r="L425">
        <v>29</v>
      </c>
      <c r="M425">
        <v>180</v>
      </c>
      <c r="N425">
        <v>0.85</v>
      </c>
      <c r="O425">
        <v>21199</v>
      </c>
    </row>
    <row r="426" spans="1:15" x14ac:dyDescent="0.2">
      <c r="A426">
        <v>43</v>
      </c>
      <c r="B426" t="str">
        <f>VLOOKUP(Table1[[#This Row],[CountyID]],[1]!Table1[#All],2,FALSE)</f>
        <v>Mcleod</v>
      </c>
      <c r="C426">
        <f>VLOOKUP(Table1[[#This Row],[CountyID]],[1]!Table1[#All],3,FALSE)</f>
        <v>29</v>
      </c>
      <c r="D426">
        <v>29</v>
      </c>
      <c r="E426">
        <f>Table1[[#This Row],[Number of Counties]]-Table1[[#This Row],[Number of precincts Reporting]]</f>
        <v>0</v>
      </c>
      <c r="F426" t="s">
        <v>0</v>
      </c>
      <c r="G426" t="s">
        <v>1</v>
      </c>
      <c r="H426">
        <v>101</v>
      </c>
      <c r="I426">
        <v>501</v>
      </c>
      <c r="J426" t="s">
        <v>10</v>
      </c>
      <c r="K426" t="s">
        <v>11</v>
      </c>
      <c r="L426">
        <v>29</v>
      </c>
      <c r="M426">
        <v>42</v>
      </c>
      <c r="N426">
        <v>0.2</v>
      </c>
      <c r="O426">
        <v>21199</v>
      </c>
    </row>
    <row r="427" spans="1:15" x14ac:dyDescent="0.2">
      <c r="A427">
        <v>43</v>
      </c>
      <c r="B427" t="str">
        <f>VLOOKUP(Table1[[#This Row],[CountyID]],[1]!Table1[#All],2,FALSE)</f>
        <v>Mcleod</v>
      </c>
      <c r="C427">
        <f>VLOOKUP(Table1[[#This Row],[CountyID]],[1]!Table1[#All],3,FALSE)</f>
        <v>29</v>
      </c>
      <c r="D427">
        <v>29</v>
      </c>
      <c r="E427">
        <f>Table1[[#This Row],[Number of Counties]]-Table1[[#This Row],[Number of precincts Reporting]]</f>
        <v>0</v>
      </c>
      <c r="F427" t="s">
        <v>0</v>
      </c>
      <c r="G427" t="s">
        <v>1</v>
      </c>
      <c r="H427">
        <v>101</v>
      </c>
      <c r="I427">
        <v>601</v>
      </c>
      <c r="J427" t="s">
        <v>12</v>
      </c>
      <c r="K427" t="s">
        <v>13</v>
      </c>
      <c r="L427">
        <v>29</v>
      </c>
      <c r="M427">
        <v>9</v>
      </c>
      <c r="N427">
        <v>0.04</v>
      </c>
      <c r="O427">
        <v>21199</v>
      </c>
    </row>
    <row r="428" spans="1:15" x14ac:dyDescent="0.2">
      <c r="A428">
        <v>43</v>
      </c>
      <c r="B428" t="str">
        <f>VLOOKUP(Table1[[#This Row],[CountyID]],[1]!Table1[#All],2,FALSE)</f>
        <v>Mcleod</v>
      </c>
      <c r="C428">
        <f>VLOOKUP(Table1[[#This Row],[CountyID]],[1]!Table1[#All],3,FALSE)</f>
        <v>29</v>
      </c>
      <c r="D428">
        <v>29</v>
      </c>
      <c r="E428">
        <f>Table1[[#This Row],[Number of Counties]]-Table1[[#This Row],[Number of precincts Reporting]]</f>
        <v>0</v>
      </c>
      <c r="F428" t="s">
        <v>0</v>
      </c>
      <c r="G428" t="s">
        <v>1</v>
      </c>
      <c r="H428">
        <v>101</v>
      </c>
      <c r="I428">
        <v>701</v>
      </c>
      <c r="J428" t="s">
        <v>14</v>
      </c>
      <c r="K428" t="s">
        <v>15</v>
      </c>
      <c r="L428">
        <v>29</v>
      </c>
      <c r="M428">
        <v>3</v>
      </c>
      <c r="N428">
        <v>0.01</v>
      </c>
      <c r="O428">
        <v>21199</v>
      </c>
    </row>
    <row r="429" spans="1:15" x14ac:dyDescent="0.2">
      <c r="A429">
        <v>43</v>
      </c>
      <c r="B429" t="str">
        <f>VLOOKUP(Table1[[#This Row],[CountyID]],[1]!Table1[#All],2,FALSE)</f>
        <v>Mcleod</v>
      </c>
      <c r="C429">
        <f>VLOOKUP(Table1[[#This Row],[CountyID]],[1]!Table1[#All],3,FALSE)</f>
        <v>29</v>
      </c>
      <c r="D429">
        <v>29</v>
      </c>
      <c r="E429">
        <f>Table1[[#This Row],[Number of Counties]]-Table1[[#This Row],[Number of precincts Reporting]]</f>
        <v>0</v>
      </c>
      <c r="F429" t="s">
        <v>0</v>
      </c>
      <c r="G429" t="s">
        <v>1</v>
      </c>
      <c r="H429">
        <v>101</v>
      </c>
      <c r="I429">
        <v>801</v>
      </c>
      <c r="J429" t="s">
        <v>16</v>
      </c>
      <c r="K429" t="s">
        <v>17</v>
      </c>
      <c r="L429">
        <v>29</v>
      </c>
      <c r="M429">
        <v>10</v>
      </c>
      <c r="N429">
        <v>0.05</v>
      </c>
      <c r="O429">
        <v>21199</v>
      </c>
    </row>
    <row r="430" spans="1:15" x14ac:dyDescent="0.2">
      <c r="A430">
        <v>43</v>
      </c>
      <c r="B430" t="str">
        <f>VLOOKUP(Table1[[#This Row],[CountyID]],[1]!Table1[#All],2,FALSE)</f>
        <v>Mcleod</v>
      </c>
      <c r="C430">
        <f>VLOOKUP(Table1[[#This Row],[CountyID]],[1]!Table1[#All],3,FALSE)</f>
        <v>29</v>
      </c>
      <c r="D430">
        <v>29</v>
      </c>
      <c r="E430">
        <f>Table1[[#This Row],[Number of Counties]]-Table1[[#This Row],[Number of precincts Reporting]]</f>
        <v>0</v>
      </c>
      <c r="F430" t="s">
        <v>0</v>
      </c>
      <c r="G430" t="s">
        <v>1</v>
      </c>
      <c r="H430">
        <v>101</v>
      </c>
      <c r="I430">
        <v>901</v>
      </c>
      <c r="J430" t="s">
        <v>18</v>
      </c>
      <c r="K430" t="s">
        <v>19</v>
      </c>
      <c r="L430">
        <v>29</v>
      </c>
      <c r="M430">
        <v>35</v>
      </c>
      <c r="N430">
        <v>0.17</v>
      </c>
      <c r="O430">
        <v>21199</v>
      </c>
    </row>
    <row r="431" spans="1:15" x14ac:dyDescent="0.2">
      <c r="A431">
        <v>43</v>
      </c>
      <c r="B431" t="str">
        <f>VLOOKUP(Table1[[#This Row],[CountyID]],[1]!Table1[#All],2,FALSE)</f>
        <v>Mcleod</v>
      </c>
      <c r="C431">
        <f>VLOOKUP(Table1[[#This Row],[CountyID]],[1]!Table1[#All],3,FALSE)</f>
        <v>29</v>
      </c>
      <c r="D431">
        <v>29</v>
      </c>
      <c r="E431">
        <f>Table1[[#This Row],[Number of Counties]]-Table1[[#This Row],[Number of precincts Reporting]]</f>
        <v>0</v>
      </c>
      <c r="F431" t="s">
        <v>0</v>
      </c>
      <c r="G431" t="s">
        <v>1</v>
      </c>
      <c r="H431">
        <v>101</v>
      </c>
      <c r="I431">
        <v>9901</v>
      </c>
      <c r="J431" t="s">
        <v>20</v>
      </c>
      <c r="K431" t="s">
        <v>21</v>
      </c>
      <c r="L431">
        <v>29</v>
      </c>
      <c r="M431">
        <v>68</v>
      </c>
      <c r="N431">
        <v>0.32</v>
      </c>
      <c r="O431">
        <v>21199</v>
      </c>
    </row>
    <row r="432" spans="1:15" x14ac:dyDescent="0.2">
      <c r="A432">
        <v>44</v>
      </c>
      <c r="B432" t="str">
        <f>VLOOKUP(Table1[[#This Row],[CountyID]],[1]!Table1[#All],2,FALSE)</f>
        <v>Mahnomen</v>
      </c>
      <c r="C432">
        <f>VLOOKUP(Table1[[#This Row],[CountyID]],[1]!Table1[#All],3,FALSE)</f>
        <v>19</v>
      </c>
      <c r="D432">
        <v>19</v>
      </c>
      <c r="E432">
        <f>Table1[[#This Row],[Number of Counties]]-Table1[[#This Row],[Number of precincts Reporting]]</f>
        <v>0</v>
      </c>
      <c r="F432" t="s">
        <v>0</v>
      </c>
      <c r="G432" t="s">
        <v>1</v>
      </c>
      <c r="H432">
        <v>101</v>
      </c>
      <c r="I432">
        <v>101</v>
      </c>
      <c r="J432" t="s">
        <v>2</v>
      </c>
      <c r="K432" t="s">
        <v>3</v>
      </c>
      <c r="L432">
        <v>19</v>
      </c>
      <c r="M432">
        <v>1165</v>
      </c>
      <c r="N432">
        <v>53.37</v>
      </c>
      <c r="O432">
        <v>2183</v>
      </c>
    </row>
    <row r="433" spans="1:15" x14ac:dyDescent="0.2">
      <c r="A433">
        <v>44</v>
      </c>
      <c r="B433" t="str">
        <f>VLOOKUP(Table1[[#This Row],[CountyID]],[1]!Table1[#All],2,FALSE)</f>
        <v>Mahnomen</v>
      </c>
      <c r="C433">
        <f>VLOOKUP(Table1[[#This Row],[CountyID]],[1]!Table1[#All],3,FALSE)</f>
        <v>19</v>
      </c>
      <c r="D433">
        <v>19</v>
      </c>
      <c r="E433">
        <f>Table1[[#This Row],[Number of Counties]]-Table1[[#This Row],[Number of precincts Reporting]]</f>
        <v>0</v>
      </c>
      <c r="F433" t="s">
        <v>0</v>
      </c>
      <c r="G433" t="s">
        <v>1</v>
      </c>
      <c r="H433">
        <v>101</v>
      </c>
      <c r="I433">
        <v>201</v>
      </c>
      <c r="J433" t="s">
        <v>4</v>
      </c>
      <c r="K433" t="s">
        <v>5</v>
      </c>
      <c r="L433">
        <v>19</v>
      </c>
      <c r="M433">
        <v>975</v>
      </c>
      <c r="N433">
        <v>44.66</v>
      </c>
      <c r="O433">
        <v>2183</v>
      </c>
    </row>
    <row r="434" spans="1:15" x14ac:dyDescent="0.2">
      <c r="A434">
        <v>44</v>
      </c>
      <c r="B434" t="str">
        <f>VLOOKUP(Table1[[#This Row],[CountyID]],[1]!Table1[#All],2,FALSE)</f>
        <v>Mahnomen</v>
      </c>
      <c r="C434">
        <f>VLOOKUP(Table1[[#This Row],[CountyID]],[1]!Table1[#All],3,FALSE)</f>
        <v>19</v>
      </c>
      <c r="D434">
        <v>19</v>
      </c>
      <c r="E434">
        <f>Table1[[#This Row],[Number of Counties]]-Table1[[#This Row],[Number of precincts Reporting]]</f>
        <v>0</v>
      </c>
      <c r="F434" t="s">
        <v>0</v>
      </c>
      <c r="G434" t="s">
        <v>1</v>
      </c>
      <c r="H434">
        <v>101</v>
      </c>
      <c r="I434">
        <v>301</v>
      </c>
      <c r="J434" t="s">
        <v>6</v>
      </c>
      <c r="K434" t="s">
        <v>7</v>
      </c>
      <c r="L434">
        <v>19</v>
      </c>
      <c r="M434">
        <v>1</v>
      </c>
      <c r="N434">
        <v>0.05</v>
      </c>
      <c r="O434">
        <v>2183</v>
      </c>
    </row>
    <row r="435" spans="1:15" x14ac:dyDescent="0.2">
      <c r="A435">
        <v>44</v>
      </c>
      <c r="B435" t="str">
        <f>VLOOKUP(Table1[[#This Row],[CountyID]],[1]!Table1[#All],2,FALSE)</f>
        <v>Mahnomen</v>
      </c>
      <c r="C435">
        <f>VLOOKUP(Table1[[#This Row],[CountyID]],[1]!Table1[#All],3,FALSE)</f>
        <v>19</v>
      </c>
      <c r="D435">
        <v>19</v>
      </c>
      <c r="E435">
        <f>Table1[[#This Row],[Number of Counties]]-Table1[[#This Row],[Number of precincts Reporting]]</f>
        <v>0</v>
      </c>
      <c r="F435" t="s">
        <v>0</v>
      </c>
      <c r="G435" t="s">
        <v>1</v>
      </c>
      <c r="H435">
        <v>101</v>
      </c>
      <c r="I435">
        <v>401</v>
      </c>
      <c r="J435" t="s">
        <v>8</v>
      </c>
      <c r="K435" t="s">
        <v>9</v>
      </c>
      <c r="L435">
        <v>19</v>
      </c>
      <c r="M435">
        <v>27</v>
      </c>
      <c r="N435">
        <v>1.24</v>
      </c>
      <c r="O435">
        <v>2183</v>
      </c>
    </row>
    <row r="436" spans="1:15" x14ac:dyDescent="0.2">
      <c r="A436">
        <v>44</v>
      </c>
      <c r="B436" t="str">
        <f>VLOOKUP(Table1[[#This Row],[CountyID]],[1]!Table1[#All],2,FALSE)</f>
        <v>Mahnomen</v>
      </c>
      <c r="C436">
        <f>VLOOKUP(Table1[[#This Row],[CountyID]],[1]!Table1[#All],3,FALSE)</f>
        <v>19</v>
      </c>
      <c r="D436">
        <v>19</v>
      </c>
      <c r="E436">
        <f>Table1[[#This Row],[Number of Counties]]-Table1[[#This Row],[Number of precincts Reporting]]</f>
        <v>0</v>
      </c>
      <c r="F436" t="s">
        <v>0</v>
      </c>
      <c r="G436" t="s">
        <v>1</v>
      </c>
      <c r="H436">
        <v>101</v>
      </c>
      <c r="I436">
        <v>501</v>
      </c>
      <c r="J436" t="s">
        <v>10</v>
      </c>
      <c r="K436" t="s">
        <v>11</v>
      </c>
      <c r="L436">
        <v>19</v>
      </c>
      <c r="M436">
        <v>3</v>
      </c>
      <c r="N436">
        <v>0.14000000000000001</v>
      </c>
      <c r="O436">
        <v>2183</v>
      </c>
    </row>
    <row r="437" spans="1:15" x14ac:dyDescent="0.2">
      <c r="A437">
        <v>44</v>
      </c>
      <c r="B437" t="str">
        <f>VLOOKUP(Table1[[#This Row],[CountyID]],[1]!Table1[#All],2,FALSE)</f>
        <v>Mahnomen</v>
      </c>
      <c r="C437">
        <f>VLOOKUP(Table1[[#This Row],[CountyID]],[1]!Table1[#All],3,FALSE)</f>
        <v>19</v>
      </c>
      <c r="D437">
        <v>19</v>
      </c>
      <c r="E437">
        <f>Table1[[#This Row],[Number of Counties]]-Table1[[#This Row],[Number of precincts Reporting]]</f>
        <v>0</v>
      </c>
      <c r="F437" t="s">
        <v>0</v>
      </c>
      <c r="G437" t="s">
        <v>1</v>
      </c>
      <c r="H437">
        <v>101</v>
      </c>
      <c r="I437">
        <v>601</v>
      </c>
      <c r="J437" t="s">
        <v>12</v>
      </c>
      <c r="K437" t="s">
        <v>13</v>
      </c>
      <c r="L437">
        <v>19</v>
      </c>
      <c r="M437">
        <v>1</v>
      </c>
      <c r="N437">
        <v>0.05</v>
      </c>
      <c r="O437">
        <v>2183</v>
      </c>
    </row>
    <row r="438" spans="1:15" x14ac:dyDescent="0.2">
      <c r="A438">
        <v>44</v>
      </c>
      <c r="B438" t="str">
        <f>VLOOKUP(Table1[[#This Row],[CountyID]],[1]!Table1[#All],2,FALSE)</f>
        <v>Mahnomen</v>
      </c>
      <c r="C438">
        <f>VLOOKUP(Table1[[#This Row],[CountyID]],[1]!Table1[#All],3,FALSE)</f>
        <v>19</v>
      </c>
      <c r="D438">
        <v>19</v>
      </c>
      <c r="E438">
        <f>Table1[[#This Row],[Number of Counties]]-Table1[[#This Row],[Number of precincts Reporting]]</f>
        <v>0</v>
      </c>
      <c r="F438" t="s">
        <v>0</v>
      </c>
      <c r="G438" t="s">
        <v>1</v>
      </c>
      <c r="H438">
        <v>101</v>
      </c>
      <c r="I438">
        <v>701</v>
      </c>
      <c r="J438" t="s">
        <v>14</v>
      </c>
      <c r="K438" t="s">
        <v>15</v>
      </c>
      <c r="L438">
        <v>19</v>
      </c>
      <c r="M438">
        <v>1</v>
      </c>
      <c r="N438">
        <v>0.05</v>
      </c>
      <c r="O438">
        <v>2183</v>
      </c>
    </row>
    <row r="439" spans="1:15" x14ac:dyDescent="0.2">
      <c r="A439">
        <v>44</v>
      </c>
      <c r="B439" t="str">
        <f>VLOOKUP(Table1[[#This Row],[CountyID]],[1]!Table1[#All],2,FALSE)</f>
        <v>Mahnomen</v>
      </c>
      <c r="C439">
        <f>VLOOKUP(Table1[[#This Row],[CountyID]],[1]!Table1[#All],3,FALSE)</f>
        <v>19</v>
      </c>
      <c r="D439">
        <v>19</v>
      </c>
      <c r="E439">
        <f>Table1[[#This Row],[Number of Counties]]-Table1[[#This Row],[Number of precincts Reporting]]</f>
        <v>0</v>
      </c>
      <c r="F439" t="s">
        <v>0</v>
      </c>
      <c r="G439" t="s">
        <v>1</v>
      </c>
      <c r="H439">
        <v>101</v>
      </c>
      <c r="I439">
        <v>801</v>
      </c>
      <c r="J439" t="s">
        <v>16</v>
      </c>
      <c r="K439" t="s">
        <v>17</v>
      </c>
      <c r="L439">
        <v>19</v>
      </c>
      <c r="M439">
        <v>1</v>
      </c>
      <c r="N439">
        <v>0.05</v>
      </c>
      <c r="O439">
        <v>2183</v>
      </c>
    </row>
    <row r="440" spans="1:15" x14ac:dyDescent="0.2">
      <c r="A440">
        <v>44</v>
      </c>
      <c r="B440" t="str">
        <f>VLOOKUP(Table1[[#This Row],[CountyID]],[1]!Table1[#All],2,FALSE)</f>
        <v>Mahnomen</v>
      </c>
      <c r="C440">
        <f>VLOOKUP(Table1[[#This Row],[CountyID]],[1]!Table1[#All],3,FALSE)</f>
        <v>19</v>
      </c>
      <c r="D440">
        <v>19</v>
      </c>
      <c r="E440">
        <f>Table1[[#This Row],[Number of Counties]]-Table1[[#This Row],[Number of precincts Reporting]]</f>
        <v>0</v>
      </c>
      <c r="F440" t="s">
        <v>0</v>
      </c>
      <c r="G440" t="s">
        <v>1</v>
      </c>
      <c r="H440">
        <v>101</v>
      </c>
      <c r="I440">
        <v>901</v>
      </c>
      <c r="J440" t="s">
        <v>18</v>
      </c>
      <c r="K440" t="s">
        <v>19</v>
      </c>
      <c r="L440">
        <v>19</v>
      </c>
      <c r="M440">
        <v>2</v>
      </c>
      <c r="N440">
        <v>0.09</v>
      </c>
      <c r="O440">
        <v>2183</v>
      </c>
    </row>
    <row r="441" spans="1:15" x14ac:dyDescent="0.2">
      <c r="A441">
        <v>44</v>
      </c>
      <c r="B441" t="str">
        <f>VLOOKUP(Table1[[#This Row],[CountyID]],[1]!Table1[#All],2,FALSE)</f>
        <v>Mahnomen</v>
      </c>
      <c r="C441">
        <f>VLOOKUP(Table1[[#This Row],[CountyID]],[1]!Table1[#All],3,FALSE)</f>
        <v>19</v>
      </c>
      <c r="D441">
        <v>19</v>
      </c>
      <c r="E441">
        <f>Table1[[#This Row],[Number of Counties]]-Table1[[#This Row],[Number of precincts Reporting]]</f>
        <v>0</v>
      </c>
      <c r="F441" t="s">
        <v>0</v>
      </c>
      <c r="G441" t="s">
        <v>1</v>
      </c>
      <c r="H441">
        <v>101</v>
      </c>
      <c r="I441">
        <v>9901</v>
      </c>
      <c r="J441" t="s">
        <v>20</v>
      </c>
      <c r="K441" t="s">
        <v>21</v>
      </c>
      <c r="L441">
        <v>19</v>
      </c>
      <c r="M441">
        <v>7</v>
      </c>
      <c r="N441">
        <v>0.32</v>
      </c>
      <c r="O441">
        <v>2183</v>
      </c>
    </row>
    <row r="442" spans="1:15" x14ac:dyDescent="0.2">
      <c r="A442">
        <v>45</v>
      </c>
      <c r="B442" t="str">
        <f>VLOOKUP(Table1[[#This Row],[CountyID]],[1]!Table1[#All],2,FALSE)</f>
        <v>Marshall</v>
      </c>
      <c r="C442">
        <f>VLOOKUP(Table1[[#This Row],[CountyID]],[1]!Table1[#All],3,FALSE)</f>
        <v>60</v>
      </c>
      <c r="D442">
        <v>60</v>
      </c>
      <c r="E442">
        <f>Table1[[#This Row],[Number of Counties]]-Table1[[#This Row],[Number of precincts Reporting]]</f>
        <v>0</v>
      </c>
      <c r="F442" t="s">
        <v>0</v>
      </c>
      <c r="G442" t="s">
        <v>1</v>
      </c>
      <c r="H442">
        <v>101</v>
      </c>
      <c r="I442">
        <v>101</v>
      </c>
      <c r="J442" t="s">
        <v>2</v>
      </c>
      <c r="K442" t="s">
        <v>3</v>
      </c>
      <c r="L442">
        <v>60</v>
      </c>
      <c r="M442">
        <v>3774</v>
      </c>
      <c r="N442">
        <v>75.010000000000005</v>
      </c>
      <c r="O442">
        <v>5031</v>
      </c>
    </row>
    <row r="443" spans="1:15" x14ac:dyDescent="0.2">
      <c r="A443">
        <v>45</v>
      </c>
      <c r="B443" t="str">
        <f>VLOOKUP(Table1[[#This Row],[CountyID]],[1]!Table1[#All],2,FALSE)</f>
        <v>Marshall</v>
      </c>
      <c r="C443">
        <f>VLOOKUP(Table1[[#This Row],[CountyID]],[1]!Table1[#All],3,FALSE)</f>
        <v>60</v>
      </c>
      <c r="D443">
        <v>60</v>
      </c>
      <c r="E443">
        <f>Table1[[#This Row],[Number of Counties]]-Table1[[#This Row],[Number of precincts Reporting]]</f>
        <v>0</v>
      </c>
      <c r="F443" t="s">
        <v>0</v>
      </c>
      <c r="G443" t="s">
        <v>1</v>
      </c>
      <c r="H443">
        <v>101</v>
      </c>
      <c r="I443">
        <v>201</v>
      </c>
      <c r="J443" t="s">
        <v>4</v>
      </c>
      <c r="K443" t="s">
        <v>5</v>
      </c>
      <c r="L443">
        <v>60</v>
      </c>
      <c r="M443">
        <v>1177</v>
      </c>
      <c r="N443">
        <v>23.39</v>
      </c>
      <c r="O443">
        <v>5031</v>
      </c>
    </row>
    <row r="444" spans="1:15" x14ac:dyDescent="0.2">
      <c r="A444">
        <v>45</v>
      </c>
      <c r="B444" t="str">
        <f>VLOOKUP(Table1[[#This Row],[CountyID]],[1]!Table1[#All],2,FALSE)</f>
        <v>Marshall</v>
      </c>
      <c r="C444">
        <f>VLOOKUP(Table1[[#This Row],[CountyID]],[1]!Table1[#All],3,FALSE)</f>
        <v>60</v>
      </c>
      <c r="D444">
        <v>60</v>
      </c>
      <c r="E444">
        <f>Table1[[#This Row],[Number of Counties]]-Table1[[#This Row],[Number of precincts Reporting]]</f>
        <v>0</v>
      </c>
      <c r="F444" t="s">
        <v>0</v>
      </c>
      <c r="G444" t="s">
        <v>1</v>
      </c>
      <c r="H444">
        <v>101</v>
      </c>
      <c r="I444">
        <v>301</v>
      </c>
      <c r="J444" t="s">
        <v>6</v>
      </c>
      <c r="K444" t="s">
        <v>7</v>
      </c>
      <c r="L444">
        <v>60</v>
      </c>
      <c r="M444">
        <v>15</v>
      </c>
      <c r="N444">
        <v>0.3</v>
      </c>
      <c r="O444">
        <v>5031</v>
      </c>
    </row>
    <row r="445" spans="1:15" x14ac:dyDescent="0.2">
      <c r="A445">
        <v>45</v>
      </c>
      <c r="B445" t="str">
        <f>VLOOKUP(Table1[[#This Row],[CountyID]],[1]!Table1[#All],2,FALSE)</f>
        <v>Marshall</v>
      </c>
      <c r="C445">
        <f>VLOOKUP(Table1[[#This Row],[CountyID]],[1]!Table1[#All],3,FALSE)</f>
        <v>60</v>
      </c>
      <c r="D445">
        <v>60</v>
      </c>
      <c r="E445">
        <f>Table1[[#This Row],[Number of Counties]]-Table1[[#This Row],[Number of precincts Reporting]]</f>
        <v>0</v>
      </c>
      <c r="F445" t="s">
        <v>0</v>
      </c>
      <c r="G445" t="s">
        <v>1</v>
      </c>
      <c r="H445">
        <v>101</v>
      </c>
      <c r="I445">
        <v>401</v>
      </c>
      <c r="J445" t="s">
        <v>8</v>
      </c>
      <c r="K445" t="s">
        <v>9</v>
      </c>
      <c r="L445">
        <v>60</v>
      </c>
      <c r="M445">
        <v>47</v>
      </c>
      <c r="N445">
        <v>0.93</v>
      </c>
      <c r="O445">
        <v>5031</v>
      </c>
    </row>
    <row r="446" spans="1:15" x14ac:dyDescent="0.2">
      <c r="A446">
        <v>45</v>
      </c>
      <c r="B446" t="str">
        <f>VLOOKUP(Table1[[#This Row],[CountyID]],[1]!Table1[#All],2,FALSE)</f>
        <v>Marshall</v>
      </c>
      <c r="C446">
        <f>VLOOKUP(Table1[[#This Row],[CountyID]],[1]!Table1[#All],3,FALSE)</f>
        <v>60</v>
      </c>
      <c r="D446">
        <v>60</v>
      </c>
      <c r="E446">
        <f>Table1[[#This Row],[Number of Counties]]-Table1[[#This Row],[Number of precincts Reporting]]</f>
        <v>0</v>
      </c>
      <c r="F446" t="s">
        <v>0</v>
      </c>
      <c r="G446" t="s">
        <v>1</v>
      </c>
      <c r="H446">
        <v>101</v>
      </c>
      <c r="I446">
        <v>501</v>
      </c>
      <c r="J446" t="s">
        <v>10</v>
      </c>
      <c r="K446" t="s">
        <v>11</v>
      </c>
      <c r="L446">
        <v>60</v>
      </c>
      <c r="M446">
        <v>6</v>
      </c>
      <c r="N446">
        <v>0.12</v>
      </c>
      <c r="O446">
        <v>5031</v>
      </c>
    </row>
    <row r="447" spans="1:15" x14ac:dyDescent="0.2">
      <c r="A447">
        <v>45</v>
      </c>
      <c r="B447" t="str">
        <f>VLOOKUP(Table1[[#This Row],[CountyID]],[1]!Table1[#All],2,FALSE)</f>
        <v>Marshall</v>
      </c>
      <c r="C447">
        <f>VLOOKUP(Table1[[#This Row],[CountyID]],[1]!Table1[#All],3,FALSE)</f>
        <v>60</v>
      </c>
      <c r="D447">
        <v>60</v>
      </c>
      <c r="E447">
        <f>Table1[[#This Row],[Number of Counties]]-Table1[[#This Row],[Number of precincts Reporting]]</f>
        <v>0</v>
      </c>
      <c r="F447" t="s">
        <v>0</v>
      </c>
      <c r="G447" t="s">
        <v>1</v>
      </c>
      <c r="H447">
        <v>101</v>
      </c>
      <c r="I447">
        <v>601</v>
      </c>
      <c r="J447" t="s">
        <v>12</v>
      </c>
      <c r="K447" t="s">
        <v>13</v>
      </c>
      <c r="L447">
        <v>60</v>
      </c>
      <c r="M447">
        <v>1</v>
      </c>
      <c r="N447">
        <v>0.02</v>
      </c>
      <c r="O447">
        <v>5031</v>
      </c>
    </row>
    <row r="448" spans="1:15" x14ac:dyDescent="0.2">
      <c r="A448">
        <v>45</v>
      </c>
      <c r="B448" t="str">
        <f>VLOOKUP(Table1[[#This Row],[CountyID]],[1]!Table1[#All],2,FALSE)</f>
        <v>Marshall</v>
      </c>
      <c r="C448">
        <f>VLOOKUP(Table1[[#This Row],[CountyID]],[1]!Table1[#All],3,FALSE)</f>
        <v>60</v>
      </c>
      <c r="D448">
        <v>60</v>
      </c>
      <c r="E448">
        <f>Table1[[#This Row],[Number of Counties]]-Table1[[#This Row],[Number of precincts Reporting]]</f>
        <v>0</v>
      </c>
      <c r="F448" t="s">
        <v>0</v>
      </c>
      <c r="G448" t="s">
        <v>1</v>
      </c>
      <c r="H448">
        <v>101</v>
      </c>
      <c r="I448">
        <v>701</v>
      </c>
      <c r="J448" t="s">
        <v>14</v>
      </c>
      <c r="K448" t="s">
        <v>15</v>
      </c>
      <c r="L448">
        <v>60</v>
      </c>
      <c r="M448">
        <v>0</v>
      </c>
      <c r="N448">
        <v>0</v>
      </c>
      <c r="O448">
        <v>5031</v>
      </c>
    </row>
    <row r="449" spans="1:15" x14ac:dyDescent="0.2">
      <c r="A449">
        <v>45</v>
      </c>
      <c r="B449" t="str">
        <f>VLOOKUP(Table1[[#This Row],[CountyID]],[1]!Table1[#All],2,FALSE)</f>
        <v>Marshall</v>
      </c>
      <c r="C449">
        <f>VLOOKUP(Table1[[#This Row],[CountyID]],[1]!Table1[#All],3,FALSE)</f>
        <v>60</v>
      </c>
      <c r="D449">
        <v>60</v>
      </c>
      <c r="E449">
        <f>Table1[[#This Row],[Number of Counties]]-Table1[[#This Row],[Number of precincts Reporting]]</f>
        <v>0</v>
      </c>
      <c r="F449" t="s">
        <v>0</v>
      </c>
      <c r="G449" t="s">
        <v>1</v>
      </c>
      <c r="H449">
        <v>101</v>
      </c>
      <c r="I449">
        <v>801</v>
      </c>
      <c r="J449" t="s">
        <v>16</v>
      </c>
      <c r="K449" t="s">
        <v>17</v>
      </c>
      <c r="L449">
        <v>60</v>
      </c>
      <c r="M449">
        <v>0</v>
      </c>
      <c r="N449">
        <v>0</v>
      </c>
      <c r="O449">
        <v>5031</v>
      </c>
    </row>
    <row r="450" spans="1:15" x14ac:dyDescent="0.2">
      <c r="A450">
        <v>45</v>
      </c>
      <c r="B450" t="str">
        <f>VLOOKUP(Table1[[#This Row],[CountyID]],[1]!Table1[#All],2,FALSE)</f>
        <v>Marshall</v>
      </c>
      <c r="C450">
        <f>VLOOKUP(Table1[[#This Row],[CountyID]],[1]!Table1[#All],3,FALSE)</f>
        <v>60</v>
      </c>
      <c r="D450">
        <v>60</v>
      </c>
      <c r="E450">
        <f>Table1[[#This Row],[Number of Counties]]-Table1[[#This Row],[Number of precincts Reporting]]</f>
        <v>0</v>
      </c>
      <c r="F450" t="s">
        <v>0</v>
      </c>
      <c r="G450" t="s">
        <v>1</v>
      </c>
      <c r="H450">
        <v>101</v>
      </c>
      <c r="I450">
        <v>901</v>
      </c>
      <c r="J450" t="s">
        <v>18</v>
      </c>
      <c r="K450" t="s">
        <v>19</v>
      </c>
      <c r="L450">
        <v>60</v>
      </c>
      <c r="M450">
        <v>4</v>
      </c>
      <c r="N450">
        <v>0.08</v>
      </c>
      <c r="O450">
        <v>5031</v>
      </c>
    </row>
    <row r="451" spans="1:15" x14ac:dyDescent="0.2">
      <c r="A451">
        <v>45</v>
      </c>
      <c r="B451" t="str">
        <f>VLOOKUP(Table1[[#This Row],[CountyID]],[1]!Table1[#All],2,FALSE)</f>
        <v>Marshall</v>
      </c>
      <c r="C451">
        <f>VLOOKUP(Table1[[#This Row],[CountyID]],[1]!Table1[#All],3,FALSE)</f>
        <v>60</v>
      </c>
      <c r="D451">
        <v>60</v>
      </c>
      <c r="E451">
        <f>Table1[[#This Row],[Number of Counties]]-Table1[[#This Row],[Number of precincts Reporting]]</f>
        <v>0</v>
      </c>
      <c r="F451" t="s">
        <v>0</v>
      </c>
      <c r="G451" t="s">
        <v>1</v>
      </c>
      <c r="H451">
        <v>101</v>
      </c>
      <c r="I451">
        <v>9901</v>
      </c>
      <c r="J451" t="s">
        <v>20</v>
      </c>
      <c r="K451" t="s">
        <v>21</v>
      </c>
      <c r="L451">
        <v>60</v>
      </c>
      <c r="M451">
        <v>7</v>
      </c>
      <c r="N451">
        <v>0.14000000000000001</v>
      </c>
      <c r="O451">
        <v>5031</v>
      </c>
    </row>
    <row r="452" spans="1:15" x14ac:dyDescent="0.2">
      <c r="A452">
        <v>46</v>
      </c>
      <c r="B452" t="str">
        <f>VLOOKUP(Table1[[#This Row],[CountyID]],[1]!Table1[#All],2,FALSE)</f>
        <v>Martin</v>
      </c>
      <c r="C452">
        <f>VLOOKUP(Table1[[#This Row],[CountyID]],[1]!Table1[#All],3,FALSE)</f>
        <v>37</v>
      </c>
      <c r="D452">
        <v>37</v>
      </c>
      <c r="E452">
        <f>Table1[[#This Row],[Number of Counties]]-Table1[[#This Row],[Number of precincts Reporting]]</f>
        <v>0</v>
      </c>
      <c r="F452" t="s">
        <v>0</v>
      </c>
      <c r="G452" t="s">
        <v>1</v>
      </c>
      <c r="H452">
        <v>101</v>
      </c>
      <c r="I452">
        <v>101</v>
      </c>
      <c r="J452" t="s">
        <v>2</v>
      </c>
      <c r="K452" t="s">
        <v>3</v>
      </c>
      <c r="L452">
        <v>37</v>
      </c>
      <c r="M452">
        <v>7442</v>
      </c>
      <c r="N452">
        <v>68.930000000000007</v>
      </c>
      <c r="O452">
        <v>10796</v>
      </c>
    </row>
    <row r="453" spans="1:15" x14ac:dyDescent="0.2">
      <c r="A453">
        <v>46</v>
      </c>
      <c r="B453" t="str">
        <f>VLOOKUP(Table1[[#This Row],[CountyID]],[1]!Table1[#All],2,FALSE)</f>
        <v>Martin</v>
      </c>
      <c r="C453">
        <f>VLOOKUP(Table1[[#This Row],[CountyID]],[1]!Table1[#All],3,FALSE)</f>
        <v>37</v>
      </c>
      <c r="D453">
        <v>37</v>
      </c>
      <c r="E453">
        <f>Table1[[#This Row],[Number of Counties]]-Table1[[#This Row],[Number of precincts Reporting]]</f>
        <v>0</v>
      </c>
      <c r="F453" t="s">
        <v>0</v>
      </c>
      <c r="G453" t="s">
        <v>1</v>
      </c>
      <c r="H453">
        <v>101</v>
      </c>
      <c r="I453">
        <v>201</v>
      </c>
      <c r="J453" t="s">
        <v>4</v>
      </c>
      <c r="K453" t="s">
        <v>5</v>
      </c>
      <c r="L453">
        <v>37</v>
      </c>
      <c r="M453">
        <v>3171</v>
      </c>
      <c r="N453">
        <v>29.37</v>
      </c>
      <c r="O453">
        <v>10796</v>
      </c>
    </row>
    <row r="454" spans="1:15" x14ac:dyDescent="0.2">
      <c r="A454">
        <v>46</v>
      </c>
      <c r="B454" t="str">
        <f>VLOOKUP(Table1[[#This Row],[CountyID]],[1]!Table1[#All],2,FALSE)</f>
        <v>Martin</v>
      </c>
      <c r="C454">
        <f>VLOOKUP(Table1[[#This Row],[CountyID]],[1]!Table1[#All],3,FALSE)</f>
        <v>37</v>
      </c>
      <c r="D454">
        <v>37</v>
      </c>
      <c r="E454">
        <f>Table1[[#This Row],[Number of Counties]]-Table1[[#This Row],[Number of precincts Reporting]]</f>
        <v>0</v>
      </c>
      <c r="F454" t="s">
        <v>0</v>
      </c>
      <c r="G454" t="s">
        <v>1</v>
      </c>
      <c r="H454">
        <v>101</v>
      </c>
      <c r="I454">
        <v>301</v>
      </c>
      <c r="J454" t="s">
        <v>6</v>
      </c>
      <c r="K454" t="s">
        <v>7</v>
      </c>
      <c r="L454">
        <v>37</v>
      </c>
      <c r="M454">
        <v>28</v>
      </c>
      <c r="N454">
        <v>0.26</v>
      </c>
      <c r="O454">
        <v>10796</v>
      </c>
    </row>
    <row r="455" spans="1:15" x14ac:dyDescent="0.2">
      <c r="A455">
        <v>46</v>
      </c>
      <c r="B455" t="str">
        <f>VLOOKUP(Table1[[#This Row],[CountyID]],[1]!Table1[#All],2,FALSE)</f>
        <v>Martin</v>
      </c>
      <c r="C455">
        <f>VLOOKUP(Table1[[#This Row],[CountyID]],[1]!Table1[#All],3,FALSE)</f>
        <v>37</v>
      </c>
      <c r="D455">
        <v>37</v>
      </c>
      <c r="E455">
        <f>Table1[[#This Row],[Number of Counties]]-Table1[[#This Row],[Number of precincts Reporting]]</f>
        <v>0</v>
      </c>
      <c r="F455" t="s">
        <v>0</v>
      </c>
      <c r="G455" t="s">
        <v>1</v>
      </c>
      <c r="H455">
        <v>101</v>
      </c>
      <c r="I455">
        <v>401</v>
      </c>
      <c r="J455" t="s">
        <v>8</v>
      </c>
      <c r="K455" t="s">
        <v>9</v>
      </c>
      <c r="L455">
        <v>37</v>
      </c>
      <c r="M455">
        <v>95</v>
      </c>
      <c r="N455">
        <v>0.88</v>
      </c>
      <c r="O455">
        <v>10796</v>
      </c>
    </row>
    <row r="456" spans="1:15" x14ac:dyDescent="0.2">
      <c r="A456">
        <v>46</v>
      </c>
      <c r="B456" t="str">
        <f>VLOOKUP(Table1[[#This Row],[CountyID]],[1]!Table1[#All],2,FALSE)</f>
        <v>Martin</v>
      </c>
      <c r="C456">
        <f>VLOOKUP(Table1[[#This Row],[CountyID]],[1]!Table1[#All],3,FALSE)</f>
        <v>37</v>
      </c>
      <c r="D456">
        <v>37</v>
      </c>
      <c r="E456">
        <f>Table1[[#This Row],[Number of Counties]]-Table1[[#This Row],[Number of precincts Reporting]]</f>
        <v>0</v>
      </c>
      <c r="F456" t="s">
        <v>0</v>
      </c>
      <c r="G456" t="s">
        <v>1</v>
      </c>
      <c r="H456">
        <v>101</v>
      </c>
      <c r="I456">
        <v>501</v>
      </c>
      <c r="J456" t="s">
        <v>10</v>
      </c>
      <c r="K456" t="s">
        <v>11</v>
      </c>
      <c r="L456">
        <v>37</v>
      </c>
      <c r="M456">
        <v>15</v>
      </c>
      <c r="N456">
        <v>0.14000000000000001</v>
      </c>
      <c r="O456">
        <v>10796</v>
      </c>
    </row>
    <row r="457" spans="1:15" x14ac:dyDescent="0.2">
      <c r="A457">
        <v>46</v>
      </c>
      <c r="B457" t="str">
        <f>VLOOKUP(Table1[[#This Row],[CountyID]],[1]!Table1[#All],2,FALSE)</f>
        <v>Martin</v>
      </c>
      <c r="C457">
        <f>VLOOKUP(Table1[[#This Row],[CountyID]],[1]!Table1[#All],3,FALSE)</f>
        <v>37</v>
      </c>
      <c r="D457">
        <v>37</v>
      </c>
      <c r="E457">
        <f>Table1[[#This Row],[Number of Counties]]-Table1[[#This Row],[Number of precincts Reporting]]</f>
        <v>0</v>
      </c>
      <c r="F457" t="s">
        <v>0</v>
      </c>
      <c r="G457" t="s">
        <v>1</v>
      </c>
      <c r="H457">
        <v>101</v>
      </c>
      <c r="I457">
        <v>601</v>
      </c>
      <c r="J457" t="s">
        <v>12</v>
      </c>
      <c r="K457" t="s">
        <v>13</v>
      </c>
      <c r="L457">
        <v>37</v>
      </c>
      <c r="M457">
        <v>0</v>
      </c>
      <c r="N457">
        <v>0</v>
      </c>
      <c r="O457">
        <v>10796</v>
      </c>
    </row>
    <row r="458" spans="1:15" x14ac:dyDescent="0.2">
      <c r="A458">
        <v>46</v>
      </c>
      <c r="B458" t="str">
        <f>VLOOKUP(Table1[[#This Row],[CountyID]],[1]!Table1[#All],2,FALSE)</f>
        <v>Martin</v>
      </c>
      <c r="C458">
        <f>VLOOKUP(Table1[[#This Row],[CountyID]],[1]!Table1[#All],3,FALSE)</f>
        <v>37</v>
      </c>
      <c r="D458">
        <v>37</v>
      </c>
      <c r="E458">
        <f>Table1[[#This Row],[Number of Counties]]-Table1[[#This Row],[Number of precincts Reporting]]</f>
        <v>0</v>
      </c>
      <c r="F458" t="s">
        <v>0</v>
      </c>
      <c r="G458" t="s">
        <v>1</v>
      </c>
      <c r="H458">
        <v>101</v>
      </c>
      <c r="I458">
        <v>701</v>
      </c>
      <c r="J458" t="s">
        <v>14</v>
      </c>
      <c r="K458" t="s">
        <v>15</v>
      </c>
      <c r="L458">
        <v>37</v>
      </c>
      <c r="M458">
        <v>0</v>
      </c>
      <c r="N458">
        <v>0</v>
      </c>
      <c r="O458">
        <v>10796</v>
      </c>
    </row>
    <row r="459" spans="1:15" x14ac:dyDescent="0.2">
      <c r="A459">
        <v>46</v>
      </c>
      <c r="B459" t="str">
        <f>VLOOKUP(Table1[[#This Row],[CountyID]],[1]!Table1[#All],2,FALSE)</f>
        <v>Martin</v>
      </c>
      <c r="C459">
        <f>VLOOKUP(Table1[[#This Row],[CountyID]],[1]!Table1[#All],3,FALSE)</f>
        <v>37</v>
      </c>
      <c r="D459">
        <v>37</v>
      </c>
      <c r="E459">
        <f>Table1[[#This Row],[Number of Counties]]-Table1[[#This Row],[Number of precincts Reporting]]</f>
        <v>0</v>
      </c>
      <c r="F459" t="s">
        <v>0</v>
      </c>
      <c r="G459" t="s">
        <v>1</v>
      </c>
      <c r="H459">
        <v>101</v>
      </c>
      <c r="I459">
        <v>801</v>
      </c>
      <c r="J459" t="s">
        <v>16</v>
      </c>
      <c r="K459" t="s">
        <v>17</v>
      </c>
      <c r="L459">
        <v>37</v>
      </c>
      <c r="M459">
        <v>3</v>
      </c>
      <c r="N459">
        <v>0.03</v>
      </c>
      <c r="O459">
        <v>10796</v>
      </c>
    </row>
    <row r="460" spans="1:15" x14ac:dyDescent="0.2">
      <c r="A460">
        <v>46</v>
      </c>
      <c r="B460" t="str">
        <f>VLOOKUP(Table1[[#This Row],[CountyID]],[1]!Table1[#All],2,FALSE)</f>
        <v>Martin</v>
      </c>
      <c r="C460">
        <f>VLOOKUP(Table1[[#This Row],[CountyID]],[1]!Table1[#All],3,FALSE)</f>
        <v>37</v>
      </c>
      <c r="D460">
        <v>37</v>
      </c>
      <c r="E460">
        <f>Table1[[#This Row],[Number of Counties]]-Table1[[#This Row],[Number of precincts Reporting]]</f>
        <v>0</v>
      </c>
      <c r="F460" t="s">
        <v>0</v>
      </c>
      <c r="G460" t="s">
        <v>1</v>
      </c>
      <c r="H460">
        <v>101</v>
      </c>
      <c r="I460">
        <v>901</v>
      </c>
      <c r="J460" t="s">
        <v>18</v>
      </c>
      <c r="K460" t="s">
        <v>19</v>
      </c>
      <c r="L460">
        <v>37</v>
      </c>
      <c r="M460">
        <v>11</v>
      </c>
      <c r="N460">
        <v>0.1</v>
      </c>
      <c r="O460">
        <v>10796</v>
      </c>
    </row>
    <row r="461" spans="1:15" x14ac:dyDescent="0.2">
      <c r="A461">
        <v>46</v>
      </c>
      <c r="B461" t="str">
        <f>VLOOKUP(Table1[[#This Row],[CountyID]],[1]!Table1[#All],2,FALSE)</f>
        <v>Martin</v>
      </c>
      <c r="C461">
        <f>VLOOKUP(Table1[[#This Row],[CountyID]],[1]!Table1[#All],3,FALSE)</f>
        <v>37</v>
      </c>
      <c r="D461">
        <v>37</v>
      </c>
      <c r="E461">
        <f>Table1[[#This Row],[Number of Counties]]-Table1[[#This Row],[Number of precincts Reporting]]</f>
        <v>0</v>
      </c>
      <c r="F461" t="s">
        <v>0</v>
      </c>
      <c r="G461" t="s">
        <v>1</v>
      </c>
      <c r="H461">
        <v>101</v>
      </c>
      <c r="I461">
        <v>9901</v>
      </c>
      <c r="J461" t="s">
        <v>20</v>
      </c>
      <c r="K461" t="s">
        <v>21</v>
      </c>
      <c r="L461">
        <v>37</v>
      </c>
      <c r="M461">
        <v>31</v>
      </c>
      <c r="N461">
        <v>0.28999999999999998</v>
      </c>
      <c r="O461">
        <v>10796</v>
      </c>
    </row>
    <row r="462" spans="1:15" x14ac:dyDescent="0.2">
      <c r="A462">
        <v>47</v>
      </c>
      <c r="B462" t="str">
        <f>VLOOKUP(Table1[[#This Row],[CountyID]],[1]!Table1[#All],2,FALSE)</f>
        <v>Meeker</v>
      </c>
      <c r="C462">
        <f>VLOOKUP(Table1[[#This Row],[CountyID]],[1]!Table1[#All],3,FALSE)</f>
        <v>30</v>
      </c>
      <c r="D462">
        <v>30</v>
      </c>
      <c r="E462">
        <f>Table1[[#This Row],[Number of Counties]]-Table1[[#This Row],[Number of precincts Reporting]]</f>
        <v>0</v>
      </c>
      <c r="F462" t="s">
        <v>0</v>
      </c>
      <c r="G462" t="s">
        <v>1</v>
      </c>
      <c r="H462">
        <v>101</v>
      </c>
      <c r="I462">
        <v>101</v>
      </c>
      <c r="J462" t="s">
        <v>2</v>
      </c>
      <c r="K462" t="s">
        <v>3</v>
      </c>
      <c r="L462">
        <v>30</v>
      </c>
      <c r="M462">
        <v>9645</v>
      </c>
      <c r="N462">
        <v>70.430000000000007</v>
      </c>
      <c r="O462">
        <v>13694</v>
      </c>
    </row>
    <row r="463" spans="1:15" x14ac:dyDescent="0.2">
      <c r="A463">
        <v>47</v>
      </c>
      <c r="B463" t="str">
        <f>VLOOKUP(Table1[[#This Row],[CountyID]],[1]!Table1[#All],2,FALSE)</f>
        <v>Meeker</v>
      </c>
      <c r="C463">
        <f>VLOOKUP(Table1[[#This Row],[CountyID]],[1]!Table1[#All],3,FALSE)</f>
        <v>30</v>
      </c>
      <c r="D463">
        <v>30</v>
      </c>
      <c r="E463">
        <f>Table1[[#This Row],[Number of Counties]]-Table1[[#This Row],[Number of precincts Reporting]]</f>
        <v>0</v>
      </c>
      <c r="F463" t="s">
        <v>0</v>
      </c>
      <c r="G463" t="s">
        <v>1</v>
      </c>
      <c r="H463">
        <v>101</v>
      </c>
      <c r="I463">
        <v>201</v>
      </c>
      <c r="J463" t="s">
        <v>4</v>
      </c>
      <c r="K463" t="s">
        <v>5</v>
      </c>
      <c r="L463">
        <v>30</v>
      </c>
      <c r="M463">
        <v>3802</v>
      </c>
      <c r="N463">
        <v>27.76</v>
      </c>
      <c r="O463">
        <v>13694</v>
      </c>
    </row>
    <row r="464" spans="1:15" x14ac:dyDescent="0.2">
      <c r="A464">
        <v>47</v>
      </c>
      <c r="B464" t="str">
        <f>VLOOKUP(Table1[[#This Row],[CountyID]],[1]!Table1[#All],2,FALSE)</f>
        <v>Meeker</v>
      </c>
      <c r="C464">
        <f>VLOOKUP(Table1[[#This Row],[CountyID]],[1]!Table1[#All],3,FALSE)</f>
        <v>30</v>
      </c>
      <c r="D464">
        <v>30</v>
      </c>
      <c r="E464">
        <f>Table1[[#This Row],[Number of Counties]]-Table1[[#This Row],[Number of precincts Reporting]]</f>
        <v>0</v>
      </c>
      <c r="F464" t="s">
        <v>0</v>
      </c>
      <c r="G464" t="s">
        <v>1</v>
      </c>
      <c r="H464">
        <v>101</v>
      </c>
      <c r="I464">
        <v>301</v>
      </c>
      <c r="J464" t="s">
        <v>6</v>
      </c>
      <c r="K464" t="s">
        <v>7</v>
      </c>
      <c r="L464">
        <v>30</v>
      </c>
      <c r="M464">
        <v>49</v>
      </c>
      <c r="N464">
        <v>0.36</v>
      </c>
      <c r="O464">
        <v>13694</v>
      </c>
    </row>
    <row r="465" spans="1:15" x14ac:dyDescent="0.2">
      <c r="A465">
        <v>47</v>
      </c>
      <c r="B465" t="str">
        <f>VLOOKUP(Table1[[#This Row],[CountyID]],[1]!Table1[#All],2,FALSE)</f>
        <v>Meeker</v>
      </c>
      <c r="C465">
        <f>VLOOKUP(Table1[[#This Row],[CountyID]],[1]!Table1[#All],3,FALSE)</f>
        <v>30</v>
      </c>
      <c r="D465">
        <v>30</v>
      </c>
      <c r="E465">
        <f>Table1[[#This Row],[Number of Counties]]-Table1[[#This Row],[Number of precincts Reporting]]</f>
        <v>0</v>
      </c>
      <c r="F465" t="s">
        <v>0</v>
      </c>
      <c r="G465" t="s">
        <v>1</v>
      </c>
      <c r="H465">
        <v>101</v>
      </c>
      <c r="I465">
        <v>401</v>
      </c>
      <c r="J465" t="s">
        <v>8</v>
      </c>
      <c r="K465" t="s">
        <v>9</v>
      </c>
      <c r="L465">
        <v>30</v>
      </c>
      <c r="M465">
        <v>113</v>
      </c>
      <c r="N465">
        <v>0.83</v>
      </c>
      <c r="O465">
        <v>13694</v>
      </c>
    </row>
    <row r="466" spans="1:15" x14ac:dyDescent="0.2">
      <c r="A466">
        <v>47</v>
      </c>
      <c r="B466" t="str">
        <f>VLOOKUP(Table1[[#This Row],[CountyID]],[1]!Table1[#All],2,FALSE)</f>
        <v>Meeker</v>
      </c>
      <c r="C466">
        <f>VLOOKUP(Table1[[#This Row],[CountyID]],[1]!Table1[#All],3,FALSE)</f>
        <v>30</v>
      </c>
      <c r="D466">
        <v>30</v>
      </c>
      <c r="E466">
        <f>Table1[[#This Row],[Number of Counties]]-Table1[[#This Row],[Number of precincts Reporting]]</f>
        <v>0</v>
      </c>
      <c r="F466" t="s">
        <v>0</v>
      </c>
      <c r="G466" t="s">
        <v>1</v>
      </c>
      <c r="H466">
        <v>101</v>
      </c>
      <c r="I466">
        <v>501</v>
      </c>
      <c r="J466" t="s">
        <v>10</v>
      </c>
      <c r="K466" t="s">
        <v>11</v>
      </c>
      <c r="L466">
        <v>30</v>
      </c>
      <c r="M466">
        <v>23</v>
      </c>
      <c r="N466">
        <v>0.17</v>
      </c>
      <c r="O466">
        <v>13694</v>
      </c>
    </row>
    <row r="467" spans="1:15" x14ac:dyDescent="0.2">
      <c r="A467">
        <v>47</v>
      </c>
      <c r="B467" t="str">
        <f>VLOOKUP(Table1[[#This Row],[CountyID]],[1]!Table1[#All],2,FALSE)</f>
        <v>Meeker</v>
      </c>
      <c r="C467">
        <f>VLOOKUP(Table1[[#This Row],[CountyID]],[1]!Table1[#All],3,FALSE)</f>
        <v>30</v>
      </c>
      <c r="D467">
        <v>30</v>
      </c>
      <c r="E467">
        <f>Table1[[#This Row],[Number of Counties]]-Table1[[#This Row],[Number of precincts Reporting]]</f>
        <v>0</v>
      </c>
      <c r="F467" t="s">
        <v>0</v>
      </c>
      <c r="G467" t="s">
        <v>1</v>
      </c>
      <c r="H467">
        <v>101</v>
      </c>
      <c r="I467">
        <v>601</v>
      </c>
      <c r="J467" t="s">
        <v>12</v>
      </c>
      <c r="K467" t="s">
        <v>13</v>
      </c>
      <c r="L467">
        <v>30</v>
      </c>
      <c r="M467">
        <v>5</v>
      </c>
      <c r="N467">
        <v>0.04</v>
      </c>
      <c r="O467">
        <v>13694</v>
      </c>
    </row>
    <row r="468" spans="1:15" x14ac:dyDescent="0.2">
      <c r="A468">
        <v>47</v>
      </c>
      <c r="B468" t="str">
        <f>VLOOKUP(Table1[[#This Row],[CountyID]],[1]!Table1[#All],2,FALSE)</f>
        <v>Meeker</v>
      </c>
      <c r="C468">
        <f>VLOOKUP(Table1[[#This Row],[CountyID]],[1]!Table1[#All],3,FALSE)</f>
        <v>30</v>
      </c>
      <c r="D468">
        <v>30</v>
      </c>
      <c r="E468">
        <f>Table1[[#This Row],[Number of Counties]]-Table1[[#This Row],[Number of precincts Reporting]]</f>
        <v>0</v>
      </c>
      <c r="F468" t="s">
        <v>0</v>
      </c>
      <c r="G468" t="s">
        <v>1</v>
      </c>
      <c r="H468">
        <v>101</v>
      </c>
      <c r="I468">
        <v>701</v>
      </c>
      <c r="J468" t="s">
        <v>14</v>
      </c>
      <c r="K468" t="s">
        <v>15</v>
      </c>
      <c r="L468">
        <v>30</v>
      </c>
      <c r="M468">
        <v>2</v>
      </c>
      <c r="N468">
        <v>0.01</v>
      </c>
      <c r="O468">
        <v>13694</v>
      </c>
    </row>
    <row r="469" spans="1:15" x14ac:dyDescent="0.2">
      <c r="A469">
        <v>47</v>
      </c>
      <c r="B469" t="str">
        <f>VLOOKUP(Table1[[#This Row],[CountyID]],[1]!Table1[#All],2,FALSE)</f>
        <v>Meeker</v>
      </c>
      <c r="C469">
        <f>VLOOKUP(Table1[[#This Row],[CountyID]],[1]!Table1[#All],3,FALSE)</f>
        <v>30</v>
      </c>
      <c r="D469">
        <v>30</v>
      </c>
      <c r="E469">
        <f>Table1[[#This Row],[Number of Counties]]-Table1[[#This Row],[Number of precincts Reporting]]</f>
        <v>0</v>
      </c>
      <c r="F469" t="s">
        <v>0</v>
      </c>
      <c r="G469" t="s">
        <v>1</v>
      </c>
      <c r="H469">
        <v>101</v>
      </c>
      <c r="I469">
        <v>801</v>
      </c>
      <c r="J469" t="s">
        <v>16</v>
      </c>
      <c r="K469" t="s">
        <v>17</v>
      </c>
      <c r="L469">
        <v>30</v>
      </c>
      <c r="M469">
        <v>0</v>
      </c>
      <c r="N469">
        <v>0</v>
      </c>
      <c r="O469">
        <v>13694</v>
      </c>
    </row>
    <row r="470" spans="1:15" x14ac:dyDescent="0.2">
      <c r="A470">
        <v>47</v>
      </c>
      <c r="B470" t="str">
        <f>VLOOKUP(Table1[[#This Row],[CountyID]],[1]!Table1[#All],2,FALSE)</f>
        <v>Meeker</v>
      </c>
      <c r="C470">
        <f>VLOOKUP(Table1[[#This Row],[CountyID]],[1]!Table1[#All],3,FALSE)</f>
        <v>30</v>
      </c>
      <c r="D470">
        <v>30</v>
      </c>
      <c r="E470">
        <f>Table1[[#This Row],[Number of Counties]]-Table1[[#This Row],[Number of precincts Reporting]]</f>
        <v>0</v>
      </c>
      <c r="F470" t="s">
        <v>0</v>
      </c>
      <c r="G470" t="s">
        <v>1</v>
      </c>
      <c r="H470">
        <v>101</v>
      </c>
      <c r="I470">
        <v>901</v>
      </c>
      <c r="J470" t="s">
        <v>18</v>
      </c>
      <c r="K470" t="s">
        <v>19</v>
      </c>
      <c r="L470">
        <v>30</v>
      </c>
      <c r="M470">
        <v>8</v>
      </c>
      <c r="N470">
        <v>0.06</v>
      </c>
      <c r="O470">
        <v>13694</v>
      </c>
    </row>
    <row r="471" spans="1:15" x14ac:dyDescent="0.2">
      <c r="A471">
        <v>47</v>
      </c>
      <c r="B471" t="str">
        <f>VLOOKUP(Table1[[#This Row],[CountyID]],[1]!Table1[#All],2,FALSE)</f>
        <v>Meeker</v>
      </c>
      <c r="C471">
        <f>VLOOKUP(Table1[[#This Row],[CountyID]],[1]!Table1[#All],3,FALSE)</f>
        <v>30</v>
      </c>
      <c r="D471">
        <v>30</v>
      </c>
      <c r="E471">
        <f>Table1[[#This Row],[Number of Counties]]-Table1[[#This Row],[Number of precincts Reporting]]</f>
        <v>0</v>
      </c>
      <c r="F471" t="s">
        <v>0</v>
      </c>
      <c r="G471" t="s">
        <v>1</v>
      </c>
      <c r="H471">
        <v>101</v>
      </c>
      <c r="I471">
        <v>9901</v>
      </c>
      <c r="J471" t="s">
        <v>20</v>
      </c>
      <c r="K471" t="s">
        <v>21</v>
      </c>
      <c r="L471">
        <v>30</v>
      </c>
      <c r="M471">
        <v>47</v>
      </c>
      <c r="N471">
        <v>0.34</v>
      </c>
      <c r="O471">
        <v>13694</v>
      </c>
    </row>
    <row r="472" spans="1:15" x14ac:dyDescent="0.2">
      <c r="A472">
        <v>48</v>
      </c>
      <c r="B472" t="str">
        <f>VLOOKUP(Table1[[#This Row],[CountyID]],[1]!Table1[#All],2,FALSE)</f>
        <v>Mille Lacs</v>
      </c>
      <c r="C472">
        <f>VLOOKUP(Table1[[#This Row],[CountyID]],[1]!Table1[#All],3,FALSE)</f>
        <v>25</v>
      </c>
      <c r="D472">
        <v>25</v>
      </c>
      <c r="E472">
        <f>Table1[[#This Row],[Number of Counties]]-Table1[[#This Row],[Number of precincts Reporting]]</f>
        <v>0</v>
      </c>
      <c r="F472" t="s">
        <v>0</v>
      </c>
      <c r="G472" t="s">
        <v>1</v>
      </c>
      <c r="H472">
        <v>101</v>
      </c>
      <c r="I472">
        <v>101</v>
      </c>
      <c r="J472" t="s">
        <v>2</v>
      </c>
      <c r="K472" t="s">
        <v>3</v>
      </c>
      <c r="L472">
        <v>25</v>
      </c>
      <c r="M472">
        <v>10570</v>
      </c>
      <c r="N472">
        <v>69.59</v>
      </c>
      <c r="O472">
        <v>15190</v>
      </c>
    </row>
    <row r="473" spans="1:15" x14ac:dyDescent="0.2">
      <c r="A473">
        <v>48</v>
      </c>
      <c r="B473" t="str">
        <f>VLOOKUP(Table1[[#This Row],[CountyID]],[1]!Table1[#All],2,FALSE)</f>
        <v>Mille Lacs</v>
      </c>
      <c r="C473">
        <f>VLOOKUP(Table1[[#This Row],[CountyID]],[1]!Table1[#All],3,FALSE)</f>
        <v>25</v>
      </c>
      <c r="D473">
        <v>25</v>
      </c>
      <c r="E473">
        <f>Table1[[#This Row],[Number of Counties]]-Table1[[#This Row],[Number of precincts Reporting]]</f>
        <v>0</v>
      </c>
      <c r="F473" t="s">
        <v>0</v>
      </c>
      <c r="G473" t="s">
        <v>1</v>
      </c>
      <c r="H473">
        <v>101</v>
      </c>
      <c r="I473">
        <v>201</v>
      </c>
      <c r="J473" t="s">
        <v>4</v>
      </c>
      <c r="K473" t="s">
        <v>5</v>
      </c>
      <c r="L473">
        <v>25</v>
      </c>
      <c r="M473">
        <v>4374</v>
      </c>
      <c r="N473">
        <v>28.8</v>
      </c>
      <c r="O473">
        <v>15190</v>
      </c>
    </row>
    <row r="474" spans="1:15" x14ac:dyDescent="0.2">
      <c r="A474">
        <v>48</v>
      </c>
      <c r="B474" t="str">
        <f>VLOOKUP(Table1[[#This Row],[CountyID]],[1]!Table1[#All],2,FALSE)</f>
        <v>Mille Lacs</v>
      </c>
      <c r="C474">
        <f>VLOOKUP(Table1[[#This Row],[CountyID]],[1]!Table1[#All],3,FALSE)</f>
        <v>25</v>
      </c>
      <c r="D474">
        <v>25</v>
      </c>
      <c r="E474">
        <f>Table1[[#This Row],[Number of Counties]]-Table1[[#This Row],[Number of precincts Reporting]]</f>
        <v>0</v>
      </c>
      <c r="F474" t="s">
        <v>0</v>
      </c>
      <c r="G474" t="s">
        <v>1</v>
      </c>
      <c r="H474">
        <v>101</v>
      </c>
      <c r="I474">
        <v>301</v>
      </c>
      <c r="J474" t="s">
        <v>6</v>
      </c>
      <c r="K474" t="s">
        <v>7</v>
      </c>
      <c r="L474">
        <v>25</v>
      </c>
      <c r="M474">
        <v>57</v>
      </c>
      <c r="N474">
        <v>0.38</v>
      </c>
      <c r="O474">
        <v>15190</v>
      </c>
    </row>
    <row r="475" spans="1:15" x14ac:dyDescent="0.2">
      <c r="A475">
        <v>48</v>
      </c>
      <c r="B475" t="str">
        <f>VLOOKUP(Table1[[#This Row],[CountyID]],[1]!Table1[#All],2,FALSE)</f>
        <v>Mille Lacs</v>
      </c>
      <c r="C475">
        <f>VLOOKUP(Table1[[#This Row],[CountyID]],[1]!Table1[#All],3,FALSE)</f>
        <v>25</v>
      </c>
      <c r="D475">
        <v>25</v>
      </c>
      <c r="E475">
        <f>Table1[[#This Row],[Number of Counties]]-Table1[[#This Row],[Number of precincts Reporting]]</f>
        <v>0</v>
      </c>
      <c r="F475" t="s">
        <v>0</v>
      </c>
      <c r="G475" t="s">
        <v>1</v>
      </c>
      <c r="H475">
        <v>101</v>
      </c>
      <c r="I475">
        <v>401</v>
      </c>
      <c r="J475" t="s">
        <v>8</v>
      </c>
      <c r="K475" t="s">
        <v>9</v>
      </c>
      <c r="L475">
        <v>25</v>
      </c>
      <c r="M475">
        <v>108</v>
      </c>
      <c r="N475">
        <v>0.71</v>
      </c>
      <c r="O475">
        <v>15190</v>
      </c>
    </row>
    <row r="476" spans="1:15" x14ac:dyDescent="0.2">
      <c r="A476">
        <v>48</v>
      </c>
      <c r="B476" t="str">
        <f>VLOOKUP(Table1[[#This Row],[CountyID]],[1]!Table1[#All],2,FALSE)</f>
        <v>Mille Lacs</v>
      </c>
      <c r="C476">
        <f>VLOOKUP(Table1[[#This Row],[CountyID]],[1]!Table1[#All],3,FALSE)</f>
        <v>25</v>
      </c>
      <c r="D476">
        <v>25</v>
      </c>
      <c r="E476">
        <f>Table1[[#This Row],[Number of Counties]]-Table1[[#This Row],[Number of precincts Reporting]]</f>
        <v>0</v>
      </c>
      <c r="F476" t="s">
        <v>0</v>
      </c>
      <c r="G476" t="s">
        <v>1</v>
      </c>
      <c r="H476">
        <v>101</v>
      </c>
      <c r="I476">
        <v>501</v>
      </c>
      <c r="J476" t="s">
        <v>10</v>
      </c>
      <c r="K476" t="s">
        <v>11</v>
      </c>
      <c r="L476">
        <v>25</v>
      </c>
      <c r="M476">
        <v>26</v>
      </c>
      <c r="N476">
        <v>0.17</v>
      </c>
      <c r="O476">
        <v>15190</v>
      </c>
    </row>
    <row r="477" spans="1:15" x14ac:dyDescent="0.2">
      <c r="A477">
        <v>48</v>
      </c>
      <c r="B477" t="str">
        <f>VLOOKUP(Table1[[#This Row],[CountyID]],[1]!Table1[#All],2,FALSE)</f>
        <v>Mille Lacs</v>
      </c>
      <c r="C477">
        <f>VLOOKUP(Table1[[#This Row],[CountyID]],[1]!Table1[#All],3,FALSE)</f>
        <v>25</v>
      </c>
      <c r="D477">
        <v>25</v>
      </c>
      <c r="E477">
        <f>Table1[[#This Row],[Number of Counties]]-Table1[[#This Row],[Number of precincts Reporting]]</f>
        <v>0</v>
      </c>
      <c r="F477" t="s">
        <v>0</v>
      </c>
      <c r="G477" t="s">
        <v>1</v>
      </c>
      <c r="H477">
        <v>101</v>
      </c>
      <c r="I477">
        <v>601</v>
      </c>
      <c r="J477" t="s">
        <v>12</v>
      </c>
      <c r="K477" t="s">
        <v>13</v>
      </c>
      <c r="L477">
        <v>25</v>
      </c>
      <c r="M477">
        <v>8</v>
      </c>
      <c r="N477">
        <v>0.05</v>
      </c>
      <c r="O477">
        <v>15190</v>
      </c>
    </row>
    <row r="478" spans="1:15" x14ac:dyDescent="0.2">
      <c r="A478">
        <v>48</v>
      </c>
      <c r="B478" t="str">
        <f>VLOOKUP(Table1[[#This Row],[CountyID]],[1]!Table1[#All],2,FALSE)</f>
        <v>Mille Lacs</v>
      </c>
      <c r="C478">
        <f>VLOOKUP(Table1[[#This Row],[CountyID]],[1]!Table1[#All],3,FALSE)</f>
        <v>25</v>
      </c>
      <c r="D478">
        <v>25</v>
      </c>
      <c r="E478">
        <f>Table1[[#This Row],[Number of Counties]]-Table1[[#This Row],[Number of precincts Reporting]]</f>
        <v>0</v>
      </c>
      <c r="F478" t="s">
        <v>0</v>
      </c>
      <c r="G478" t="s">
        <v>1</v>
      </c>
      <c r="H478">
        <v>101</v>
      </c>
      <c r="I478">
        <v>701</v>
      </c>
      <c r="J478" t="s">
        <v>14</v>
      </c>
      <c r="K478" t="s">
        <v>15</v>
      </c>
      <c r="L478">
        <v>25</v>
      </c>
      <c r="M478">
        <v>2</v>
      </c>
      <c r="N478">
        <v>0.01</v>
      </c>
      <c r="O478">
        <v>15190</v>
      </c>
    </row>
    <row r="479" spans="1:15" x14ac:dyDescent="0.2">
      <c r="A479">
        <v>48</v>
      </c>
      <c r="B479" t="str">
        <f>VLOOKUP(Table1[[#This Row],[CountyID]],[1]!Table1[#All],2,FALSE)</f>
        <v>Mille Lacs</v>
      </c>
      <c r="C479">
        <f>VLOOKUP(Table1[[#This Row],[CountyID]],[1]!Table1[#All],3,FALSE)</f>
        <v>25</v>
      </c>
      <c r="D479">
        <v>25</v>
      </c>
      <c r="E479">
        <f>Table1[[#This Row],[Number of Counties]]-Table1[[#This Row],[Number of precincts Reporting]]</f>
        <v>0</v>
      </c>
      <c r="F479" t="s">
        <v>0</v>
      </c>
      <c r="G479" t="s">
        <v>1</v>
      </c>
      <c r="H479">
        <v>101</v>
      </c>
      <c r="I479">
        <v>801</v>
      </c>
      <c r="J479" t="s">
        <v>16</v>
      </c>
      <c r="K479" t="s">
        <v>17</v>
      </c>
      <c r="L479">
        <v>25</v>
      </c>
      <c r="M479">
        <v>5</v>
      </c>
      <c r="N479">
        <v>0.03</v>
      </c>
      <c r="O479">
        <v>15190</v>
      </c>
    </row>
    <row r="480" spans="1:15" x14ac:dyDescent="0.2">
      <c r="A480">
        <v>48</v>
      </c>
      <c r="B480" t="str">
        <f>VLOOKUP(Table1[[#This Row],[CountyID]],[1]!Table1[#All],2,FALSE)</f>
        <v>Mille Lacs</v>
      </c>
      <c r="C480">
        <f>VLOOKUP(Table1[[#This Row],[CountyID]],[1]!Table1[#All],3,FALSE)</f>
        <v>25</v>
      </c>
      <c r="D480">
        <v>25</v>
      </c>
      <c r="E480">
        <f>Table1[[#This Row],[Number of Counties]]-Table1[[#This Row],[Number of precincts Reporting]]</f>
        <v>0</v>
      </c>
      <c r="F480" t="s">
        <v>0</v>
      </c>
      <c r="G480" t="s">
        <v>1</v>
      </c>
      <c r="H480">
        <v>101</v>
      </c>
      <c r="I480">
        <v>901</v>
      </c>
      <c r="J480" t="s">
        <v>18</v>
      </c>
      <c r="K480" t="s">
        <v>19</v>
      </c>
      <c r="L480">
        <v>25</v>
      </c>
      <c r="M480">
        <v>13</v>
      </c>
      <c r="N480">
        <v>0.09</v>
      </c>
      <c r="O480">
        <v>15190</v>
      </c>
    </row>
    <row r="481" spans="1:15" x14ac:dyDescent="0.2">
      <c r="A481">
        <v>48</v>
      </c>
      <c r="B481" t="str">
        <f>VLOOKUP(Table1[[#This Row],[CountyID]],[1]!Table1[#All],2,FALSE)</f>
        <v>Mille Lacs</v>
      </c>
      <c r="C481">
        <f>VLOOKUP(Table1[[#This Row],[CountyID]],[1]!Table1[#All],3,FALSE)</f>
        <v>25</v>
      </c>
      <c r="D481">
        <v>25</v>
      </c>
      <c r="E481">
        <f>Table1[[#This Row],[Number of Counties]]-Table1[[#This Row],[Number of precincts Reporting]]</f>
        <v>0</v>
      </c>
      <c r="F481" t="s">
        <v>0</v>
      </c>
      <c r="G481" t="s">
        <v>1</v>
      </c>
      <c r="H481">
        <v>101</v>
      </c>
      <c r="I481">
        <v>9901</v>
      </c>
      <c r="J481" t="s">
        <v>20</v>
      </c>
      <c r="K481" t="s">
        <v>21</v>
      </c>
      <c r="L481">
        <v>25</v>
      </c>
      <c r="M481">
        <v>27</v>
      </c>
      <c r="N481">
        <v>0.18</v>
      </c>
      <c r="O481">
        <v>15190</v>
      </c>
    </row>
    <row r="482" spans="1:15" x14ac:dyDescent="0.2">
      <c r="A482">
        <v>49</v>
      </c>
      <c r="B482" t="str">
        <f>VLOOKUP(Table1[[#This Row],[CountyID]],[1]!Table1[#All],2,FALSE)</f>
        <v>Morrison</v>
      </c>
      <c r="C482">
        <f>VLOOKUP(Table1[[#This Row],[CountyID]],[1]!Table1[#All],3,FALSE)</f>
        <v>48</v>
      </c>
      <c r="D482">
        <v>48</v>
      </c>
      <c r="E482">
        <f>Table1[[#This Row],[Number of Counties]]-Table1[[#This Row],[Number of precincts Reporting]]</f>
        <v>0</v>
      </c>
      <c r="F482" t="s">
        <v>0</v>
      </c>
      <c r="G482" t="s">
        <v>1</v>
      </c>
      <c r="H482">
        <v>101</v>
      </c>
      <c r="I482">
        <v>101</v>
      </c>
      <c r="J482" t="s">
        <v>2</v>
      </c>
      <c r="K482" t="s">
        <v>3</v>
      </c>
      <c r="L482">
        <v>48</v>
      </c>
      <c r="M482">
        <v>15666</v>
      </c>
      <c r="N482">
        <v>77.12</v>
      </c>
      <c r="O482">
        <v>20313</v>
      </c>
    </row>
    <row r="483" spans="1:15" x14ac:dyDescent="0.2">
      <c r="A483">
        <v>49</v>
      </c>
      <c r="B483" t="str">
        <f>VLOOKUP(Table1[[#This Row],[CountyID]],[1]!Table1[#All],2,FALSE)</f>
        <v>Morrison</v>
      </c>
      <c r="C483">
        <f>VLOOKUP(Table1[[#This Row],[CountyID]],[1]!Table1[#All],3,FALSE)</f>
        <v>48</v>
      </c>
      <c r="D483">
        <v>48</v>
      </c>
      <c r="E483">
        <f>Table1[[#This Row],[Number of Counties]]-Table1[[#This Row],[Number of precincts Reporting]]</f>
        <v>0</v>
      </c>
      <c r="F483" t="s">
        <v>0</v>
      </c>
      <c r="G483" t="s">
        <v>1</v>
      </c>
      <c r="H483">
        <v>101</v>
      </c>
      <c r="I483">
        <v>201</v>
      </c>
      <c r="J483" t="s">
        <v>4</v>
      </c>
      <c r="K483" t="s">
        <v>5</v>
      </c>
      <c r="L483">
        <v>48</v>
      </c>
      <c r="M483">
        <v>4306</v>
      </c>
      <c r="N483">
        <v>21.2</v>
      </c>
      <c r="O483">
        <v>20313</v>
      </c>
    </row>
    <row r="484" spans="1:15" x14ac:dyDescent="0.2">
      <c r="A484">
        <v>49</v>
      </c>
      <c r="B484" t="str">
        <f>VLOOKUP(Table1[[#This Row],[CountyID]],[1]!Table1[#All],2,FALSE)</f>
        <v>Morrison</v>
      </c>
      <c r="C484">
        <f>VLOOKUP(Table1[[#This Row],[CountyID]],[1]!Table1[#All],3,FALSE)</f>
        <v>48</v>
      </c>
      <c r="D484">
        <v>48</v>
      </c>
      <c r="E484">
        <f>Table1[[#This Row],[Number of Counties]]-Table1[[#This Row],[Number of precincts Reporting]]</f>
        <v>0</v>
      </c>
      <c r="F484" t="s">
        <v>0</v>
      </c>
      <c r="G484" t="s">
        <v>1</v>
      </c>
      <c r="H484">
        <v>101</v>
      </c>
      <c r="I484">
        <v>301</v>
      </c>
      <c r="J484" t="s">
        <v>6</v>
      </c>
      <c r="K484" t="s">
        <v>7</v>
      </c>
      <c r="L484">
        <v>48</v>
      </c>
      <c r="M484">
        <v>64</v>
      </c>
      <c r="N484">
        <v>0.32</v>
      </c>
      <c r="O484">
        <v>20313</v>
      </c>
    </row>
    <row r="485" spans="1:15" x14ac:dyDescent="0.2">
      <c r="A485">
        <v>49</v>
      </c>
      <c r="B485" t="str">
        <f>VLOOKUP(Table1[[#This Row],[CountyID]],[1]!Table1[#All],2,FALSE)</f>
        <v>Morrison</v>
      </c>
      <c r="C485">
        <f>VLOOKUP(Table1[[#This Row],[CountyID]],[1]!Table1[#All],3,FALSE)</f>
        <v>48</v>
      </c>
      <c r="D485">
        <v>48</v>
      </c>
      <c r="E485">
        <f>Table1[[#This Row],[Number of Counties]]-Table1[[#This Row],[Number of precincts Reporting]]</f>
        <v>0</v>
      </c>
      <c r="F485" t="s">
        <v>0</v>
      </c>
      <c r="G485" t="s">
        <v>1</v>
      </c>
      <c r="H485">
        <v>101</v>
      </c>
      <c r="I485">
        <v>401</v>
      </c>
      <c r="J485" t="s">
        <v>8</v>
      </c>
      <c r="K485" t="s">
        <v>9</v>
      </c>
      <c r="L485">
        <v>48</v>
      </c>
      <c r="M485">
        <v>171</v>
      </c>
      <c r="N485">
        <v>0.84</v>
      </c>
      <c r="O485">
        <v>20313</v>
      </c>
    </row>
    <row r="486" spans="1:15" x14ac:dyDescent="0.2">
      <c r="A486">
        <v>49</v>
      </c>
      <c r="B486" t="str">
        <f>VLOOKUP(Table1[[#This Row],[CountyID]],[1]!Table1[#All],2,FALSE)</f>
        <v>Morrison</v>
      </c>
      <c r="C486">
        <f>VLOOKUP(Table1[[#This Row],[CountyID]],[1]!Table1[#All],3,FALSE)</f>
        <v>48</v>
      </c>
      <c r="D486">
        <v>48</v>
      </c>
      <c r="E486">
        <f>Table1[[#This Row],[Number of Counties]]-Table1[[#This Row],[Number of precincts Reporting]]</f>
        <v>0</v>
      </c>
      <c r="F486" t="s">
        <v>0</v>
      </c>
      <c r="G486" t="s">
        <v>1</v>
      </c>
      <c r="H486">
        <v>101</v>
      </c>
      <c r="I486">
        <v>501</v>
      </c>
      <c r="J486" t="s">
        <v>10</v>
      </c>
      <c r="K486" t="s">
        <v>11</v>
      </c>
      <c r="L486">
        <v>48</v>
      </c>
      <c r="M486">
        <v>37</v>
      </c>
      <c r="N486">
        <v>0.18</v>
      </c>
      <c r="O486">
        <v>20313</v>
      </c>
    </row>
    <row r="487" spans="1:15" x14ac:dyDescent="0.2">
      <c r="A487">
        <v>49</v>
      </c>
      <c r="B487" t="str">
        <f>VLOOKUP(Table1[[#This Row],[CountyID]],[1]!Table1[#All],2,FALSE)</f>
        <v>Morrison</v>
      </c>
      <c r="C487">
        <f>VLOOKUP(Table1[[#This Row],[CountyID]],[1]!Table1[#All],3,FALSE)</f>
        <v>48</v>
      </c>
      <c r="D487">
        <v>48</v>
      </c>
      <c r="E487">
        <f>Table1[[#This Row],[Number of Counties]]-Table1[[#This Row],[Number of precincts Reporting]]</f>
        <v>0</v>
      </c>
      <c r="F487" t="s">
        <v>0</v>
      </c>
      <c r="G487" t="s">
        <v>1</v>
      </c>
      <c r="H487">
        <v>101</v>
      </c>
      <c r="I487">
        <v>601</v>
      </c>
      <c r="J487" t="s">
        <v>12</v>
      </c>
      <c r="K487" t="s">
        <v>13</v>
      </c>
      <c r="L487">
        <v>48</v>
      </c>
      <c r="M487">
        <v>5</v>
      </c>
      <c r="N487">
        <v>0.02</v>
      </c>
      <c r="O487">
        <v>20313</v>
      </c>
    </row>
    <row r="488" spans="1:15" x14ac:dyDescent="0.2">
      <c r="A488">
        <v>49</v>
      </c>
      <c r="B488" t="str">
        <f>VLOOKUP(Table1[[#This Row],[CountyID]],[1]!Table1[#All],2,FALSE)</f>
        <v>Morrison</v>
      </c>
      <c r="C488">
        <f>VLOOKUP(Table1[[#This Row],[CountyID]],[1]!Table1[#All],3,FALSE)</f>
        <v>48</v>
      </c>
      <c r="D488">
        <v>48</v>
      </c>
      <c r="E488">
        <f>Table1[[#This Row],[Number of Counties]]-Table1[[#This Row],[Number of precincts Reporting]]</f>
        <v>0</v>
      </c>
      <c r="F488" t="s">
        <v>0</v>
      </c>
      <c r="G488" t="s">
        <v>1</v>
      </c>
      <c r="H488">
        <v>101</v>
      </c>
      <c r="I488">
        <v>701</v>
      </c>
      <c r="J488" t="s">
        <v>14</v>
      </c>
      <c r="K488" t="s">
        <v>15</v>
      </c>
      <c r="L488">
        <v>48</v>
      </c>
      <c r="M488">
        <v>2</v>
      </c>
      <c r="N488">
        <v>0.01</v>
      </c>
      <c r="O488">
        <v>20313</v>
      </c>
    </row>
    <row r="489" spans="1:15" x14ac:dyDescent="0.2">
      <c r="A489">
        <v>49</v>
      </c>
      <c r="B489" t="str">
        <f>VLOOKUP(Table1[[#This Row],[CountyID]],[1]!Table1[#All],2,FALSE)</f>
        <v>Morrison</v>
      </c>
      <c r="C489">
        <f>VLOOKUP(Table1[[#This Row],[CountyID]],[1]!Table1[#All],3,FALSE)</f>
        <v>48</v>
      </c>
      <c r="D489">
        <v>48</v>
      </c>
      <c r="E489">
        <f>Table1[[#This Row],[Number of Counties]]-Table1[[#This Row],[Number of precincts Reporting]]</f>
        <v>0</v>
      </c>
      <c r="F489" t="s">
        <v>0</v>
      </c>
      <c r="G489" t="s">
        <v>1</v>
      </c>
      <c r="H489">
        <v>101</v>
      </c>
      <c r="I489">
        <v>801</v>
      </c>
      <c r="J489" t="s">
        <v>16</v>
      </c>
      <c r="K489" t="s">
        <v>17</v>
      </c>
      <c r="L489">
        <v>48</v>
      </c>
      <c r="M489">
        <v>6</v>
      </c>
      <c r="N489">
        <v>0.03</v>
      </c>
      <c r="O489">
        <v>20313</v>
      </c>
    </row>
    <row r="490" spans="1:15" x14ac:dyDescent="0.2">
      <c r="A490">
        <v>49</v>
      </c>
      <c r="B490" t="str">
        <f>VLOOKUP(Table1[[#This Row],[CountyID]],[1]!Table1[#All],2,FALSE)</f>
        <v>Morrison</v>
      </c>
      <c r="C490">
        <f>VLOOKUP(Table1[[#This Row],[CountyID]],[1]!Table1[#All],3,FALSE)</f>
        <v>48</v>
      </c>
      <c r="D490">
        <v>48</v>
      </c>
      <c r="E490">
        <f>Table1[[#This Row],[Number of Counties]]-Table1[[#This Row],[Number of precincts Reporting]]</f>
        <v>0</v>
      </c>
      <c r="F490" t="s">
        <v>0</v>
      </c>
      <c r="G490" t="s">
        <v>1</v>
      </c>
      <c r="H490">
        <v>101</v>
      </c>
      <c r="I490">
        <v>901</v>
      </c>
      <c r="J490" t="s">
        <v>18</v>
      </c>
      <c r="K490" t="s">
        <v>19</v>
      </c>
      <c r="L490">
        <v>48</v>
      </c>
      <c r="M490">
        <v>15</v>
      </c>
      <c r="N490">
        <v>7.0000000000000007E-2</v>
      </c>
      <c r="O490">
        <v>20313</v>
      </c>
    </row>
    <row r="491" spans="1:15" x14ac:dyDescent="0.2">
      <c r="A491">
        <v>49</v>
      </c>
      <c r="B491" t="str">
        <f>VLOOKUP(Table1[[#This Row],[CountyID]],[1]!Table1[#All],2,FALSE)</f>
        <v>Morrison</v>
      </c>
      <c r="C491">
        <f>VLOOKUP(Table1[[#This Row],[CountyID]],[1]!Table1[#All],3,FALSE)</f>
        <v>48</v>
      </c>
      <c r="D491">
        <v>48</v>
      </c>
      <c r="E491">
        <f>Table1[[#This Row],[Number of Counties]]-Table1[[#This Row],[Number of precincts Reporting]]</f>
        <v>0</v>
      </c>
      <c r="F491" t="s">
        <v>0</v>
      </c>
      <c r="G491" t="s">
        <v>1</v>
      </c>
      <c r="H491">
        <v>101</v>
      </c>
      <c r="I491">
        <v>9901</v>
      </c>
      <c r="J491" t="s">
        <v>20</v>
      </c>
      <c r="K491" t="s">
        <v>21</v>
      </c>
      <c r="L491">
        <v>48</v>
      </c>
      <c r="M491">
        <v>41</v>
      </c>
      <c r="N491">
        <v>0.2</v>
      </c>
      <c r="O491">
        <v>20313</v>
      </c>
    </row>
    <row r="492" spans="1:15" x14ac:dyDescent="0.2">
      <c r="A492">
        <v>50</v>
      </c>
      <c r="B492" t="str">
        <f>VLOOKUP(Table1[[#This Row],[CountyID]],[1]!Table1[#All],2,FALSE)</f>
        <v>Mower</v>
      </c>
      <c r="C492">
        <f>VLOOKUP(Table1[[#This Row],[CountyID]],[1]!Table1[#All],3,FALSE)</f>
        <v>39</v>
      </c>
      <c r="D492">
        <v>39</v>
      </c>
      <c r="E492">
        <f>Table1[[#This Row],[Number of Counties]]-Table1[[#This Row],[Number of precincts Reporting]]</f>
        <v>0</v>
      </c>
      <c r="F492" t="s">
        <v>0</v>
      </c>
      <c r="G492" t="s">
        <v>1</v>
      </c>
      <c r="H492">
        <v>101</v>
      </c>
      <c r="I492">
        <v>101</v>
      </c>
      <c r="J492" t="s">
        <v>2</v>
      </c>
      <c r="K492" t="s">
        <v>3</v>
      </c>
      <c r="L492">
        <v>39</v>
      </c>
      <c r="M492">
        <v>10297</v>
      </c>
      <c r="N492">
        <v>54.28</v>
      </c>
      <c r="O492">
        <v>18969</v>
      </c>
    </row>
    <row r="493" spans="1:15" x14ac:dyDescent="0.2">
      <c r="A493">
        <v>50</v>
      </c>
      <c r="B493" t="str">
        <f>VLOOKUP(Table1[[#This Row],[CountyID]],[1]!Table1[#All],2,FALSE)</f>
        <v>Mower</v>
      </c>
      <c r="C493">
        <f>VLOOKUP(Table1[[#This Row],[CountyID]],[1]!Table1[#All],3,FALSE)</f>
        <v>39</v>
      </c>
      <c r="D493">
        <v>39</v>
      </c>
      <c r="E493">
        <f>Table1[[#This Row],[Number of Counties]]-Table1[[#This Row],[Number of precincts Reporting]]</f>
        <v>0</v>
      </c>
      <c r="F493" t="s">
        <v>0</v>
      </c>
      <c r="G493" t="s">
        <v>1</v>
      </c>
      <c r="H493">
        <v>101</v>
      </c>
      <c r="I493">
        <v>201</v>
      </c>
      <c r="J493" t="s">
        <v>4</v>
      </c>
      <c r="K493" t="s">
        <v>5</v>
      </c>
      <c r="L493">
        <v>39</v>
      </c>
      <c r="M493">
        <v>8312</v>
      </c>
      <c r="N493">
        <v>43.82</v>
      </c>
      <c r="O493">
        <v>18969</v>
      </c>
    </row>
    <row r="494" spans="1:15" x14ac:dyDescent="0.2">
      <c r="A494">
        <v>50</v>
      </c>
      <c r="B494" t="str">
        <f>VLOOKUP(Table1[[#This Row],[CountyID]],[1]!Table1[#All],2,FALSE)</f>
        <v>Mower</v>
      </c>
      <c r="C494">
        <f>VLOOKUP(Table1[[#This Row],[CountyID]],[1]!Table1[#All],3,FALSE)</f>
        <v>39</v>
      </c>
      <c r="D494">
        <v>39</v>
      </c>
      <c r="E494">
        <f>Table1[[#This Row],[Number of Counties]]-Table1[[#This Row],[Number of precincts Reporting]]</f>
        <v>0</v>
      </c>
      <c r="F494" t="s">
        <v>0</v>
      </c>
      <c r="G494" t="s">
        <v>1</v>
      </c>
      <c r="H494">
        <v>101</v>
      </c>
      <c r="I494">
        <v>301</v>
      </c>
      <c r="J494" t="s">
        <v>6</v>
      </c>
      <c r="K494" t="s">
        <v>7</v>
      </c>
      <c r="L494">
        <v>39</v>
      </c>
      <c r="M494">
        <v>54</v>
      </c>
      <c r="N494">
        <v>0.28000000000000003</v>
      </c>
      <c r="O494">
        <v>18969</v>
      </c>
    </row>
    <row r="495" spans="1:15" x14ac:dyDescent="0.2">
      <c r="A495">
        <v>50</v>
      </c>
      <c r="B495" t="str">
        <f>VLOOKUP(Table1[[#This Row],[CountyID]],[1]!Table1[#All],2,FALSE)</f>
        <v>Mower</v>
      </c>
      <c r="C495">
        <f>VLOOKUP(Table1[[#This Row],[CountyID]],[1]!Table1[#All],3,FALSE)</f>
        <v>39</v>
      </c>
      <c r="D495">
        <v>39</v>
      </c>
      <c r="E495">
        <f>Table1[[#This Row],[Number of Counties]]-Table1[[#This Row],[Number of precincts Reporting]]</f>
        <v>0</v>
      </c>
      <c r="F495" t="s">
        <v>0</v>
      </c>
      <c r="G495" t="s">
        <v>1</v>
      </c>
      <c r="H495">
        <v>101</v>
      </c>
      <c r="I495">
        <v>401</v>
      </c>
      <c r="J495" t="s">
        <v>8</v>
      </c>
      <c r="K495" t="s">
        <v>9</v>
      </c>
      <c r="L495">
        <v>39</v>
      </c>
      <c r="M495">
        <v>185</v>
      </c>
      <c r="N495">
        <v>0.98</v>
      </c>
      <c r="O495">
        <v>18969</v>
      </c>
    </row>
    <row r="496" spans="1:15" x14ac:dyDescent="0.2">
      <c r="A496">
        <v>50</v>
      </c>
      <c r="B496" t="str">
        <f>VLOOKUP(Table1[[#This Row],[CountyID]],[1]!Table1[#All],2,FALSE)</f>
        <v>Mower</v>
      </c>
      <c r="C496">
        <f>VLOOKUP(Table1[[#This Row],[CountyID]],[1]!Table1[#All],3,FALSE)</f>
        <v>39</v>
      </c>
      <c r="D496">
        <v>39</v>
      </c>
      <c r="E496">
        <f>Table1[[#This Row],[Number of Counties]]-Table1[[#This Row],[Number of precincts Reporting]]</f>
        <v>0</v>
      </c>
      <c r="F496" t="s">
        <v>0</v>
      </c>
      <c r="G496" t="s">
        <v>1</v>
      </c>
      <c r="H496">
        <v>101</v>
      </c>
      <c r="I496">
        <v>501</v>
      </c>
      <c r="J496" t="s">
        <v>10</v>
      </c>
      <c r="K496" t="s">
        <v>11</v>
      </c>
      <c r="L496">
        <v>39</v>
      </c>
      <c r="M496">
        <v>39</v>
      </c>
      <c r="N496">
        <v>0.21</v>
      </c>
      <c r="O496">
        <v>18969</v>
      </c>
    </row>
    <row r="497" spans="1:15" x14ac:dyDescent="0.2">
      <c r="A497">
        <v>50</v>
      </c>
      <c r="B497" t="str">
        <f>VLOOKUP(Table1[[#This Row],[CountyID]],[1]!Table1[#All],2,FALSE)</f>
        <v>Mower</v>
      </c>
      <c r="C497">
        <f>VLOOKUP(Table1[[#This Row],[CountyID]],[1]!Table1[#All],3,FALSE)</f>
        <v>39</v>
      </c>
      <c r="D497">
        <v>39</v>
      </c>
      <c r="E497">
        <f>Table1[[#This Row],[Number of Counties]]-Table1[[#This Row],[Number of precincts Reporting]]</f>
        <v>0</v>
      </c>
      <c r="F497" t="s">
        <v>0</v>
      </c>
      <c r="G497" t="s">
        <v>1</v>
      </c>
      <c r="H497">
        <v>101</v>
      </c>
      <c r="I497">
        <v>601</v>
      </c>
      <c r="J497" t="s">
        <v>12</v>
      </c>
      <c r="K497" t="s">
        <v>13</v>
      </c>
      <c r="L497">
        <v>39</v>
      </c>
      <c r="M497">
        <v>9</v>
      </c>
      <c r="N497">
        <v>0.05</v>
      </c>
      <c r="O497">
        <v>18969</v>
      </c>
    </row>
    <row r="498" spans="1:15" x14ac:dyDescent="0.2">
      <c r="A498">
        <v>50</v>
      </c>
      <c r="B498" t="str">
        <f>VLOOKUP(Table1[[#This Row],[CountyID]],[1]!Table1[#All],2,FALSE)</f>
        <v>Mower</v>
      </c>
      <c r="C498">
        <f>VLOOKUP(Table1[[#This Row],[CountyID]],[1]!Table1[#All],3,FALSE)</f>
        <v>39</v>
      </c>
      <c r="D498">
        <v>39</v>
      </c>
      <c r="E498">
        <f>Table1[[#This Row],[Number of Counties]]-Table1[[#This Row],[Number of precincts Reporting]]</f>
        <v>0</v>
      </c>
      <c r="F498" t="s">
        <v>0</v>
      </c>
      <c r="G498" t="s">
        <v>1</v>
      </c>
      <c r="H498">
        <v>101</v>
      </c>
      <c r="I498">
        <v>701</v>
      </c>
      <c r="J498" t="s">
        <v>14</v>
      </c>
      <c r="K498" t="s">
        <v>15</v>
      </c>
      <c r="L498">
        <v>39</v>
      </c>
      <c r="M498">
        <v>2</v>
      </c>
      <c r="N498">
        <v>0.01</v>
      </c>
      <c r="O498">
        <v>18969</v>
      </c>
    </row>
    <row r="499" spans="1:15" x14ac:dyDescent="0.2">
      <c r="A499">
        <v>50</v>
      </c>
      <c r="B499" t="str">
        <f>VLOOKUP(Table1[[#This Row],[CountyID]],[1]!Table1[#All],2,FALSE)</f>
        <v>Mower</v>
      </c>
      <c r="C499">
        <f>VLOOKUP(Table1[[#This Row],[CountyID]],[1]!Table1[#All],3,FALSE)</f>
        <v>39</v>
      </c>
      <c r="D499">
        <v>39</v>
      </c>
      <c r="E499">
        <f>Table1[[#This Row],[Number of Counties]]-Table1[[#This Row],[Number of precincts Reporting]]</f>
        <v>0</v>
      </c>
      <c r="F499" t="s">
        <v>0</v>
      </c>
      <c r="G499" t="s">
        <v>1</v>
      </c>
      <c r="H499">
        <v>101</v>
      </c>
      <c r="I499">
        <v>801</v>
      </c>
      <c r="J499" t="s">
        <v>16</v>
      </c>
      <c r="K499" t="s">
        <v>17</v>
      </c>
      <c r="L499">
        <v>39</v>
      </c>
      <c r="M499">
        <v>5</v>
      </c>
      <c r="N499">
        <v>0.03</v>
      </c>
      <c r="O499">
        <v>18969</v>
      </c>
    </row>
    <row r="500" spans="1:15" x14ac:dyDescent="0.2">
      <c r="A500">
        <v>50</v>
      </c>
      <c r="B500" t="str">
        <f>VLOOKUP(Table1[[#This Row],[CountyID]],[1]!Table1[#All],2,FALSE)</f>
        <v>Mower</v>
      </c>
      <c r="C500">
        <f>VLOOKUP(Table1[[#This Row],[CountyID]],[1]!Table1[#All],3,FALSE)</f>
        <v>39</v>
      </c>
      <c r="D500">
        <v>39</v>
      </c>
      <c r="E500">
        <f>Table1[[#This Row],[Number of Counties]]-Table1[[#This Row],[Number of precincts Reporting]]</f>
        <v>0</v>
      </c>
      <c r="F500" t="s">
        <v>0</v>
      </c>
      <c r="G500" t="s">
        <v>1</v>
      </c>
      <c r="H500">
        <v>101</v>
      </c>
      <c r="I500">
        <v>901</v>
      </c>
      <c r="J500" t="s">
        <v>18</v>
      </c>
      <c r="K500" t="s">
        <v>19</v>
      </c>
      <c r="L500">
        <v>39</v>
      </c>
      <c r="M500">
        <v>23</v>
      </c>
      <c r="N500">
        <v>0.12</v>
      </c>
      <c r="O500">
        <v>18969</v>
      </c>
    </row>
    <row r="501" spans="1:15" x14ac:dyDescent="0.2">
      <c r="A501">
        <v>50</v>
      </c>
      <c r="B501" t="str">
        <f>VLOOKUP(Table1[[#This Row],[CountyID]],[1]!Table1[#All],2,FALSE)</f>
        <v>Mower</v>
      </c>
      <c r="C501">
        <f>VLOOKUP(Table1[[#This Row],[CountyID]],[1]!Table1[#All],3,FALSE)</f>
        <v>39</v>
      </c>
      <c r="D501">
        <v>39</v>
      </c>
      <c r="E501">
        <f>Table1[[#This Row],[Number of Counties]]-Table1[[#This Row],[Number of precincts Reporting]]</f>
        <v>0</v>
      </c>
      <c r="F501" t="s">
        <v>0</v>
      </c>
      <c r="G501" t="s">
        <v>1</v>
      </c>
      <c r="H501">
        <v>101</v>
      </c>
      <c r="I501">
        <v>9901</v>
      </c>
      <c r="J501" t="s">
        <v>20</v>
      </c>
      <c r="K501" t="s">
        <v>21</v>
      </c>
      <c r="L501">
        <v>39</v>
      </c>
      <c r="M501">
        <v>43</v>
      </c>
      <c r="N501">
        <v>0.23</v>
      </c>
      <c r="O501">
        <v>18969</v>
      </c>
    </row>
    <row r="502" spans="1:15" x14ac:dyDescent="0.2">
      <c r="A502">
        <v>51</v>
      </c>
      <c r="B502" t="str">
        <f>VLOOKUP(Table1[[#This Row],[CountyID]],[1]!Table1[#All],2,FALSE)</f>
        <v>Murray</v>
      </c>
      <c r="C502">
        <f>VLOOKUP(Table1[[#This Row],[CountyID]],[1]!Table1[#All],3,FALSE)</f>
        <v>29</v>
      </c>
      <c r="D502">
        <v>29</v>
      </c>
      <c r="E502">
        <f>Table1[[#This Row],[Number of Counties]]-Table1[[#This Row],[Number of precincts Reporting]]</f>
        <v>0</v>
      </c>
      <c r="F502" t="s">
        <v>0</v>
      </c>
      <c r="G502" t="s">
        <v>1</v>
      </c>
      <c r="H502">
        <v>101</v>
      </c>
      <c r="I502">
        <v>101</v>
      </c>
      <c r="J502" t="s">
        <v>2</v>
      </c>
      <c r="K502" t="s">
        <v>3</v>
      </c>
      <c r="L502">
        <v>29</v>
      </c>
      <c r="M502">
        <v>3346</v>
      </c>
      <c r="N502">
        <v>70.16</v>
      </c>
      <c r="O502">
        <v>4769</v>
      </c>
    </row>
    <row r="503" spans="1:15" x14ac:dyDescent="0.2">
      <c r="A503">
        <v>51</v>
      </c>
      <c r="B503" t="str">
        <f>VLOOKUP(Table1[[#This Row],[CountyID]],[1]!Table1[#All],2,FALSE)</f>
        <v>Murray</v>
      </c>
      <c r="C503">
        <f>VLOOKUP(Table1[[#This Row],[CountyID]],[1]!Table1[#All],3,FALSE)</f>
        <v>29</v>
      </c>
      <c r="D503">
        <v>29</v>
      </c>
      <c r="E503">
        <f>Table1[[#This Row],[Number of Counties]]-Table1[[#This Row],[Number of precincts Reporting]]</f>
        <v>0</v>
      </c>
      <c r="F503" t="s">
        <v>0</v>
      </c>
      <c r="G503" t="s">
        <v>1</v>
      </c>
      <c r="H503">
        <v>101</v>
      </c>
      <c r="I503">
        <v>201</v>
      </c>
      <c r="J503" t="s">
        <v>4</v>
      </c>
      <c r="K503" t="s">
        <v>5</v>
      </c>
      <c r="L503">
        <v>29</v>
      </c>
      <c r="M503">
        <v>1329</v>
      </c>
      <c r="N503">
        <v>27.87</v>
      </c>
      <c r="O503">
        <v>4769</v>
      </c>
    </row>
    <row r="504" spans="1:15" x14ac:dyDescent="0.2">
      <c r="A504">
        <v>51</v>
      </c>
      <c r="B504" t="str">
        <f>VLOOKUP(Table1[[#This Row],[CountyID]],[1]!Table1[#All],2,FALSE)</f>
        <v>Murray</v>
      </c>
      <c r="C504">
        <f>VLOOKUP(Table1[[#This Row],[CountyID]],[1]!Table1[#All],3,FALSE)</f>
        <v>29</v>
      </c>
      <c r="D504">
        <v>29</v>
      </c>
      <c r="E504">
        <f>Table1[[#This Row],[Number of Counties]]-Table1[[#This Row],[Number of precincts Reporting]]</f>
        <v>0</v>
      </c>
      <c r="F504" t="s">
        <v>0</v>
      </c>
      <c r="G504" t="s">
        <v>1</v>
      </c>
      <c r="H504">
        <v>101</v>
      </c>
      <c r="I504">
        <v>301</v>
      </c>
      <c r="J504" t="s">
        <v>6</v>
      </c>
      <c r="K504" t="s">
        <v>7</v>
      </c>
      <c r="L504">
        <v>29</v>
      </c>
      <c r="M504">
        <v>15</v>
      </c>
      <c r="N504">
        <v>0.31</v>
      </c>
      <c r="O504">
        <v>4769</v>
      </c>
    </row>
    <row r="505" spans="1:15" x14ac:dyDescent="0.2">
      <c r="A505">
        <v>51</v>
      </c>
      <c r="B505" t="str">
        <f>VLOOKUP(Table1[[#This Row],[CountyID]],[1]!Table1[#All],2,FALSE)</f>
        <v>Murray</v>
      </c>
      <c r="C505">
        <f>VLOOKUP(Table1[[#This Row],[CountyID]],[1]!Table1[#All],3,FALSE)</f>
        <v>29</v>
      </c>
      <c r="D505">
        <v>29</v>
      </c>
      <c r="E505">
        <f>Table1[[#This Row],[Number of Counties]]-Table1[[#This Row],[Number of precincts Reporting]]</f>
        <v>0</v>
      </c>
      <c r="F505" t="s">
        <v>0</v>
      </c>
      <c r="G505" t="s">
        <v>1</v>
      </c>
      <c r="H505">
        <v>101</v>
      </c>
      <c r="I505">
        <v>401</v>
      </c>
      <c r="J505" t="s">
        <v>8</v>
      </c>
      <c r="K505" t="s">
        <v>9</v>
      </c>
      <c r="L505">
        <v>29</v>
      </c>
      <c r="M505">
        <v>54</v>
      </c>
      <c r="N505">
        <v>1.1299999999999999</v>
      </c>
      <c r="O505">
        <v>4769</v>
      </c>
    </row>
    <row r="506" spans="1:15" x14ac:dyDescent="0.2">
      <c r="A506">
        <v>51</v>
      </c>
      <c r="B506" t="str">
        <f>VLOOKUP(Table1[[#This Row],[CountyID]],[1]!Table1[#All],2,FALSE)</f>
        <v>Murray</v>
      </c>
      <c r="C506">
        <f>VLOOKUP(Table1[[#This Row],[CountyID]],[1]!Table1[#All],3,FALSE)</f>
        <v>29</v>
      </c>
      <c r="D506">
        <v>29</v>
      </c>
      <c r="E506">
        <f>Table1[[#This Row],[Number of Counties]]-Table1[[#This Row],[Number of precincts Reporting]]</f>
        <v>0</v>
      </c>
      <c r="F506" t="s">
        <v>0</v>
      </c>
      <c r="G506" t="s">
        <v>1</v>
      </c>
      <c r="H506">
        <v>101</v>
      </c>
      <c r="I506">
        <v>501</v>
      </c>
      <c r="J506" t="s">
        <v>10</v>
      </c>
      <c r="K506" t="s">
        <v>11</v>
      </c>
      <c r="L506">
        <v>29</v>
      </c>
      <c r="M506">
        <v>5</v>
      </c>
      <c r="N506">
        <v>0.1</v>
      </c>
      <c r="O506">
        <v>4769</v>
      </c>
    </row>
    <row r="507" spans="1:15" x14ac:dyDescent="0.2">
      <c r="A507">
        <v>51</v>
      </c>
      <c r="B507" t="str">
        <f>VLOOKUP(Table1[[#This Row],[CountyID]],[1]!Table1[#All],2,FALSE)</f>
        <v>Murray</v>
      </c>
      <c r="C507">
        <f>VLOOKUP(Table1[[#This Row],[CountyID]],[1]!Table1[#All],3,FALSE)</f>
        <v>29</v>
      </c>
      <c r="D507">
        <v>29</v>
      </c>
      <c r="E507">
        <f>Table1[[#This Row],[Number of Counties]]-Table1[[#This Row],[Number of precincts Reporting]]</f>
        <v>0</v>
      </c>
      <c r="F507" t="s">
        <v>0</v>
      </c>
      <c r="G507" t="s">
        <v>1</v>
      </c>
      <c r="H507">
        <v>101</v>
      </c>
      <c r="I507">
        <v>601</v>
      </c>
      <c r="J507" t="s">
        <v>12</v>
      </c>
      <c r="K507" t="s">
        <v>13</v>
      </c>
      <c r="L507">
        <v>29</v>
      </c>
      <c r="M507">
        <v>2</v>
      </c>
      <c r="N507">
        <v>0.04</v>
      </c>
      <c r="O507">
        <v>4769</v>
      </c>
    </row>
    <row r="508" spans="1:15" x14ac:dyDescent="0.2">
      <c r="A508">
        <v>51</v>
      </c>
      <c r="B508" t="str">
        <f>VLOOKUP(Table1[[#This Row],[CountyID]],[1]!Table1[#All],2,FALSE)</f>
        <v>Murray</v>
      </c>
      <c r="C508">
        <f>VLOOKUP(Table1[[#This Row],[CountyID]],[1]!Table1[#All],3,FALSE)</f>
        <v>29</v>
      </c>
      <c r="D508">
        <v>29</v>
      </c>
      <c r="E508">
        <f>Table1[[#This Row],[Number of Counties]]-Table1[[#This Row],[Number of precincts Reporting]]</f>
        <v>0</v>
      </c>
      <c r="F508" t="s">
        <v>0</v>
      </c>
      <c r="G508" t="s">
        <v>1</v>
      </c>
      <c r="H508">
        <v>101</v>
      </c>
      <c r="I508">
        <v>701</v>
      </c>
      <c r="J508" t="s">
        <v>14</v>
      </c>
      <c r="K508" t="s">
        <v>15</v>
      </c>
      <c r="L508">
        <v>29</v>
      </c>
      <c r="M508">
        <v>0</v>
      </c>
      <c r="N508">
        <v>0</v>
      </c>
      <c r="O508">
        <v>4769</v>
      </c>
    </row>
    <row r="509" spans="1:15" x14ac:dyDescent="0.2">
      <c r="A509">
        <v>51</v>
      </c>
      <c r="B509" t="str">
        <f>VLOOKUP(Table1[[#This Row],[CountyID]],[1]!Table1[#All],2,FALSE)</f>
        <v>Murray</v>
      </c>
      <c r="C509">
        <f>VLOOKUP(Table1[[#This Row],[CountyID]],[1]!Table1[#All],3,FALSE)</f>
        <v>29</v>
      </c>
      <c r="D509">
        <v>29</v>
      </c>
      <c r="E509">
        <f>Table1[[#This Row],[Number of Counties]]-Table1[[#This Row],[Number of precincts Reporting]]</f>
        <v>0</v>
      </c>
      <c r="F509" t="s">
        <v>0</v>
      </c>
      <c r="G509" t="s">
        <v>1</v>
      </c>
      <c r="H509">
        <v>101</v>
      </c>
      <c r="I509">
        <v>801</v>
      </c>
      <c r="J509" t="s">
        <v>16</v>
      </c>
      <c r="K509" t="s">
        <v>17</v>
      </c>
      <c r="L509">
        <v>29</v>
      </c>
      <c r="M509">
        <v>0</v>
      </c>
      <c r="N509">
        <v>0</v>
      </c>
      <c r="O509">
        <v>4769</v>
      </c>
    </row>
    <row r="510" spans="1:15" x14ac:dyDescent="0.2">
      <c r="A510">
        <v>51</v>
      </c>
      <c r="B510" t="str">
        <f>VLOOKUP(Table1[[#This Row],[CountyID]],[1]!Table1[#All],2,FALSE)</f>
        <v>Murray</v>
      </c>
      <c r="C510">
        <f>VLOOKUP(Table1[[#This Row],[CountyID]],[1]!Table1[#All],3,FALSE)</f>
        <v>29</v>
      </c>
      <c r="D510">
        <v>29</v>
      </c>
      <c r="E510">
        <f>Table1[[#This Row],[Number of Counties]]-Table1[[#This Row],[Number of precincts Reporting]]</f>
        <v>0</v>
      </c>
      <c r="F510" t="s">
        <v>0</v>
      </c>
      <c r="G510" t="s">
        <v>1</v>
      </c>
      <c r="H510">
        <v>101</v>
      </c>
      <c r="I510">
        <v>901</v>
      </c>
      <c r="J510" t="s">
        <v>18</v>
      </c>
      <c r="K510" t="s">
        <v>19</v>
      </c>
      <c r="L510">
        <v>29</v>
      </c>
      <c r="M510">
        <v>4</v>
      </c>
      <c r="N510">
        <v>0.08</v>
      </c>
      <c r="O510">
        <v>4769</v>
      </c>
    </row>
    <row r="511" spans="1:15" x14ac:dyDescent="0.2">
      <c r="A511">
        <v>51</v>
      </c>
      <c r="B511" t="str">
        <f>VLOOKUP(Table1[[#This Row],[CountyID]],[1]!Table1[#All],2,FALSE)</f>
        <v>Murray</v>
      </c>
      <c r="C511">
        <f>VLOOKUP(Table1[[#This Row],[CountyID]],[1]!Table1[#All],3,FALSE)</f>
        <v>29</v>
      </c>
      <c r="D511">
        <v>29</v>
      </c>
      <c r="E511">
        <f>Table1[[#This Row],[Number of Counties]]-Table1[[#This Row],[Number of precincts Reporting]]</f>
        <v>0</v>
      </c>
      <c r="F511" t="s">
        <v>0</v>
      </c>
      <c r="G511" t="s">
        <v>1</v>
      </c>
      <c r="H511">
        <v>101</v>
      </c>
      <c r="I511">
        <v>9901</v>
      </c>
      <c r="J511" t="s">
        <v>20</v>
      </c>
      <c r="K511" t="s">
        <v>21</v>
      </c>
      <c r="L511">
        <v>29</v>
      </c>
      <c r="M511">
        <v>14</v>
      </c>
      <c r="N511">
        <v>0.28999999999999998</v>
      </c>
      <c r="O511">
        <v>4769</v>
      </c>
    </row>
    <row r="512" spans="1:15" x14ac:dyDescent="0.2">
      <c r="A512">
        <v>52</v>
      </c>
      <c r="B512" t="str">
        <f>VLOOKUP(Table1[[#This Row],[CountyID]],[1]!Table1[#All],2,FALSE)</f>
        <v>Nicollet</v>
      </c>
      <c r="C512">
        <f>VLOOKUP(Table1[[#This Row],[CountyID]],[1]!Table1[#All],3,FALSE)</f>
        <v>26</v>
      </c>
      <c r="D512">
        <v>26</v>
      </c>
      <c r="E512">
        <f>Table1[[#This Row],[Number of Counties]]-Table1[[#This Row],[Number of precincts Reporting]]</f>
        <v>0</v>
      </c>
      <c r="F512" t="s">
        <v>0</v>
      </c>
      <c r="G512" t="s">
        <v>1</v>
      </c>
      <c r="H512">
        <v>101</v>
      </c>
      <c r="I512">
        <v>101</v>
      </c>
      <c r="J512" t="s">
        <v>2</v>
      </c>
      <c r="K512" t="s">
        <v>3</v>
      </c>
      <c r="L512">
        <v>26</v>
      </c>
      <c r="M512">
        <v>9540</v>
      </c>
      <c r="N512">
        <v>49.13</v>
      </c>
      <c r="O512">
        <v>19417</v>
      </c>
    </row>
    <row r="513" spans="1:15" x14ac:dyDescent="0.2">
      <c r="A513">
        <v>52</v>
      </c>
      <c r="B513" t="str">
        <f>VLOOKUP(Table1[[#This Row],[CountyID]],[1]!Table1[#All],2,FALSE)</f>
        <v>Nicollet</v>
      </c>
      <c r="C513">
        <f>VLOOKUP(Table1[[#This Row],[CountyID]],[1]!Table1[#All],3,FALSE)</f>
        <v>26</v>
      </c>
      <c r="D513">
        <v>26</v>
      </c>
      <c r="E513">
        <f>Table1[[#This Row],[Number of Counties]]-Table1[[#This Row],[Number of precincts Reporting]]</f>
        <v>0</v>
      </c>
      <c r="F513" t="s">
        <v>0</v>
      </c>
      <c r="G513" t="s">
        <v>1</v>
      </c>
      <c r="H513">
        <v>101</v>
      </c>
      <c r="I513">
        <v>201</v>
      </c>
      <c r="J513" t="s">
        <v>4</v>
      </c>
      <c r="K513" t="s">
        <v>5</v>
      </c>
      <c r="L513">
        <v>26</v>
      </c>
      <c r="M513">
        <v>9441</v>
      </c>
      <c r="N513">
        <v>48.62</v>
      </c>
      <c r="O513">
        <v>19417</v>
      </c>
    </row>
    <row r="514" spans="1:15" x14ac:dyDescent="0.2">
      <c r="A514">
        <v>52</v>
      </c>
      <c r="B514" t="str">
        <f>VLOOKUP(Table1[[#This Row],[CountyID]],[1]!Table1[#All],2,FALSE)</f>
        <v>Nicollet</v>
      </c>
      <c r="C514">
        <f>VLOOKUP(Table1[[#This Row],[CountyID]],[1]!Table1[#All],3,FALSE)</f>
        <v>26</v>
      </c>
      <c r="D514">
        <v>26</v>
      </c>
      <c r="E514">
        <f>Table1[[#This Row],[Number of Counties]]-Table1[[#This Row],[Number of precincts Reporting]]</f>
        <v>0</v>
      </c>
      <c r="F514" t="s">
        <v>0</v>
      </c>
      <c r="G514" t="s">
        <v>1</v>
      </c>
      <c r="H514">
        <v>101</v>
      </c>
      <c r="I514">
        <v>301</v>
      </c>
      <c r="J514" t="s">
        <v>6</v>
      </c>
      <c r="K514" t="s">
        <v>7</v>
      </c>
      <c r="L514">
        <v>26</v>
      </c>
      <c r="M514">
        <v>81</v>
      </c>
      <c r="N514">
        <v>0.42</v>
      </c>
      <c r="O514">
        <v>19417</v>
      </c>
    </row>
    <row r="515" spans="1:15" x14ac:dyDescent="0.2">
      <c r="A515">
        <v>52</v>
      </c>
      <c r="B515" t="str">
        <f>VLOOKUP(Table1[[#This Row],[CountyID]],[1]!Table1[#All],2,FALSE)</f>
        <v>Nicollet</v>
      </c>
      <c r="C515">
        <f>VLOOKUP(Table1[[#This Row],[CountyID]],[1]!Table1[#All],3,FALSE)</f>
        <v>26</v>
      </c>
      <c r="D515">
        <v>26</v>
      </c>
      <c r="E515">
        <f>Table1[[#This Row],[Number of Counties]]-Table1[[#This Row],[Number of precincts Reporting]]</f>
        <v>0</v>
      </c>
      <c r="F515" t="s">
        <v>0</v>
      </c>
      <c r="G515" t="s">
        <v>1</v>
      </c>
      <c r="H515">
        <v>101</v>
      </c>
      <c r="I515">
        <v>401</v>
      </c>
      <c r="J515" t="s">
        <v>8</v>
      </c>
      <c r="K515" t="s">
        <v>9</v>
      </c>
      <c r="L515">
        <v>26</v>
      </c>
      <c r="M515">
        <v>193</v>
      </c>
      <c r="N515">
        <v>0.99</v>
      </c>
      <c r="O515">
        <v>19417</v>
      </c>
    </row>
    <row r="516" spans="1:15" x14ac:dyDescent="0.2">
      <c r="A516">
        <v>52</v>
      </c>
      <c r="B516" t="str">
        <f>VLOOKUP(Table1[[#This Row],[CountyID]],[1]!Table1[#All],2,FALSE)</f>
        <v>Nicollet</v>
      </c>
      <c r="C516">
        <f>VLOOKUP(Table1[[#This Row],[CountyID]],[1]!Table1[#All],3,FALSE)</f>
        <v>26</v>
      </c>
      <c r="D516">
        <v>26</v>
      </c>
      <c r="E516">
        <f>Table1[[#This Row],[Number of Counties]]-Table1[[#This Row],[Number of precincts Reporting]]</f>
        <v>0</v>
      </c>
      <c r="F516" t="s">
        <v>0</v>
      </c>
      <c r="G516" t="s">
        <v>1</v>
      </c>
      <c r="H516">
        <v>101</v>
      </c>
      <c r="I516">
        <v>501</v>
      </c>
      <c r="J516" t="s">
        <v>10</v>
      </c>
      <c r="K516" t="s">
        <v>11</v>
      </c>
      <c r="L516">
        <v>26</v>
      </c>
      <c r="M516">
        <v>48</v>
      </c>
      <c r="N516">
        <v>0.25</v>
      </c>
      <c r="O516">
        <v>19417</v>
      </c>
    </row>
    <row r="517" spans="1:15" x14ac:dyDescent="0.2">
      <c r="A517">
        <v>52</v>
      </c>
      <c r="B517" t="str">
        <f>VLOOKUP(Table1[[#This Row],[CountyID]],[1]!Table1[#All],2,FALSE)</f>
        <v>Nicollet</v>
      </c>
      <c r="C517">
        <f>VLOOKUP(Table1[[#This Row],[CountyID]],[1]!Table1[#All],3,FALSE)</f>
        <v>26</v>
      </c>
      <c r="D517">
        <v>26</v>
      </c>
      <c r="E517">
        <f>Table1[[#This Row],[Number of Counties]]-Table1[[#This Row],[Number of precincts Reporting]]</f>
        <v>0</v>
      </c>
      <c r="F517" t="s">
        <v>0</v>
      </c>
      <c r="G517" t="s">
        <v>1</v>
      </c>
      <c r="H517">
        <v>101</v>
      </c>
      <c r="I517">
        <v>601</v>
      </c>
      <c r="J517" t="s">
        <v>12</v>
      </c>
      <c r="K517" t="s">
        <v>13</v>
      </c>
      <c r="L517">
        <v>26</v>
      </c>
      <c r="M517">
        <v>13</v>
      </c>
      <c r="N517">
        <v>7.0000000000000007E-2</v>
      </c>
      <c r="O517">
        <v>19417</v>
      </c>
    </row>
    <row r="518" spans="1:15" x14ac:dyDescent="0.2">
      <c r="A518">
        <v>52</v>
      </c>
      <c r="B518" t="str">
        <f>VLOOKUP(Table1[[#This Row],[CountyID]],[1]!Table1[#All],2,FALSE)</f>
        <v>Nicollet</v>
      </c>
      <c r="C518">
        <f>VLOOKUP(Table1[[#This Row],[CountyID]],[1]!Table1[#All],3,FALSE)</f>
        <v>26</v>
      </c>
      <c r="D518">
        <v>26</v>
      </c>
      <c r="E518">
        <f>Table1[[#This Row],[Number of Counties]]-Table1[[#This Row],[Number of precincts Reporting]]</f>
        <v>0</v>
      </c>
      <c r="F518" t="s">
        <v>0</v>
      </c>
      <c r="G518" t="s">
        <v>1</v>
      </c>
      <c r="H518">
        <v>101</v>
      </c>
      <c r="I518">
        <v>701</v>
      </c>
      <c r="J518" t="s">
        <v>14</v>
      </c>
      <c r="K518" t="s">
        <v>15</v>
      </c>
      <c r="L518">
        <v>26</v>
      </c>
      <c r="M518">
        <v>2</v>
      </c>
      <c r="N518">
        <v>0.01</v>
      </c>
      <c r="O518">
        <v>19417</v>
      </c>
    </row>
    <row r="519" spans="1:15" x14ac:dyDescent="0.2">
      <c r="A519">
        <v>52</v>
      </c>
      <c r="B519" t="str">
        <f>VLOOKUP(Table1[[#This Row],[CountyID]],[1]!Table1[#All],2,FALSE)</f>
        <v>Nicollet</v>
      </c>
      <c r="C519">
        <f>VLOOKUP(Table1[[#This Row],[CountyID]],[1]!Table1[#All],3,FALSE)</f>
        <v>26</v>
      </c>
      <c r="D519">
        <v>26</v>
      </c>
      <c r="E519">
        <f>Table1[[#This Row],[Number of Counties]]-Table1[[#This Row],[Number of precincts Reporting]]</f>
        <v>0</v>
      </c>
      <c r="F519" t="s">
        <v>0</v>
      </c>
      <c r="G519" t="s">
        <v>1</v>
      </c>
      <c r="H519">
        <v>101</v>
      </c>
      <c r="I519">
        <v>801</v>
      </c>
      <c r="J519" t="s">
        <v>16</v>
      </c>
      <c r="K519" t="s">
        <v>17</v>
      </c>
      <c r="L519">
        <v>26</v>
      </c>
      <c r="M519">
        <v>18</v>
      </c>
      <c r="N519">
        <v>0.09</v>
      </c>
      <c r="O519">
        <v>19417</v>
      </c>
    </row>
    <row r="520" spans="1:15" x14ac:dyDescent="0.2">
      <c r="A520">
        <v>52</v>
      </c>
      <c r="B520" t="str">
        <f>VLOOKUP(Table1[[#This Row],[CountyID]],[1]!Table1[#All],2,FALSE)</f>
        <v>Nicollet</v>
      </c>
      <c r="C520">
        <f>VLOOKUP(Table1[[#This Row],[CountyID]],[1]!Table1[#All],3,FALSE)</f>
        <v>26</v>
      </c>
      <c r="D520">
        <v>26</v>
      </c>
      <c r="E520">
        <f>Table1[[#This Row],[Number of Counties]]-Table1[[#This Row],[Number of precincts Reporting]]</f>
        <v>0</v>
      </c>
      <c r="F520" t="s">
        <v>0</v>
      </c>
      <c r="G520" t="s">
        <v>1</v>
      </c>
      <c r="H520">
        <v>101</v>
      </c>
      <c r="I520">
        <v>901</v>
      </c>
      <c r="J520" t="s">
        <v>18</v>
      </c>
      <c r="K520" t="s">
        <v>19</v>
      </c>
      <c r="L520">
        <v>26</v>
      </c>
      <c r="M520">
        <v>18</v>
      </c>
      <c r="N520">
        <v>0.09</v>
      </c>
      <c r="O520">
        <v>19417</v>
      </c>
    </row>
    <row r="521" spans="1:15" x14ac:dyDescent="0.2">
      <c r="A521">
        <v>52</v>
      </c>
      <c r="B521" t="str">
        <f>VLOOKUP(Table1[[#This Row],[CountyID]],[1]!Table1[#All],2,FALSE)</f>
        <v>Nicollet</v>
      </c>
      <c r="C521">
        <f>VLOOKUP(Table1[[#This Row],[CountyID]],[1]!Table1[#All],3,FALSE)</f>
        <v>26</v>
      </c>
      <c r="D521">
        <v>26</v>
      </c>
      <c r="E521">
        <f>Table1[[#This Row],[Number of Counties]]-Table1[[#This Row],[Number of precincts Reporting]]</f>
        <v>0</v>
      </c>
      <c r="F521" t="s">
        <v>0</v>
      </c>
      <c r="G521" t="s">
        <v>1</v>
      </c>
      <c r="H521">
        <v>101</v>
      </c>
      <c r="I521">
        <v>9901</v>
      </c>
      <c r="J521" t="s">
        <v>20</v>
      </c>
      <c r="K521" t="s">
        <v>21</v>
      </c>
      <c r="L521">
        <v>26</v>
      </c>
      <c r="M521">
        <v>63</v>
      </c>
      <c r="N521">
        <v>0.32</v>
      </c>
      <c r="O521">
        <v>19417</v>
      </c>
    </row>
    <row r="522" spans="1:15" x14ac:dyDescent="0.2">
      <c r="A522">
        <v>53</v>
      </c>
      <c r="B522" t="str">
        <f>VLOOKUP(Table1[[#This Row],[CountyID]],[1]!Table1[#All],2,FALSE)</f>
        <v>Nobles</v>
      </c>
      <c r="C522">
        <f>VLOOKUP(Table1[[#This Row],[CountyID]],[1]!Table1[#All],3,FALSE)</f>
        <v>40</v>
      </c>
      <c r="D522">
        <v>40</v>
      </c>
      <c r="E522">
        <f>Table1[[#This Row],[Number of Counties]]-Table1[[#This Row],[Number of precincts Reporting]]</f>
        <v>0</v>
      </c>
      <c r="F522" t="s">
        <v>0</v>
      </c>
      <c r="G522" t="s">
        <v>1</v>
      </c>
      <c r="H522">
        <v>101</v>
      </c>
      <c r="I522">
        <v>101</v>
      </c>
      <c r="J522" t="s">
        <v>2</v>
      </c>
      <c r="K522" t="s">
        <v>3</v>
      </c>
      <c r="L522">
        <v>40</v>
      </c>
      <c r="M522">
        <v>5541</v>
      </c>
      <c r="N522">
        <v>66.959999999999994</v>
      </c>
      <c r="O522">
        <v>8275</v>
      </c>
    </row>
    <row r="523" spans="1:15" x14ac:dyDescent="0.2">
      <c r="A523">
        <v>53</v>
      </c>
      <c r="B523" t="str">
        <f>VLOOKUP(Table1[[#This Row],[CountyID]],[1]!Table1[#All],2,FALSE)</f>
        <v>Nobles</v>
      </c>
      <c r="C523">
        <f>VLOOKUP(Table1[[#This Row],[CountyID]],[1]!Table1[#All],3,FALSE)</f>
        <v>40</v>
      </c>
      <c r="D523">
        <v>40</v>
      </c>
      <c r="E523">
        <f>Table1[[#This Row],[Number of Counties]]-Table1[[#This Row],[Number of precincts Reporting]]</f>
        <v>0</v>
      </c>
      <c r="F523" t="s">
        <v>0</v>
      </c>
      <c r="G523" t="s">
        <v>1</v>
      </c>
      <c r="H523">
        <v>101</v>
      </c>
      <c r="I523">
        <v>201</v>
      </c>
      <c r="J523" t="s">
        <v>4</v>
      </c>
      <c r="K523" t="s">
        <v>5</v>
      </c>
      <c r="L523">
        <v>40</v>
      </c>
      <c r="M523">
        <v>2599</v>
      </c>
      <c r="N523">
        <v>31.41</v>
      </c>
      <c r="O523">
        <v>8275</v>
      </c>
    </row>
    <row r="524" spans="1:15" x14ac:dyDescent="0.2">
      <c r="A524">
        <v>53</v>
      </c>
      <c r="B524" t="str">
        <f>VLOOKUP(Table1[[#This Row],[CountyID]],[1]!Table1[#All],2,FALSE)</f>
        <v>Nobles</v>
      </c>
      <c r="C524">
        <f>VLOOKUP(Table1[[#This Row],[CountyID]],[1]!Table1[#All],3,FALSE)</f>
        <v>40</v>
      </c>
      <c r="D524">
        <v>40</v>
      </c>
      <c r="E524">
        <f>Table1[[#This Row],[Number of Counties]]-Table1[[#This Row],[Number of precincts Reporting]]</f>
        <v>0</v>
      </c>
      <c r="F524" t="s">
        <v>0</v>
      </c>
      <c r="G524" t="s">
        <v>1</v>
      </c>
      <c r="H524">
        <v>101</v>
      </c>
      <c r="I524">
        <v>301</v>
      </c>
      <c r="J524" t="s">
        <v>6</v>
      </c>
      <c r="K524" t="s">
        <v>7</v>
      </c>
      <c r="L524">
        <v>40</v>
      </c>
      <c r="M524">
        <v>15</v>
      </c>
      <c r="N524">
        <v>0.18</v>
      </c>
      <c r="O524">
        <v>8275</v>
      </c>
    </row>
    <row r="525" spans="1:15" x14ac:dyDescent="0.2">
      <c r="A525">
        <v>53</v>
      </c>
      <c r="B525" t="str">
        <f>VLOOKUP(Table1[[#This Row],[CountyID]],[1]!Table1[#All],2,FALSE)</f>
        <v>Nobles</v>
      </c>
      <c r="C525">
        <f>VLOOKUP(Table1[[#This Row],[CountyID]],[1]!Table1[#All],3,FALSE)</f>
        <v>40</v>
      </c>
      <c r="D525">
        <v>40</v>
      </c>
      <c r="E525">
        <f>Table1[[#This Row],[Number of Counties]]-Table1[[#This Row],[Number of precincts Reporting]]</f>
        <v>0</v>
      </c>
      <c r="F525" t="s">
        <v>0</v>
      </c>
      <c r="G525" t="s">
        <v>1</v>
      </c>
      <c r="H525">
        <v>101</v>
      </c>
      <c r="I525">
        <v>401</v>
      </c>
      <c r="J525" t="s">
        <v>8</v>
      </c>
      <c r="K525" t="s">
        <v>9</v>
      </c>
      <c r="L525">
        <v>40</v>
      </c>
      <c r="M525">
        <v>82</v>
      </c>
      <c r="N525">
        <v>0.99</v>
      </c>
      <c r="O525">
        <v>8275</v>
      </c>
    </row>
    <row r="526" spans="1:15" x14ac:dyDescent="0.2">
      <c r="A526">
        <v>53</v>
      </c>
      <c r="B526" t="str">
        <f>VLOOKUP(Table1[[#This Row],[CountyID]],[1]!Table1[#All],2,FALSE)</f>
        <v>Nobles</v>
      </c>
      <c r="C526">
        <f>VLOOKUP(Table1[[#This Row],[CountyID]],[1]!Table1[#All],3,FALSE)</f>
        <v>40</v>
      </c>
      <c r="D526">
        <v>40</v>
      </c>
      <c r="E526">
        <f>Table1[[#This Row],[Number of Counties]]-Table1[[#This Row],[Number of precincts Reporting]]</f>
        <v>0</v>
      </c>
      <c r="F526" t="s">
        <v>0</v>
      </c>
      <c r="G526" t="s">
        <v>1</v>
      </c>
      <c r="H526">
        <v>101</v>
      </c>
      <c r="I526">
        <v>501</v>
      </c>
      <c r="J526" t="s">
        <v>10</v>
      </c>
      <c r="K526" t="s">
        <v>11</v>
      </c>
      <c r="L526">
        <v>40</v>
      </c>
      <c r="M526">
        <v>9</v>
      </c>
      <c r="N526">
        <v>0.11</v>
      </c>
      <c r="O526">
        <v>8275</v>
      </c>
    </row>
    <row r="527" spans="1:15" x14ac:dyDescent="0.2">
      <c r="A527">
        <v>53</v>
      </c>
      <c r="B527" t="str">
        <f>VLOOKUP(Table1[[#This Row],[CountyID]],[1]!Table1[#All],2,FALSE)</f>
        <v>Nobles</v>
      </c>
      <c r="C527">
        <f>VLOOKUP(Table1[[#This Row],[CountyID]],[1]!Table1[#All],3,FALSE)</f>
        <v>40</v>
      </c>
      <c r="D527">
        <v>40</v>
      </c>
      <c r="E527">
        <f>Table1[[#This Row],[Number of Counties]]-Table1[[#This Row],[Number of precincts Reporting]]</f>
        <v>0</v>
      </c>
      <c r="F527" t="s">
        <v>0</v>
      </c>
      <c r="G527" t="s">
        <v>1</v>
      </c>
      <c r="H527">
        <v>101</v>
      </c>
      <c r="I527">
        <v>601</v>
      </c>
      <c r="J527" t="s">
        <v>12</v>
      </c>
      <c r="K527" t="s">
        <v>13</v>
      </c>
      <c r="L527">
        <v>40</v>
      </c>
      <c r="M527">
        <v>1</v>
      </c>
      <c r="N527">
        <v>0.01</v>
      </c>
      <c r="O527">
        <v>8275</v>
      </c>
    </row>
    <row r="528" spans="1:15" x14ac:dyDescent="0.2">
      <c r="A528">
        <v>53</v>
      </c>
      <c r="B528" t="str">
        <f>VLOOKUP(Table1[[#This Row],[CountyID]],[1]!Table1[#All],2,FALSE)</f>
        <v>Nobles</v>
      </c>
      <c r="C528">
        <f>VLOOKUP(Table1[[#This Row],[CountyID]],[1]!Table1[#All],3,FALSE)</f>
        <v>40</v>
      </c>
      <c r="D528">
        <v>40</v>
      </c>
      <c r="E528">
        <f>Table1[[#This Row],[Number of Counties]]-Table1[[#This Row],[Number of precincts Reporting]]</f>
        <v>0</v>
      </c>
      <c r="F528" t="s">
        <v>0</v>
      </c>
      <c r="G528" t="s">
        <v>1</v>
      </c>
      <c r="H528">
        <v>101</v>
      </c>
      <c r="I528">
        <v>701</v>
      </c>
      <c r="J528" t="s">
        <v>14</v>
      </c>
      <c r="K528" t="s">
        <v>15</v>
      </c>
      <c r="L528">
        <v>40</v>
      </c>
      <c r="M528">
        <v>2</v>
      </c>
      <c r="N528">
        <v>0.02</v>
      </c>
      <c r="O528">
        <v>8275</v>
      </c>
    </row>
    <row r="529" spans="1:15" x14ac:dyDescent="0.2">
      <c r="A529">
        <v>53</v>
      </c>
      <c r="B529" t="str">
        <f>VLOOKUP(Table1[[#This Row],[CountyID]],[1]!Table1[#All],2,FALSE)</f>
        <v>Nobles</v>
      </c>
      <c r="C529">
        <f>VLOOKUP(Table1[[#This Row],[CountyID]],[1]!Table1[#All],3,FALSE)</f>
        <v>40</v>
      </c>
      <c r="D529">
        <v>40</v>
      </c>
      <c r="E529">
        <f>Table1[[#This Row],[Number of Counties]]-Table1[[#This Row],[Number of precincts Reporting]]</f>
        <v>0</v>
      </c>
      <c r="F529" t="s">
        <v>0</v>
      </c>
      <c r="G529" t="s">
        <v>1</v>
      </c>
      <c r="H529">
        <v>101</v>
      </c>
      <c r="I529">
        <v>801</v>
      </c>
      <c r="J529" t="s">
        <v>16</v>
      </c>
      <c r="K529" t="s">
        <v>17</v>
      </c>
      <c r="L529">
        <v>40</v>
      </c>
      <c r="M529">
        <v>3</v>
      </c>
      <c r="N529">
        <v>0.04</v>
      </c>
      <c r="O529">
        <v>8275</v>
      </c>
    </row>
    <row r="530" spans="1:15" x14ac:dyDescent="0.2">
      <c r="A530">
        <v>53</v>
      </c>
      <c r="B530" t="str">
        <f>VLOOKUP(Table1[[#This Row],[CountyID]],[1]!Table1[#All],2,FALSE)</f>
        <v>Nobles</v>
      </c>
      <c r="C530">
        <f>VLOOKUP(Table1[[#This Row],[CountyID]],[1]!Table1[#All],3,FALSE)</f>
        <v>40</v>
      </c>
      <c r="D530">
        <v>40</v>
      </c>
      <c r="E530">
        <f>Table1[[#This Row],[Number of Counties]]-Table1[[#This Row],[Number of precincts Reporting]]</f>
        <v>0</v>
      </c>
      <c r="F530" t="s">
        <v>0</v>
      </c>
      <c r="G530" t="s">
        <v>1</v>
      </c>
      <c r="H530">
        <v>101</v>
      </c>
      <c r="I530">
        <v>901</v>
      </c>
      <c r="J530" t="s">
        <v>18</v>
      </c>
      <c r="K530" t="s">
        <v>19</v>
      </c>
      <c r="L530">
        <v>40</v>
      </c>
      <c r="M530">
        <v>6</v>
      </c>
      <c r="N530">
        <v>7.0000000000000007E-2</v>
      </c>
      <c r="O530">
        <v>8275</v>
      </c>
    </row>
    <row r="531" spans="1:15" x14ac:dyDescent="0.2">
      <c r="A531">
        <v>53</v>
      </c>
      <c r="B531" t="str">
        <f>VLOOKUP(Table1[[#This Row],[CountyID]],[1]!Table1[#All],2,FALSE)</f>
        <v>Nobles</v>
      </c>
      <c r="C531">
        <f>VLOOKUP(Table1[[#This Row],[CountyID]],[1]!Table1[#All],3,FALSE)</f>
        <v>40</v>
      </c>
      <c r="D531">
        <v>40</v>
      </c>
      <c r="E531">
        <f>Table1[[#This Row],[Number of Counties]]-Table1[[#This Row],[Number of precincts Reporting]]</f>
        <v>0</v>
      </c>
      <c r="F531" t="s">
        <v>0</v>
      </c>
      <c r="G531" t="s">
        <v>1</v>
      </c>
      <c r="H531">
        <v>101</v>
      </c>
      <c r="I531">
        <v>9901</v>
      </c>
      <c r="J531" t="s">
        <v>20</v>
      </c>
      <c r="K531" t="s">
        <v>21</v>
      </c>
      <c r="L531">
        <v>40</v>
      </c>
      <c r="M531">
        <v>17</v>
      </c>
      <c r="N531">
        <v>0.21</v>
      </c>
      <c r="O531">
        <v>8275</v>
      </c>
    </row>
    <row r="532" spans="1:15" x14ac:dyDescent="0.2">
      <c r="A532">
        <v>54</v>
      </c>
      <c r="B532" t="str">
        <f>VLOOKUP(Table1[[#This Row],[CountyID]],[1]!Table1[#All],2,FALSE)</f>
        <v>Norman</v>
      </c>
      <c r="C532">
        <f>VLOOKUP(Table1[[#This Row],[CountyID]],[1]!Table1[#All],3,FALSE)</f>
        <v>33</v>
      </c>
      <c r="D532">
        <v>33</v>
      </c>
      <c r="E532">
        <f>Table1[[#This Row],[Number of Counties]]-Table1[[#This Row],[Number of precincts Reporting]]</f>
        <v>0</v>
      </c>
      <c r="F532" t="s">
        <v>0</v>
      </c>
      <c r="G532" t="s">
        <v>1</v>
      </c>
      <c r="H532">
        <v>101</v>
      </c>
      <c r="I532">
        <v>101</v>
      </c>
      <c r="J532" t="s">
        <v>2</v>
      </c>
      <c r="K532" t="s">
        <v>3</v>
      </c>
      <c r="L532">
        <v>33</v>
      </c>
      <c r="M532">
        <v>1963</v>
      </c>
      <c r="N532">
        <v>59.59</v>
      </c>
      <c r="O532">
        <v>3294</v>
      </c>
    </row>
    <row r="533" spans="1:15" x14ac:dyDescent="0.2">
      <c r="A533">
        <v>54</v>
      </c>
      <c r="B533" t="str">
        <f>VLOOKUP(Table1[[#This Row],[CountyID]],[1]!Table1[#All],2,FALSE)</f>
        <v>Norman</v>
      </c>
      <c r="C533">
        <f>VLOOKUP(Table1[[#This Row],[CountyID]],[1]!Table1[#All],3,FALSE)</f>
        <v>33</v>
      </c>
      <c r="D533">
        <v>33</v>
      </c>
      <c r="E533">
        <f>Table1[[#This Row],[Number of Counties]]-Table1[[#This Row],[Number of precincts Reporting]]</f>
        <v>0</v>
      </c>
      <c r="F533" t="s">
        <v>0</v>
      </c>
      <c r="G533" t="s">
        <v>1</v>
      </c>
      <c r="H533">
        <v>101</v>
      </c>
      <c r="I533">
        <v>201</v>
      </c>
      <c r="J533" t="s">
        <v>4</v>
      </c>
      <c r="K533" t="s">
        <v>5</v>
      </c>
      <c r="L533">
        <v>33</v>
      </c>
      <c r="M533">
        <v>1233</v>
      </c>
      <c r="N533">
        <v>37.43</v>
      </c>
      <c r="O533">
        <v>3294</v>
      </c>
    </row>
    <row r="534" spans="1:15" x14ac:dyDescent="0.2">
      <c r="A534">
        <v>54</v>
      </c>
      <c r="B534" t="str">
        <f>VLOOKUP(Table1[[#This Row],[CountyID]],[1]!Table1[#All],2,FALSE)</f>
        <v>Norman</v>
      </c>
      <c r="C534">
        <f>VLOOKUP(Table1[[#This Row],[CountyID]],[1]!Table1[#All],3,FALSE)</f>
        <v>33</v>
      </c>
      <c r="D534">
        <v>33</v>
      </c>
      <c r="E534">
        <f>Table1[[#This Row],[Number of Counties]]-Table1[[#This Row],[Number of precincts Reporting]]</f>
        <v>0</v>
      </c>
      <c r="F534" t="s">
        <v>0</v>
      </c>
      <c r="G534" t="s">
        <v>1</v>
      </c>
      <c r="H534">
        <v>101</v>
      </c>
      <c r="I534">
        <v>301</v>
      </c>
      <c r="J534" t="s">
        <v>6</v>
      </c>
      <c r="K534" t="s">
        <v>7</v>
      </c>
      <c r="L534">
        <v>33</v>
      </c>
      <c r="M534">
        <v>18</v>
      </c>
      <c r="N534">
        <v>0.55000000000000004</v>
      </c>
      <c r="O534">
        <v>3294</v>
      </c>
    </row>
    <row r="535" spans="1:15" x14ac:dyDescent="0.2">
      <c r="A535">
        <v>54</v>
      </c>
      <c r="B535" t="str">
        <f>VLOOKUP(Table1[[#This Row],[CountyID]],[1]!Table1[#All],2,FALSE)</f>
        <v>Norman</v>
      </c>
      <c r="C535">
        <f>VLOOKUP(Table1[[#This Row],[CountyID]],[1]!Table1[#All],3,FALSE)</f>
        <v>33</v>
      </c>
      <c r="D535">
        <v>33</v>
      </c>
      <c r="E535">
        <f>Table1[[#This Row],[Number of Counties]]-Table1[[#This Row],[Number of precincts Reporting]]</f>
        <v>0</v>
      </c>
      <c r="F535" t="s">
        <v>0</v>
      </c>
      <c r="G535" t="s">
        <v>1</v>
      </c>
      <c r="H535">
        <v>101</v>
      </c>
      <c r="I535">
        <v>401</v>
      </c>
      <c r="J535" t="s">
        <v>8</v>
      </c>
      <c r="K535" t="s">
        <v>9</v>
      </c>
      <c r="L535">
        <v>33</v>
      </c>
      <c r="M535">
        <v>50</v>
      </c>
      <c r="N535">
        <v>1.52</v>
      </c>
      <c r="O535">
        <v>3294</v>
      </c>
    </row>
    <row r="536" spans="1:15" x14ac:dyDescent="0.2">
      <c r="A536">
        <v>54</v>
      </c>
      <c r="B536" t="str">
        <f>VLOOKUP(Table1[[#This Row],[CountyID]],[1]!Table1[#All],2,FALSE)</f>
        <v>Norman</v>
      </c>
      <c r="C536">
        <f>VLOOKUP(Table1[[#This Row],[CountyID]],[1]!Table1[#All],3,FALSE)</f>
        <v>33</v>
      </c>
      <c r="D536">
        <v>33</v>
      </c>
      <c r="E536">
        <f>Table1[[#This Row],[Number of Counties]]-Table1[[#This Row],[Number of precincts Reporting]]</f>
        <v>0</v>
      </c>
      <c r="F536" t="s">
        <v>0</v>
      </c>
      <c r="G536" t="s">
        <v>1</v>
      </c>
      <c r="H536">
        <v>101</v>
      </c>
      <c r="I536">
        <v>501</v>
      </c>
      <c r="J536" t="s">
        <v>10</v>
      </c>
      <c r="K536" t="s">
        <v>11</v>
      </c>
      <c r="L536">
        <v>33</v>
      </c>
      <c r="M536">
        <v>10</v>
      </c>
      <c r="N536">
        <v>0.3</v>
      </c>
      <c r="O536">
        <v>3294</v>
      </c>
    </row>
    <row r="537" spans="1:15" x14ac:dyDescent="0.2">
      <c r="A537">
        <v>54</v>
      </c>
      <c r="B537" t="str">
        <f>VLOOKUP(Table1[[#This Row],[CountyID]],[1]!Table1[#All],2,FALSE)</f>
        <v>Norman</v>
      </c>
      <c r="C537">
        <f>VLOOKUP(Table1[[#This Row],[CountyID]],[1]!Table1[#All],3,FALSE)</f>
        <v>33</v>
      </c>
      <c r="D537">
        <v>33</v>
      </c>
      <c r="E537">
        <f>Table1[[#This Row],[Number of Counties]]-Table1[[#This Row],[Number of precincts Reporting]]</f>
        <v>0</v>
      </c>
      <c r="F537" t="s">
        <v>0</v>
      </c>
      <c r="G537" t="s">
        <v>1</v>
      </c>
      <c r="H537">
        <v>101</v>
      </c>
      <c r="I537">
        <v>601</v>
      </c>
      <c r="J537" t="s">
        <v>12</v>
      </c>
      <c r="K537" t="s">
        <v>13</v>
      </c>
      <c r="L537">
        <v>33</v>
      </c>
      <c r="M537">
        <v>0</v>
      </c>
      <c r="N537">
        <v>0</v>
      </c>
      <c r="O537">
        <v>3294</v>
      </c>
    </row>
    <row r="538" spans="1:15" x14ac:dyDescent="0.2">
      <c r="A538">
        <v>54</v>
      </c>
      <c r="B538" t="str">
        <f>VLOOKUP(Table1[[#This Row],[CountyID]],[1]!Table1[#All],2,FALSE)</f>
        <v>Norman</v>
      </c>
      <c r="C538">
        <f>VLOOKUP(Table1[[#This Row],[CountyID]],[1]!Table1[#All],3,FALSE)</f>
        <v>33</v>
      </c>
      <c r="D538">
        <v>33</v>
      </c>
      <c r="E538">
        <f>Table1[[#This Row],[Number of Counties]]-Table1[[#This Row],[Number of precincts Reporting]]</f>
        <v>0</v>
      </c>
      <c r="F538" t="s">
        <v>0</v>
      </c>
      <c r="G538" t="s">
        <v>1</v>
      </c>
      <c r="H538">
        <v>101</v>
      </c>
      <c r="I538">
        <v>701</v>
      </c>
      <c r="J538" t="s">
        <v>14</v>
      </c>
      <c r="K538" t="s">
        <v>15</v>
      </c>
      <c r="L538">
        <v>33</v>
      </c>
      <c r="M538">
        <v>3</v>
      </c>
      <c r="N538">
        <v>0.09</v>
      </c>
      <c r="O538">
        <v>3294</v>
      </c>
    </row>
    <row r="539" spans="1:15" x14ac:dyDescent="0.2">
      <c r="A539">
        <v>54</v>
      </c>
      <c r="B539" t="str">
        <f>VLOOKUP(Table1[[#This Row],[CountyID]],[1]!Table1[#All],2,FALSE)</f>
        <v>Norman</v>
      </c>
      <c r="C539">
        <f>VLOOKUP(Table1[[#This Row],[CountyID]],[1]!Table1[#All],3,FALSE)</f>
        <v>33</v>
      </c>
      <c r="D539">
        <v>33</v>
      </c>
      <c r="E539">
        <f>Table1[[#This Row],[Number of Counties]]-Table1[[#This Row],[Number of precincts Reporting]]</f>
        <v>0</v>
      </c>
      <c r="F539" t="s">
        <v>0</v>
      </c>
      <c r="G539" t="s">
        <v>1</v>
      </c>
      <c r="H539">
        <v>101</v>
      </c>
      <c r="I539">
        <v>801</v>
      </c>
      <c r="J539" t="s">
        <v>16</v>
      </c>
      <c r="K539" t="s">
        <v>17</v>
      </c>
      <c r="L539">
        <v>33</v>
      </c>
      <c r="M539">
        <v>1</v>
      </c>
      <c r="N539">
        <v>0.03</v>
      </c>
      <c r="O539">
        <v>3294</v>
      </c>
    </row>
    <row r="540" spans="1:15" x14ac:dyDescent="0.2">
      <c r="A540">
        <v>54</v>
      </c>
      <c r="B540" t="str">
        <f>VLOOKUP(Table1[[#This Row],[CountyID]],[1]!Table1[#All],2,FALSE)</f>
        <v>Norman</v>
      </c>
      <c r="C540">
        <f>VLOOKUP(Table1[[#This Row],[CountyID]],[1]!Table1[#All],3,FALSE)</f>
        <v>33</v>
      </c>
      <c r="D540">
        <v>33</v>
      </c>
      <c r="E540">
        <f>Table1[[#This Row],[Number of Counties]]-Table1[[#This Row],[Number of precincts Reporting]]</f>
        <v>0</v>
      </c>
      <c r="F540" t="s">
        <v>0</v>
      </c>
      <c r="G540" t="s">
        <v>1</v>
      </c>
      <c r="H540">
        <v>101</v>
      </c>
      <c r="I540">
        <v>901</v>
      </c>
      <c r="J540" t="s">
        <v>18</v>
      </c>
      <c r="K540" t="s">
        <v>19</v>
      </c>
      <c r="L540">
        <v>33</v>
      </c>
      <c r="M540">
        <v>7</v>
      </c>
      <c r="N540">
        <v>0.21</v>
      </c>
      <c r="O540">
        <v>3294</v>
      </c>
    </row>
    <row r="541" spans="1:15" x14ac:dyDescent="0.2">
      <c r="A541">
        <v>54</v>
      </c>
      <c r="B541" t="str">
        <f>VLOOKUP(Table1[[#This Row],[CountyID]],[1]!Table1[#All],2,FALSE)</f>
        <v>Norman</v>
      </c>
      <c r="C541">
        <f>VLOOKUP(Table1[[#This Row],[CountyID]],[1]!Table1[#All],3,FALSE)</f>
        <v>33</v>
      </c>
      <c r="D541">
        <v>33</v>
      </c>
      <c r="E541">
        <f>Table1[[#This Row],[Number of Counties]]-Table1[[#This Row],[Number of precincts Reporting]]</f>
        <v>0</v>
      </c>
      <c r="F541" t="s">
        <v>0</v>
      </c>
      <c r="G541" t="s">
        <v>1</v>
      </c>
      <c r="H541">
        <v>101</v>
      </c>
      <c r="I541">
        <v>9901</v>
      </c>
      <c r="J541" t="s">
        <v>20</v>
      </c>
      <c r="K541" t="s">
        <v>21</v>
      </c>
      <c r="L541">
        <v>33</v>
      </c>
      <c r="M541">
        <v>9</v>
      </c>
      <c r="N541">
        <v>0.27</v>
      </c>
      <c r="O541">
        <v>3294</v>
      </c>
    </row>
    <row r="542" spans="1:15" x14ac:dyDescent="0.2">
      <c r="A542">
        <v>55</v>
      </c>
      <c r="B542" t="str">
        <f>VLOOKUP(Table1[[#This Row],[CountyID]],[1]!Table1[#All],2,FALSE)</f>
        <v>Olmsted</v>
      </c>
      <c r="C542">
        <f>VLOOKUP(Table1[[#This Row],[CountyID]],[1]!Table1[#All],3,FALSE)</f>
        <v>110</v>
      </c>
      <c r="D542">
        <v>110</v>
      </c>
      <c r="E542">
        <f>Table1[[#This Row],[Number of Counties]]-Table1[[#This Row],[Number of precincts Reporting]]</f>
        <v>0</v>
      </c>
      <c r="F542" t="s">
        <v>0</v>
      </c>
      <c r="G542" t="s">
        <v>1</v>
      </c>
      <c r="H542">
        <v>101</v>
      </c>
      <c r="I542">
        <v>101</v>
      </c>
      <c r="J542" t="s">
        <v>2</v>
      </c>
      <c r="K542" t="s">
        <v>3</v>
      </c>
      <c r="L542">
        <v>110</v>
      </c>
      <c r="M542">
        <v>39467</v>
      </c>
      <c r="N542">
        <v>43.41</v>
      </c>
      <c r="O542">
        <v>90924</v>
      </c>
    </row>
    <row r="543" spans="1:15" x14ac:dyDescent="0.2">
      <c r="A543">
        <v>55</v>
      </c>
      <c r="B543" t="str">
        <f>VLOOKUP(Table1[[#This Row],[CountyID]],[1]!Table1[#All],2,FALSE)</f>
        <v>Olmsted</v>
      </c>
      <c r="C543">
        <f>VLOOKUP(Table1[[#This Row],[CountyID]],[1]!Table1[#All],3,FALSE)</f>
        <v>110</v>
      </c>
      <c r="D543">
        <v>110</v>
      </c>
      <c r="E543">
        <f>Table1[[#This Row],[Number of Counties]]-Table1[[#This Row],[Number of precincts Reporting]]</f>
        <v>0</v>
      </c>
      <c r="F543" t="s">
        <v>0</v>
      </c>
      <c r="G543" t="s">
        <v>1</v>
      </c>
      <c r="H543">
        <v>101</v>
      </c>
      <c r="I543">
        <v>201</v>
      </c>
      <c r="J543" t="s">
        <v>4</v>
      </c>
      <c r="K543" t="s">
        <v>5</v>
      </c>
      <c r="L543">
        <v>110</v>
      </c>
      <c r="M543">
        <v>49121</v>
      </c>
      <c r="N543">
        <v>54.02</v>
      </c>
      <c r="O543">
        <v>90924</v>
      </c>
    </row>
    <row r="544" spans="1:15" x14ac:dyDescent="0.2">
      <c r="A544">
        <v>55</v>
      </c>
      <c r="B544" t="str">
        <f>VLOOKUP(Table1[[#This Row],[CountyID]],[1]!Table1[#All],2,FALSE)</f>
        <v>Olmsted</v>
      </c>
      <c r="C544">
        <f>VLOOKUP(Table1[[#This Row],[CountyID]],[1]!Table1[#All],3,FALSE)</f>
        <v>110</v>
      </c>
      <c r="D544">
        <v>110</v>
      </c>
      <c r="E544">
        <f>Table1[[#This Row],[Number of Counties]]-Table1[[#This Row],[Number of precincts Reporting]]</f>
        <v>0</v>
      </c>
      <c r="F544" t="s">
        <v>0</v>
      </c>
      <c r="G544" t="s">
        <v>1</v>
      </c>
      <c r="H544">
        <v>101</v>
      </c>
      <c r="I544">
        <v>301</v>
      </c>
      <c r="J544" t="s">
        <v>6</v>
      </c>
      <c r="K544" t="s">
        <v>7</v>
      </c>
      <c r="L544">
        <v>110</v>
      </c>
      <c r="M544">
        <v>494</v>
      </c>
      <c r="N544">
        <v>0.54</v>
      </c>
      <c r="O544">
        <v>90924</v>
      </c>
    </row>
    <row r="545" spans="1:15" x14ac:dyDescent="0.2">
      <c r="A545">
        <v>55</v>
      </c>
      <c r="B545" t="str">
        <f>VLOOKUP(Table1[[#This Row],[CountyID]],[1]!Table1[#All],2,FALSE)</f>
        <v>Olmsted</v>
      </c>
      <c r="C545">
        <f>VLOOKUP(Table1[[#This Row],[CountyID]],[1]!Table1[#All],3,FALSE)</f>
        <v>110</v>
      </c>
      <c r="D545">
        <v>110</v>
      </c>
      <c r="E545">
        <f>Table1[[#This Row],[Number of Counties]]-Table1[[#This Row],[Number of precincts Reporting]]</f>
        <v>0</v>
      </c>
      <c r="F545" t="s">
        <v>0</v>
      </c>
      <c r="G545" t="s">
        <v>1</v>
      </c>
      <c r="H545">
        <v>101</v>
      </c>
      <c r="I545">
        <v>401</v>
      </c>
      <c r="J545" t="s">
        <v>8</v>
      </c>
      <c r="K545" t="s">
        <v>9</v>
      </c>
      <c r="L545">
        <v>110</v>
      </c>
      <c r="M545">
        <v>700</v>
      </c>
      <c r="N545">
        <v>0.77</v>
      </c>
      <c r="O545">
        <v>90924</v>
      </c>
    </row>
    <row r="546" spans="1:15" x14ac:dyDescent="0.2">
      <c r="A546">
        <v>55</v>
      </c>
      <c r="B546" t="str">
        <f>VLOOKUP(Table1[[#This Row],[CountyID]],[1]!Table1[#All],2,FALSE)</f>
        <v>Olmsted</v>
      </c>
      <c r="C546">
        <f>VLOOKUP(Table1[[#This Row],[CountyID]],[1]!Table1[#All],3,FALSE)</f>
        <v>110</v>
      </c>
      <c r="D546">
        <v>110</v>
      </c>
      <c r="E546">
        <f>Table1[[#This Row],[Number of Counties]]-Table1[[#This Row],[Number of precincts Reporting]]</f>
        <v>0</v>
      </c>
      <c r="F546" t="s">
        <v>0</v>
      </c>
      <c r="G546" t="s">
        <v>1</v>
      </c>
      <c r="H546">
        <v>101</v>
      </c>
      <c r="I546">
        <v>501</v>
      </c>
      <c r="J546" t="s">
        <v>10</v>
      </c>
      <c r="K546" t="s">
        <v>11</v>
      </c>
      <c r="L546">
        <v>110</v>
      </c>
      <c r="M546">
        <v>521</v>
      </c>
      <c r="N546">
        <v>0.56999999999999995</v>
      </c>
      <c r="O546">
        <v>90924</v>
      </c>
    </row>
    <row r="547" spans="1:15" x14ac:dyDescent="0.2">
      <c r="A547">
        <v>55</v>
      </c>
      <c r="B547" t="str">
        <f>VLOOKUP(Table1[[#This Row],[CountyID]],[1]!Table1[#All],2,FALSE)</f>
        <v>Olmsted</v>
      </c>
      <c r="C547">
        <f>VLOOKUP(Table1[[#This Row],[CountyID]],[1]!Table1[#All],3,FALSE)</f>
        <v>110</v>
      </c>
      <c r="D547">
        <v>110</v>
      </c>
      <c r="E547">
        <f>Table1[[#This Row],[Number of Counties]]-Table1[[#This Row],[Number of precincts Reporting]]</f>
        <v>0</v>
      </c>
      <c r="F547" t="s">
        <v>0</v>
      </c>
      <c r="G547" t="s">
        <v>1</v>
      </c>
      <c r="H547">
        <v>101</v>
      </c>
      <c r="I547">
        <v>601</v>
      </c>
      <c r="J547" t="s">
        <v>12</v>
      </c>
      <c r="K547" t="s">
        <v>13</v>
      </c>
      <c r="L547">
        <v>110</v>
      </c>
      <c r="M547">
        <v>57</v>
      </c>
      <c r="N547">
        <v>0.06</v>
      </c>
      <c r="O547">
        <v>90924</v>
      </c>
    </row>
    <row r="548" spans="1:15" x14ac:dyDescent="0.2">
      <c r="A548">
        <v>55</v>
      </c>
      <c r="B548" t="str">
        <f>VLOOKUP(Table1[[#This Row],[CountyID]],[1]!Table1[#All],2,FALSE)</f>
        <v>Olmsted</v>
      </c>
      <c r="C548">
        <f>VLOOKUP(Table1[[#This Row],[CountyID]],[1]!Table1[#All],3,FALSE)</f>
        <v>110</v>
      </c>
      <c r="D548">
        <v>110</v>
      </c>
      <c r="E548">
        <f>Table1[[#This Row],[Number of Counties]]-Table1[[#This Row],[Number of precincts Reporting]]</f>
        <v>0</v>
      </c>
      <c r="F548" t="s">
        <v>0</v>
      </c>
      <c r="G548" t="s">
        <v>1</v>
      </c>
      <c r="H548">
        <v>101</v>
      </c>
      <c r="I548">
        <v>701</v>
      </c>
      <c r="J548" t="s">
        <v>14</v>
      </c>
      <c r="K548" t="s">
        <v>15</v>
      </c>
      <c r="L548">
        <v>110</v>
      </c>
      <c r="M548">
        <v>13</v>
      </c>
      <c r="N548">
        <v>0.01</v>
      </c>
      <c r="O548">
        <v>90924</v>
      </c>
    </row>
    <row r="549" spans="1:15" x14ac:dyDescent="0.2">
      <c r="A549">
        <v>55</v>
      </c>
      <c r="B549" t="str">
        <f>VLOOKUP(Table1[[#This Row],[CountyID]],[1]!Table1[#All],2,FALSE)</f>
        <v>Olmsted</v>
      </c>
      <c r="C549">
        <f>VLOOKUP(Table1[[#This Row],[CountyID]],[1]!Table1[#All],3,FALSE)</f>
        <v>110</v>
      </c>
      <c r="D549">
        <v>110</v>
      </c>
      <c r="E549">
        <f>Table1[[#This Row],[Number of Counties]]-Table1[[#This Row],[Number of precincts Reporting]]</f>
        <v>0</v>
      </c>
      <c r="F549" t="s">
        <v>0</v>
      </c>
      <c r="G549" t="s">
        <v>1</v>
      </c>
      <c r="H549">
        <v>101</v>
      </c>
      <c r="I549">
        <v>801</v>
      </c>
      <c r="J549" t="s">
        <v>16</v>
      </c>
      <c r="K549" t="s">
        <v>17</v>
      </c>
      <c r="L549">
        <v>110</v>
      </c>
      <c r="M549">
        <v>90</v>
      </c>
      <c r="N549">
        <v>0.1</v>
      </c>
      <c r="O549">
        <v>90924</v>
      </c>
    </row>
    <row r="550" spans="1:15" x14ac:dyDescent="0.2">
      <c r="A550">
        <v>55</v>
      </c>
      <c r="B550" t="str">
        <f>VLOOKUP(Table1[[#This Row],[CountyID]],[1]!Table1[#All],2,FALSE)</f>
        <v>Olmsted</v>
      </c>
      <c r="C550">
        <f>VLOOKUP(Table1[[#This Row],[CountyID]],[1]!Table1[#All],3,FALSE)</f>
        <v>110</v>
      </c>
      <c r="D550">
        <v>110</v>
      </c>
      <c r="E550">
        <f>Table1[[#This Row],[Number of Counties]]-Table1[[#This Row],[Number of precincts Reporting]]</f>
        <v>0</v>
      </c>
      <c r="F550" t="s">
        <v>0</v>
      </c>
      <c r="G550" t="s">
        <v>1</v>
      </c>
      <c r="H550">
        <v>101</v>
      </c>
      <c r="I550">
        <v>901</v>
      </c>
      <c r="J550" t="s">
        <v>18</v>
      </c>
      <c r="K550" t="s">
        <v>19</v>
      </c>
      <c r="L550">
        <v>110</v>
      </c>
      <c r="M550">
        <v>61</v>
      </c>
      <c r="N550">
        <v>7.0000000000000007E-2</v>
      </c>
      <c r="O550">
        <v>90924</v>
      </c>
    </row>
    <row r="551" spans="1:15" x14ac:dyDescent="0.2">
      <c r="A551">
        <v>55</v>
      </c>
      <c r="B551" t="str">
        <f>VLOOKUP(Table1[[#This Row],[CountyID]],[1]!Table1[#All],2,FALSE)</f>
        <v>Olmsted</v>
      </c>
      <c r="C551">
        <f>VLOOKUP(Table1[[#This Row],[CountyID]],[1]!Table1[#All],3,FALSE)</f>
        <v>110</v>
      </c>
      <c r="D551">
        <v>110</v>
      </c>
      <c r="E551">
        <f>Table1[[#This Row],[Number of Counties]]-Table1[[#This Row],[Number of precincts Reporting]]</f>
        <v>0</v>
      </c>
      <c r="F551" t="s">
        <v>0</v>
      </c>
      <c r="G551" t="s">
        <v>1</v>
      </c>
      <c r="H551">
        <v>101</v>
      </c>
      <c r="I551">
        <v>9901</v>
      </c>
      <c r="J551" t="s">
        <v>20</v>
      </c>
      <c r="K551" t="s">
        <v>21</v>
      </c>
      <c r="L551">
        <v>110</v>
      </c>
      <c r="M551">
        <v>400</v>
      </c>
      <c r="N551">
        <v>0.44</v>
      </c>
      <c r="O551">
        <v>90924</v>
      </c>
    </row>
    <row r="552" spans="1:15" x14ac:dyDescent="0.2">
      <c r="A552">
        <v>56</v>
      </c>
      <c r="B552" t="str">
        <f>VLOOKUP(Table1[[#This Row],[CountyID]],[1]!Table1[#All],2,FALSE)</f>
        <v>Otter Tail</v>
      </c>
      <c r="C552">
        <f>VLOOKUP(Table1[[#This Row],[CountyID]],[1]!Table1[#All],3,FALSE)</f>
        <v>91</v>
      </c>
      <c r="D552">
        <v>91</v>
      </c>
      <c r="E552">
        <f>Table1[[#This Row],[Number of Counties]]-Table1[[#This Row],[Number of precincts Reporting]]</f>
        <v>0</v>
      </c>
      <c r="F552" t="s">
        <v>0</v>
      </c>
      <c r="G552" t="s">
        <v>1</v>
      </c>
      <c r="H552">
        <v>101</v>
      </c>
      <c r="I552">
        <v>101</v>
      </c>
      <c r="J552" t="s">
        <v>2</v>
      </c>
      <c r="K552" t="s">
        <v>3</v>
      </c>
      <c r="L552">
        <v>91</v>
      </c>
      <c r="M552">
        <v>24276</v>
      </c>
      <c r="N552">
        <v>66.08</v>
      </c>
      <c r="O552">
        <v>36736</v>
      </c>
    </row>
    <row r="553" spans="1:15" x14ac:dyDescent="0.2">
      <c r="A553">
        <v>56</v>
      </c>
      <c r="B553" t="str">
        <f>VLOOKUP(Table1[[#This Row],[CountyID]],[1]!Table1[#All],2,FALSE)</f>
        <v>Otter Tail</v>
      </c>
      <c r="C553">
        <f>VLOOKUP(Table1[[#This Row],[CountyID]],[1]!Table1[#All],3,FALSE)</f>
        <v>91</v>
      </c>
      <c r="D553">
        <v>91</v>
      </c>
      <c r="E553">
        <f>Table1[[#This Row],[Number of Counties]]-Table1[[#This Row],[Number of precincts Reporting]]</f>
        <v>0</v>
      </c>
      <c r="F553" t="s">
        <v>0</v>
      </c>
      <c r="G553" t="s">
        <v>1</v>
      </c>
      <c r="H553">
        <v>101</v>
      </c>
      <c r="I553">
        <v>201</v>
      </c>
      <c r="J553" t="s">
        <v>4</v>
      </c>
      <c r="K553" t="s">
        <v>5</v>
      </c>
      <c r="L553">
        <v>91</v>
      </c>
      <c r="M553">
        <v>11752</v>
      </c>
      <c r="N553">
        <v>31.99</v>
      </c>
      <c r="O553">
        <v>36736</v>
      </c>
    </row>
    <row r="554" spans="1:15" x14ac:dyDescent="0.2">
      <c r="A554">
        <v>56</v>
      </c>
      <c r="B554" t="str">
        <f>VLOOKUP(Table1[[#This Row],[CountyID]],[1]!Table1[#All],2,FALSE)</f>
        <v>Otter Tail</v>
      </c>
      <c r="C554">
        <f>VLOOKUP(Table1[[#This Row],[CountyID]],[1]!Table1[#All],3,FALSE)</f>
        <v>91</v>
      </c>
      <c r="D554">
        <v>91</v>
      </c>
      <c r="E554">
        <f>Table1[[#This Row],[Number of Counties]]-Table1[[#This Row],[Number of precincts Reporting]]</f>
        <v>0</v>
      </c>
      <c r="F554" t="s">
        <v>0</v>
      </c>
      <c r="G554" t="s">
        <v>1</v>
      </c>
      <c r="H554">
        <v>101</v>
      </c>
      <c r="I554">
        <v>301</v>
      </c>
      <c r="J554" t="s">
        <v>6</v>
      </c>
      <c r="K554" t="s">
        <v>7</v>
      </c>
      <c r="L554">
        <v>91</v>
      </c>
      <c r="M554">
        <v>146</v>
      </c>
      <c r="N554">
        <v>0.4</v>
      </c>
      <c r="O554">
        <v>36736</v>
      </c>
    </row>
    <row r="555" spans="1:15" x14ac:dyDescent="0.2">
      <c r="A555">
        <v>56</v>
      </c>
      <c r="B555" t="str">
        <f>VLOOKUP(Table1[[#This Row],[CountyID]],[1]!Table1[#All],2,FALSE)</f>
        <v>Otter Tail</v>
      </c>
      <c r="C555">
        <f>VLOOKUP(Table1[[#This Row],[CountyID]],[1]!Table1[#All],3,FALSE)</f>
        <v>91</v>
      </c>
      <c r="D555">
        <v>91</v>
      </c>
      <c r="E555">
        <f>Table1[[#This Row],[Number of Counties]]-Table1[[#This Row],[Number of precincts Reporting]]</f>
        <v>0</v>
      </c>
      <c r="F555" t="s">
        <v>0</v>
      </c>
      <c r="G555" t="s">
        <v>1</v>
      </c>
      <c r="H555">
        <v>101</v>
      </c>
      <c r="I555">
        <v>401</v>
      </c>
      <c r="J555" t="s">
        <v>8</v>
      </c>
      <c r="K555" t="s">
        <v>9</v>
      </c>
      <c r="L555">
        <v>91</v>
      </c>
      <c r="M555">
        <v>307</v>
      </c>
      <c r="N555">
        <v>0.84</v>
      </c>
      <c r="O555">
        <v>36736</v>
      </c>
    </row>
    <row r="556" spans="1:15" x14ac:dyDescent="0.2">
      <c r="A556">
        <v>56</v>
      </c>
      <c r="B556" t="str">
        <f>VLOOKUP(Table1[[#This Row],[CountyID]],[1]!Table1[#All],2,FALSE)</f>
        <v>Otter Tail</v>
      </c>
      <c r="C556">
        <f>VLOOKUP(Table1[[#This Row],[CountyID]],[1]!Table1[#All],3,FALSE)</f>
        <v>91</v>
      </c>
      <c r="D556">
        <v>91</v>
      </c>
      <c r="E556">
        <f>Table1[[#This Row],[Number of Counties]]-Table1[[#This Row],[Number of precincts Reporting]]</f>
        <v>0</v>
      </c>
      <c r="F556" t="s">
        <v>0</v>
      </c>
      <c r="G556" t="s">
        <v>1</v>
      </c>
      <c r="H556">
        <v>101</v>
      </c>
      <c r="I556">
        <v>501</v>
      </c>
      <c r="J556" t="s">
        <v>10</v>
      </c>
      <c r="K556" t="s">
        <v>11</v>
      </c>
      <c r="L556">
        <v>91</v>
      </c>
      <c r="M556">
        <v>71</v>
      </c>
      <c r="N556">
        <v>0.19</v>
      </c>
      <c r="O556">
        <v>36736</v>
      </c>
    </row>
    <row r="557" spans="1:15" x14ac:dyDescent="0.2">
      <c r="A557">
        <v>56</v>
      </c>
      <c r="B557" t="str">
        <f>VLOOKUP(Table1[[#This Row],[CountyID]],[1]!Table1[#All],2,FALSE)</f>
        <v>Otter Tail</v>
      </c>
      <c r="C557">
        <f>VLOOKUP(Table1[[#This Row],[CountyID]],[1]!Table1[#All],3,FALSE)</f>
        <v>91</v>
      </c>
      <c r="D557">
        <v>91</v>
      </c>
      <c r="E557">
        <f>Table1[[#This Row],[Number of Counties]]-Table1[[#This Row],[Number of precincts Reporting]]</f>
        <v>0</v>
      </c>
      <c r="F557" t="s">
        <v>0</v>
      </c>
      <c r="G557" t="s">
        <v>1</v>
      </c>
      <c r="H557">
        <v>101</v>
      </c>
      <c r="I557">
        <v>601</v>
      </c>
      <c r="J557" t="s">
        <v>12</v>
      </c>
      <c r="K557" t="s">
        <v>13</v>
      </c>
      <c r="L557">
        <v>91</v>
      </c>
      <c r="M557">
        <v>10</v>
      </c>
      <c r="N557">
        <v>0.03</v>
      </c>
      <c r="O557">
        <v>36736</v>
      </c>
    </row>
    <row r="558" spans="1:15" x14ac:dyDescent="0.2">
      <c r="A558">
        <v>56</v>
      </c>
      <c r="B558" t="str">
        <f>VLOOKUP(Table1[[#This Row],[CountyID]],[1]!Table1[#All],2,FALSE)</f>
        <v>Otter Tail</v>
      </c>
      <c r="C558">
        <f>VLOOKUP(Table1[[#This Row],[CountyID]],[1]!Table1[#All],3,FALSE)</f>
        <v>91</v>
      </c>
      <c r="D558">
        <v>91</v>
      </c>
      <c r="E558">
        <f>Table1[[#This Row],[Number of Counties]]-Table1[[#This Row],[Number of precincts Reporting]]</f>
        <v>0</v>
      </c>
      <c r="F558" t="s">
        <v>0</v>
      </c>
      <c r="G558" t="s">
        <v>1</v>
      </c>
      <c r="H558">
        <v>101</v>
      </c>
      <c r="I558">
        <v>701</v>
      </c>
      <c r="J558" t="s">
        <v>14</v>
      </c>
      <c r="K558" t="s">
        <v>15</v>
      </c>
      <c r="L558">
        <v>91</v>
      </c>
      <c r="M558">
        <v>6</v>
      </c>
      <c r="N558">
        <v>0.02</v>
      </c>
      <c r="O558">
        <v>36736</v>
      </c>
    </row>
    <row r="559" spans="1:15" x14ac:dyDescent="0.2">
      <c r="A559">
        <v>56</v>
      </c>
      <c r="B559" t="str">
        <f>VLOOKUP(Table1[[#This Row],[CountyID]],[1]!Table1[#All],2,FALSE)</f>
        <v>Otter Tail</v>
      </c>
      <c r="C559">
        <f>VLOOKUP(Table1[[#This Row],[CountyID]],[1]!Table1[#All],3,FALSE)</f>
        <v>91</v>
      </c>
      <c r="D559">
        <v>91</v>
      </c>
      <c r="E559">
        <f>Table1[[#This Row],[Number of Counties]]-Table1[[#This Row],[Number of precincts Reporting]]</f>
        <v>0</v>
      </c>
      <c r="F559" t="s">
        <v>0</v>
      </c>
      <c r="G559" t="s">
        <v>1</v>
      </c>
      <c r="H559">
        <v>101</v>
      </c>
      <c r="I559">
        <v>801</v>
      </c>
      <c r="J559" t="s">
        <v>16</v>
      </c>
      <c r="K559" t="s">
        <v>17</v>
      </c>
      <c r="L559">
        <v>91</v>
      </c>
      <c r="M559">
        <v>13</v>
      </c>
      <c r="N559">
        <v>0.04</v>
      </c>
      <c r="O559">
        <v>36736</v>
      </c>
    </row>
    <row r="560" spans="1:15" x14ac:dyDescent="0.2">
      <c r="A560">
        <v>56</v>
      </c>
      <c r="B560" t="str">
        <f>VLOOKUP(Table1[[#This Row],[CountyID]],[1]!Table1[#All],2,FALSE)</f>
        <v>Otter Tail</v>
      </c>
      <c r="C560">
        <f>VLOOKUP(Table1[[#This Row],[CountyID]],[1]!Table1[#All],3,FALSE)</f>
        <v>91</v>
      </c>
      <c r="D560">
        <v>91</v>
      </c>
      <c r="E560">
        <f>Table1[[#This Row],[Number of Counties]]-Table1[[#This Row],[Number of precincts Reporting]]</f>
        <v>0</v>
      </c>
      <c r="F560" t="s">
        <v>0</v>
      </c>
      <c r="G560" t="s">
        <v>1</v>
      </c>
      <c r="H560">
        <v>101</v>
      </c>
      <c r="I560">
        <v>901</v>
      </c>
      <c r="J560" t="s">
        <v>18</v>
      </c>
      <c r="K560" t="s">
        <v>19</v>
      </c>
      <c r="L560">
        <v>91</v>
      </c>
      <c r="M560">
        <v>27</v>
      </c>
      <c r="N560">
        <v>7.0000000000000007E-2</v>
      </c>
      <c r="O560">
        <v>36736</v>
      </c>
    </row>
    <row r="561" spans="1:15" x14ac:dyDescent="0.2">
      <c r="A561">
        <v>56</v>
      </c>
      <c r="B561" t="str">
        <f>VLOOKUP(Table1[[#This Row],[CountyID]],[1]!Table1[#All],2,FALSE)</f>
        <v>Otter Tail</v>
      </c>
      <c r="C561">
        <f>VLOOKUP(Table1[[#This Row],[CountyID]],[1]!Table1[#All],3,FALSE)</f>
        <v>91</v>
      </c>
      <c r="D561">
        <v>91</v>
      </c>
      <c r="E561">
        <f>Table1[[#This Row],[Number of Counties]]-Table1[[#This Row],[Number of precincts Reporting]]</f>
        <v>0</v>
      </c>
      <c r="F561" t="s">
        <v>0</v>
      </c>
      <c r="G561" t="s">
        <v>1</v>
      </c>
      <c r="H561">
        <v>101</v>
      </c>
      <c r="I561">
        <v>9901</v>
      </c>
      <c r="J561" t="s">
        <v>20</v>
      </c>
      <c r="K561" t="s">
        <v>21</v>
      </c>
      <c r="L561">
        <v>91</v>
      </c>
      <c r="M561">
        <v>128</v>
      </c>
      <c r="N561">
        <v>0.35</v>
      </c>
      <c r="O561">
        <v>36736</v>
      </c>
    </row>
    <row r="562" spans="1:15" x14ac:dyDescent="0.2">
      <c r="A562">
        <v>57</v>
      </c>
      <c r="B562" t="str">
        <f>VLOOKUP(Table1[[#This Row],[CountyID]],[1]!Table1[#All],2,FALSE)</f>
        <v>Pennington</v>
      </c>
      <c r="C562">
        <f>VLOOKUP(Table1[[#This Row],[CountyID]],[1]!Table1[#All],3,FALSE)</f>
        <v>31</v>
      </c>
      <c r="D562">
        <v>31</v>
      </c>
      <c r="E562">
        <f>Table1[[#This Row],[Number of Counties]]-Table1[[#This Row],[Number of precincts Reporting]]</f>
        <v>0</v>
      </c>
      <c r="F562" t="s">
        <v>0</v>
      </c>
      <c r="G562" t="s">
        <v>1</v>
      </c>
      <c r="H562">
        <v>101</v>
      </c>
      <c r="I562">
        <v>101</v>
      </c>
      <c r="J562" t="s">
        <v>2</v>
      </c>
      <c r="K562" t="s">
        <v>3</v>
      </c>
      <c r="L562">
        <v>31</v>
      </c>
      <c r="M562">
        <v>4756</v>
      </c>
      <c r="N562">
        <v>64.44</v>
      </c>
      <c r="O562">
        <v>7381</v>
      </c>
    </row>
    <row r="563" spans="1:15" x14ac:dyDescent="0.2">
      <c r="A563">
        <v>57</v>
      </c>
      <c r="B563" t="str">
        <f>VLOOKUP(Table1[[#This Row],[CountyID]],[1]!Table1[#All],2,FALSE)</f>
        <v>Pennington</v>
      </c>
      <c r="C563">
        <f>VLOOKUP(Table1[[#This Row],[CountyID]],[1]!Table1[#All],3,FALSE)</f>
        <v>31</v>
      </c>
      <c r="D563">
        <v>31</v>
      </c>
      <c r="E563">
        <f>Table1[[#This Row],[Number of Counties]]-Table1[[#This Row],[Number of precincts Reporting]]</f>
        <v>0</v>
      </c>
      <c r="F563" t="s">
        <v>0</v>
      </c>
      <c r="G563" t="s">
        <v>1</v>
      </c>
      <c r="H563">
        <v>101</v>
      </c>
      <c r="I563">
        <v>201</v>
      </c>
      <c r="J563" t="s">
        <v>4</v>
      </c>
      <c r="K563" t="s">
        <v>5</v>
      </c>
      <c r="L563">
        <v>31</v>
      </c>
      <c r="M563">
        <v>2439</v>
      </c>
      <c r="N563">
        <v>33.04</v>
      </c>
      <c r="O563">
        <v>7381</v>
      </c>
    </row>
    <row r="564" spans="1:15" x14ac:dyDescent="0.2">
      <c r="A564">
        <v>57</v>
      </c>
      <c r="B564" t="str">
        <f>VLOOKUP(Table1[[#This Row],[CountyID]],[1]!Table1[#All],2,FALSE)</f>
        <v>Pennington</v>
      </c>
      <c r="C564">
        <f>VLOOKUP(Table1[[#This Row],[CountyID]],[1]!Table1[#All],3,FALSE)</f>
        <v>31</v>
      </c>
      <c r="D564">
        <v>31</v>
      </c>
      <c r="E564">
        <f>Table1[[#This Row],[Number of Counties]]-Table1[[#This Row],[Number of precincts Reporting]]</f>
        <v>0</v>
      </c>
      <c r="F564" t="s">
        <v>0</v>
      </c>
      <c r="G564" t="s">
        <v>1</v>
      </c>
      <c r="H564">
        <v>101</v>
      </c>
      <c r="I564">
        <v>301</v>
      </c>
      <c r="J564" t="s">
        <v>6</v>
      </c>
      <c r="K564" t="s">
        <v>7</v>
      </c>
      <c r="L564">
        <v>31</v>
      </c>
      <c r="M564">
        <v>39</v>
      </c>
      <c r="N564">
        <v>0.53</v>
      </c>
      <c r="O564">
        <v>7381</v>
      </c>
    </row>
    <row r="565" spans="1:15" x14ac:dyDescent="0.2">
      <c r="A565">
        <v>57</v>
      </c>
      <c r="B565" t="str">
        <f>VLOOKUP(Table1[[#This Row],[CountyID]],[1]!Table1[#All],2,FALSE)</f>
        <v>Pennington</v>
      </c>
      <c r="C565">
        <f>VLOOKUP(Table1[[#This Row],[CountyID]],[1]!Table1[#All],3,FALSE)</f>
        <v>31</v>
      </c>
      <c r="D565">
        <v>31</v>
      </c>
      <c r="E565">
        <f>Table1[[#This Row],[Number of Counties]]-Table1[[#This Row],[Number of precincts Reporting]]</f>
        <v>0</v>
      </c>
      <c r="F565" t="s">
        <v>0</v>
      </c>
      <c r="G565" t="s">
        <v>1</v>
      </c>
      <c r="H565">
        <v>101</v>
      </c>
      <c r="I565">
        <v>401</v>
      </c>
      <c r="J565" t="s">
        <v>8</v>
      </c>
      <c r="K565" t="s">
        <v>9</v>
      </c>
      <c r="L565">
        <v>31</v>
      </c>
      <c r="M565">
        <v>92</v>
      </c>
      <c r="N565">
        <v>1.25</v>
      </c>
      <c r="O565">
        <v>7381</v>
      </c>
    </row>
    <row r="566" spans="1:15" x14ac:dyDescent="0.2">
      <c r="A566">
        <v>57</v>
      </c>
      <c r="B566" t="str">
        <f>VLOOKUP(Table1[[#This Row],[CountyID]],[1]!Table1[#All],2,FALSE)</f>
        <v>Pennington</v>
      </c>
      <c r="C566">
        <f>VLOOKUP(Table1[[#This Row],[CountyID]],[1]!Table1[#All],3,FALSE)</f>
        <v>31</v>
      </c>
      <c r="D566">
        <v>31</v>
      </c>
      <c r="E566">
        <f>Table1[[#This Row],[Number of Counties]]-Table1[[#This Row],[Number of precincts Reporting]]</f>
        <v>0</v>
      </c>
      <c r="F566" t="s">
        <v>0</v>
      </c>
      <c r="G566" t="s">
        <v>1</v>
      </c>
      <c r="H566">
        <v>101</v>
      </c>
      <c r="I566">
        <v>501</v>
      </c>
      <c r="J566" t="s">
        <v>10</v>
      </c>
      <c r="K566" t="s">
        <v>11</v>
      </c>
      <c r="L566">
        <v>31</v>
      </c>
      <c r="M566">
        <v>9</v>
      </c>
      <c r="N566">
        <v>0.12</v>
      </c>
      <c r="O566">
        <v>7381</v>
      </c>
    </row>
    <row r="567" spans="1:15" x14ac:dyDescent="0.2">
      <c r="A567">
        <v>57</v>
      </c>
      <c r="B567" t="str">
        <f>VLOOKUP(Table1[[#This Row],[CountyID]],[1]!Table1[#All],2,FALSE)</f>
        <v>Pennington</v>
      </c>
      <c r="C567">
        <f>VLOOKUP(Table1[[#This Row],[CountyID]],[1]!Table1[#All],3,FALSE)</f>
        <v>31</v>
      </c>
      <c r="D567">
        <v>31</v>
      </c>
      <c r="E567">
        <f>Table1[[#This Row],[Number of Counties]]-Table1[[#This Row],[Number of precincts Reporting]]</f>
        <v>0</v>
      </c>
      <c r="F567" t="s">
        <v>0</v>
      </c>
      <c r="G567" t="s">
        <v>1</v>
      </c>
      <c r="H567">
        <v>101</v>
      </c>
      <c r="I567">
        <v>601</v>
      </c>
      <c r="J567" t="s">
        <v>12</v>
      </c>
      <c r="K567" t="s">
        <v>13</v>
      </c>
      <c r="L567">
        <v>31</v>
      </c>
      <c r="M567">
        <v>5</v>
      </c>
      <c r="N567">
        <v>7.0000000000000007E-2</v>
      </c>
      <c r="O567">
        <v>7381</v>
      </c>
    </row>
    <row r="568" spans="1:15" x14ac:dyDescent="0.2">
      <c r="A568">
        <v>57</v>
      </c>
      <c r="B568" t="str">
        <f>VLOOKUP(Table1[[#This Row],[CountyID]],[1]!Table1[#All],2,FALSE)</f>
        <v>Pennington</v>
      </c>
      <c r="C568">
        <f>VLOOKUP(Table1[[#This Row],[CountyID]],[1]!Table1[#All],3,FALSE)</f>
        <v>31</v>
      </c>
      <c r="D568">
        <v>31</v>
      </c>
      <c r="E568">
        <f>Table1[[#This Row],[Number of Counties]]-Table1[[#This Row],[Number of precincts Reporting]]</f>
        <v>0</v>
      </c>
      <c r="F568" t="s">
        <v>0</v>
      </c>
      <c r="G568" t="s">
        <v>1</v>
      </c>
      <c r="H568">
        <v>101</v>
      </c>
      <c r="I568">
        <v>701</v>
      </c>
      <c r="J568" t="s">
        <v>14</v>
      </c>
      <c r="K568" t="s">
        <v>15</v>
      </c>
      <c r="L568">
        <v>31</v>
      </c>
      <c r="M568">
        <v>1</v>
      </c>
      <c r="N568">
        <v>0.01</v>
      </c>
      <c r="O568">
        <v>7381</v>
      </c>
    </row>
    <row r="569" spans="1:15" x14ac:dyDescent="0.2">
      <c r="A569">
        <v>57</v>
      </c>
      <c r="B569" t="str">
        <f>VLOOKUP(Table1[[#This Row],[CountyID]],[1]!Table1[#All],2,FALSE)</f>
        <v>Pennington</v>
      </c>
      <c r="C569">
        <f>VLOOKUP(Table1[[#This Row],[CountyID]],[1]!Table1[#All],3,FALSE)</f>
        <v>31</v>
      </c>
      <c r="D569">
        <v>31</v>
      </c>
      <c r="E569">
        <f>Table1[[#This Row],[Number of Counties]]-Table1[[#This Row],[Number of precincts Reporting]]</f>
        <v>0</v>
      </c>
      <c r="F569" t="s">
        <v>0</v>
      </c>
      <c r="G569" t="s">
        <v>1</v>
      </c>
      <c r="H569">
        <v>101</v>
      </c>
      <c r="I569">
        <v>801</v>
      </c>
      <c r="J569" t="s">
        <v>16</v>
      </c>
      <c r="K569" t="s">
        <v>17</v>
      </c>
      <c r="L569">
        <v>31</v>
      </c>
      <c r="M569">
        <v>6</v>
      </c>
      <c r="N569">
        <v>0.08</v>
      </c>
      <c r="O569">
        <v>7381</v>
      </c>
    </row>
    <row r="570" spans="1:15" x14ac:dyDescent="0.2">
      <c r="A570">
        <v>57</v>
      </c>
      <c r="B570" t="str">
        <f>VLOOKUP(Table1[[#This Row],[CountyID]],[1]!Table1[#All],2,FALSE)</f>
        <v>Pennington</v>
      </c>
      <c r="C570">
        <f>VLOOKUP(Table1[[#This Row],[CountyID]],[1]!Table1[#All],3,FALSE)</f>
        <v>31</v>
      </c>
      <c r="D570">
        <v>31</v>
      </c>
      <c r="E570">
        <f>Table1[[#This Row],[Number of Counties]]-Table1[[#This Row],[Number of precincts Reporting]]</f>
        <v>0</v>
      </c>
      <c r="F570" t="s">
        <v>0</v>
      </c>
      <c r="G570" t="s">
        <v>1</v>
      </c>
      <c r="H570">
        <v>101</v>
      </c>
      <c r="I570">
        <v>901</v>
      </c>
      <c r="J570" t="s">
        <v>18</v>
      </c>
      <c r="K570" t="s">
        <v>19</v>
      </c>
      <c r="L570">
        <v>31</v>
      </c>
      <c r="M570">
        <v>14</v>
      </c>
      <c r="N570">
        <v>0.19</v>
      </c>
      <c r="O570">
        <v>7381</v>
      </c>
    </row>
    <row r="571" spans="1:15" x14ac:dyDescent="0.2">
      <c r="A571">
        <v>57</v>
      </c>
      <c r="B571" t="str">
        <f>VLOOKUP(Table1[[#This Row],[CountyID]],[1]!Table1[#All],2,FALSE)</f>
        <v>Pennington</v>
      </c>
      <c r="C571">
        <f>VLOOKUP(Table1[[#This Row],[CountyID]],[1]!Table1[#All],3,FALSE)</f>
        <v>31</v>
      </c>
      <c r="D571">
        <v>31</v>
      </c>
      <c r="E571">
        <f>Table1[[#This Row],[Number of Counties]]-Table1[[#This Row],[Number of precincts Reporting]]</f>
        <v>0</v>
      </c>
      <c r="F571" t="s">
        <v>0</v>
      </c>
      <c r="G571" t="s">
        <v>1</v>
      </c>
      <c r="H571">
        <v>101</v>
      </c>
      <c r="I571">
        <v>9901</v>
      </c>
      <c r="J571" t="s">
        <v>20</v>
      </c>
      <c r="K571" t="s">
        <v>21</v>
      </c>
      <c r="L571">
        <v>31</v>
      </c>
      <c r="M571">
        <v>20</v>
      </c>
      <c r="N571">
        <v>0.27</v>
      </c>
      <c r="O571">
        <v>7381</v>
      </c>
    </row>
    <row r="572" spans="1:15" x14ac:dyDescent="0.2">
      <c r="A572">
        <v>58</v>
      </c>
      <c r="B572" t="str">
        <f>VLOOKUP(Table1[[#This Row],[CountyID]],[1]!Table1[#All],2,FALSE)</f>
        <v>Pine</v>
      </c>
      <c r="C572">
        <f>VLOOKUP(Table1[[#This Row],[CountyID]],[1]!Table1[#All],3,FALSE)</f>
        <v>47</v>
      </c>
      <c r="D572">
        <v>47</v>
      </c>
      <c r="E572">
        <f>Table1[[#This Row],[Number of Counties]]-Table1[[#This Row],[Number of precincts Reporting]]</f>
        <v>0</v>
      </c>
      <c r="F572" t="s">
        <v>0</v>
      </c>
      <c r="G572" t="s">
        <v>1</v>
      </c>
      <c r="H572">
        <v>101</v>
      </c>
      <c r="I572">
        <v>101</v>
      </c>
      <c r="J572" t="s">
        <v>2</v>
      </c>
      <c r="K572" t="s">
        <v>3</v>
      </c>
      <c r="L572">
        <v>47</v>
      </c>
      <c r="M572">
        <v>11274</v>
      </c>
      <c r="N572">
        <v>66.67</v>
      </c>
      <c r="O572">
        <v>16911</v>
      </c>
    </row>
    <row r="573" spans="1:15" x14ac:dyDescent="0.2">
      <c r="A573">
        <v>58</v>
      </c>
      <c r="B573" t="str">
        <f>VLOOKUP(Table1[[#This Row],[CountyID]],[1]!Table1[#All],2,FALSE)</f>
        <v>Pine</v>
      </c>
      <c r="C573">
        <f>VLOOKUP(Table1[[#This Row],[CountyID]],[1]!Table1[#All],3,FALSE)</f>
        <v>47</v>
      </c>
      <c r="D573">
        <v>47</v>
      </c>
      <c r="E573">
        <f>Table1[[#This Row],[Number of Counties]]-Table1[[#This Row],[Number of precincts Reporting]]</f>
        <v>0</v>
      </c>
      <c r="F573" t="s">
        <v>0</v>
      </c>
      <c r="G573" t="s">
        <v>1</v>
      </c>
      <c r="H573">
        <v>101</v>
      </c>
      <c r="I573">
        <v>201</v>
      </c>
      <c r="J573" t="s">
        <v>4</v>
      </c>
      <c r="K573" t="s">
        <v>5</v>
      </c>
      <c r="L573">
        <v>47</v>
      </c>
      <c r="M573">
        <v>5339</v>
      </c>
      <c r="N573">
        <v>31.57</v>
      </c>
      <c r="O573">
        <v>16911</v>
      </c>
    </row>
    <row r="574" spans="1:15" x14ac:dyDescent="0.2">
      <c r="A574">
        <v>58</v>
      </c>
      <c r="B574" t="str">
        <f>VLOOKUP(Table1[[#This Row],[CountyID]],[1]!Table1[#All],2,FALSE)</f>
        <v>Pine</v>
      </c>
      <c r="C574">
        <f>VLOOKUP(Table1[[#This Row],[CountyID]],[1]!Table1[#All],3,FALSE)</f>
        <v>47</v>
      </c>
      <c r="D574">
        <v>47</v>
      </c>
      <c r="E574">
        <f>Table1[[#This Row],[Number of Counties]]-Table1[[#This Row],[Number of precincts Reporting]]</f>
        <v>0</v>
      </c>
      <c r="F574" t="s">
        <v>0</v>
      </c>
      <c r="G574" t="s">
        <v>1</v>
      </c>
      <c r="H574">
        <v>101</v>
      </c>
      <c r="I574">
        <v>301</v>
      </c>
      <c r="J574" t="s">
        <v>6</v>
      </c>
      <c r="K574" t="s">
        <v>7</v>
      </c>
      <c r="L574">
        <v>47</v>
      </c>
      <c r="M574">
        <v>62</v>
      </c>
      <c r="N574">
        <v>0.37</v>
      </c>
      <c r="O574">
        <v>16911</v>
      </c>
    </row>
    <row r="575" spans="1:15" x14ac:dyDescent="0.2">
      <c r="A575">
        <v>58</v>
      </c>
      <c r="B575" t="str">
        <f>VLOOKUP(Table1[[#This Row],[CountyID]],[1]!Table1[#All],2,FALSE)</f>
        <v>Pine</v>
      </c>
      <c r="C575">
        <f>VLOOKUP(Table1[[#This Row],[CountyID]],[1]!Table1[#All],3,FALSE)</f>
        <v>47</v>
      </c>
      <c r="D575">
        <v>47</v>
      </c>
      <c r="E575">
        <f>Table1[[#This Row],[Number of Counties]]-Table1[[#This Row],[Number of precincts Reporting]]</f>
        <v>0</v>
      </c>
      <c r="F575" t="s">
        <v>0</v>
      </c>
      <c r="G575" t="s">
        <v>1</v>
      </c>
      <c r="H575">
        <v>101</v>
      </c>
      <c r="I575">
        <v>401</v>
      </c>
      <c r="J575" t="s">
        <v>8</v>
      </c>
      <c r="K575" t="s">
        <v>9</v>
      </c>
      <c r="L575">
        <v>47</v>
      </c>
      <c r="M575">
        <v>142</v>
      </c>
      <c r="N575">
        <v>0.84</v>
      </c>
      <c r="O575">
        <v>16911</v>
      </c>
    </row>
    <row r="576" spans="1:15" x14ac:dyDescent="0.2">
      <c r="A576">
        <v>58</v>
      </c>
      <c r="B576" t="str">
        <f>VLOOKUP(Table1[[#This Row],[CountyID]],[1]!Table1[#All],2,FALSE)</f>
        <v>Pine</v>
      </c>
      <c r="C576">
        <f>VLOOKUP(Table1[[#This Row],[CountyID]],[1]!Table1[#All],3,FALSE)</f>
        <v>47</v>
      </c>
      <c r="D576">
        <v>47</v>
      </c>
      <c r="E576">
        <f>Table1[[#This Row],[Number of Counties]]-Table1[[#This Row],[Number of precincts Reporting]]</f>
        <v>0</v>
      </c>
      <c r="F576" t="s">
        <v>0</v>
      </c>
      <c r="G576" t="s">
        <v>1</v>
      </c>
      <c r="H576">
        <v>101</v>
      </c>
      <c r="I576">
        <v>501</v>
      </c>
      <c r="J576" t="s">
        <v>10</v>
      </c>
      <c r="K576" t="s">
        <v>11</v>
      </c>
      <c r="L576">
        <v>47</v>
      </c>
      <c r="M576">
        <v>36</v>
      </c>
      <c r="N576">
        <v>0.21</v>
      </c>
      <c r="O576">
        <v>16911</v>
      </c>
    </row>
    <row r="577" spans="1:15" x14ac:dyDescent="0.2">
      <c r="A577">
        <v>58</v>
      </c>
      <c r="B577" t="str">
        <f>VLOOKUP(Table1[[#This Row],[CountyID]],[1]!Table1[#All],2,FALSE)</f>
        <v>Pine</v>
      </c>
      <c r="C577">
        <f>VLOOKUP(Table1[[#This Row],[CountyID]],[1]!Table1[#All],3,FALSE)</f>
        <v>47</v>
      </c>
      <c r="D577">
        <v>47</v>
      </c>
      <c r="E577">
        <f>Table1[[#This Row],[Number of Counties]]-Table1[[#This Row],[Number of precincts Reporting]]</f>
        <v>0</v>
      </c>
      <c r="F577" t="s">
        <v>0</v>
      </c>
      <c r="G577" t="s">
        <v>1</v>
      </c>
      <c r="H577">
        <v>101</v>
      </c>
      <c r="I577">
        <v>601</v>
      </c>
      <c r="J577" t="s">
        <v>12</v>
      </c>
      <c r="K577" t="s">
        <v>13</v>
      </c>
      <c r="L577">
        <v>47</v>
      </c>
      <c r="M577">
        <v>8</v>
      </c>
      <c r="N577">
        <v>0.05</v>
      </c>
      <c r="O577">
        <v>16911</v>
      </c>
    </row>
    <row r="578" spans="1:15" x14ac:dyDescent="0.2">
      <c r="A578">
        <v>58</v>
      </c>
      <c r="B578" t="str">
        <f>VLOOKUP(Table1[[#This Row],[CountyID]],[1]!Table1[#All],2,FALSE)</f>
        <v>Pine</v>
      </c>
      <c r="C578">
        <f>VLOOKUP(Table1[[#This Row],[CountyID]],[1]!Table1[#All],3,FALSE)</f>
        <v>47</v>
      </c>
      <c r="D578">
        <v>47</v>
      </c>
      <c r="E578">
        <f>Table1[[#This Row],[Number of Counties]]-Table1[[#This Row],[Number of precincts Reporting]]</f>
        <v>0</v>
      </c>
      <c r="F578" t="s">
        <v>0</v>
      </c>
      <c r="G578" t="s">
        <v>1</v>
      </c>
      <c r="H578">
        <v>101</v>
      </c>
      <c r="I578">
        <v>701</v>
      </c>
      <c r="J578" t="s">
        <v>14</v>
      </c>
      <c r="K578" t="s">
        <v>15</v>
      </c>
      <c r="L578">
        <v>47</v>
      </c>
      <c r="M578">
        <v>0</v>
      </c>
      <c r="N578">
        <v>0</v>
      </c>
      <c r="O578">
        <v>16911</v>
      </c>
    </row>
    <row r="579" spans="1:15" x14ac:dyDescent="0.2">
      <c r="A579">
        <v>58</v>
      </c>
      <c r="B579" t="str">
        <f>VLOOKUP(Table1[[#This Row],[CountyID]],[1]!Table1[#All],2,FALSE)</f>
        <v>Pine</v>
      </c>
      <c r="C579">
        <f>VLOOKUP(Table1[[#This Row],[CountyID]],[1]!Table1[#All],3,FALSE)</f>
        <v>47</v>
      </c>
      <c r="D579">
        <v>47</v>
      </c>
      <c r="E579">
        <f>Table1[[#This Row],[Number of Counties]]-Table1[[#This Row],[Number of precincts Reporting]]</f>
        <v>0</v>
      </c>
      <c r="F579" t="s">
        <v>0</v>
      </c>
      <c r="G579" t="s">
        <v>1</v>
      </c>
      <c r="H579">
        <v>101</v>
      </c>
      <c r="I579">
        <v>801</v>
      </c>
      <c r="J579" t="s">
        <v>16</v>
      </c>
      <c r="K579" t="s">
        <v>17</v>
      </c>
      <c r="L579">
        <v>47</v>
      </c>
      <c r="M579">
        <v>4</v>
      </c>
      <c r="N579">
        <v>0.02</v>
      </c>
      <c r="O579">
        <v>16911</v>
      </c>
    </row>
    <row r="580" spans="1:15" x14ac:dyDescent="0.2">
      <c r="A580">
        <v>58</v>
      </c>
      <c r="B580" t="str">
        <f>VLOOKUP(Table1[[#This Row],[CountyID]],[1]!Table1[#All],2,FALSE)</f>
        <v>Pine</v>
      </c>
      <c r="C580">
        <f>VLOOKUP(Table1[[#This Row],[CountyID]],[1]!Table1[#All],3,FALSE)</f>
        <v>47</v>
      </c>
      <c r="D580">
        <v>47</v>
      </c>
      <c r="E580">
        <f>Table1[[#This Row],[Number of Counties]]-Table1[[#This Row],[Number of precincts Reporting]]</f>
        <v>0</v>
      </c>
      <c r="F580" t="s">
        <v>0</v>
      </c>
      <c r="G580" t="s">
        <v>1</v>
      </c>
      <c r="H580">
        <v>101</v>
      </c>
      <c r="I580">
        <v>901</v>
      </c>
      <c r="J580" t="s">
        <v>18</v>
      </c>
      <c r="K580" t="s">
        <v>19</v>
      </c>
      <c r="L580">
        <v>47</v>
      </c>
      <c r="M580">
        <v>11</v>
      </c>
      <c r="N580">
        <v>7.0000000000000007E-2</v>
      </c>
      <c r="O580">
        <v>16911</v>
      </c>
    </row>
    <row r="581" spans="1:15" x14ac:dyDescent="0.2">
      <c r="A581">
        <v>58</v>
      </c>
      <c r="B581" t="str">
        <f>VLOOKUP(Table1[[#This Row],[CountyID]],[1]!Table1[#All],2,FALSE)</f>
        <v>Pine</v>
      </c>
      <c r="C581">
        <f>VLOOKUP(Table1[[#This Row],[CountyID]],[1]!Table1[#All],3,FALSE)</f>
        <v>47</v>
      </c>
      <c r="D581">
        <v>47</v>
      </c>
      <c r="E581">
        <f>Table1[[#This Row],[Number of Counties]]-Table1[[#This Row],[Number of precincts Reporting]]</f>
        <v>0</v>
      </c>
      <c r="F581" t="s">
        <v>0</v>
      </c>
      <c r="G581" t="s">
        <v>1</v>
      </c>
      <c r="H581">
        <v>101</v>
      </c>
      <c r="I581">
        <v>9901</v>
      </c>
      <c r="J581" t="s">
        <v>20</v>
      </c>
      <c r="K581" t="s">
        <v>21</v>
      </c>
      <c r="L581">
        <v>47</v>
      </c>
      <c r="M581">
        <v>35</v>
      </c>
      <c r="N581">
        <v>0.21</v>
      </c>
      <c r="O581">
        <v>16911</v>
      </c>
    </row>
    <row r="582" spans="1:15" x14ac:dyDescent="0.2">
      <c r="A582">
        <v>59</v>
      </c>
      <c r="B582" t="str">
        <f>VLOOKUP(Table1[[#This Row],[CountyID]],[1]!Table1[#All],2,FALSE)</f>
        <v>Pipestone</v>
      </c>
      <c r="C582">
        <f>VLOOKUP(Table1[[#This Row],[CountyID]],[1]!Table1[#All],3,FALSE)</f>
        <v>22</v>
      </c>
      <c r="D582">
        <v>22</v>
      </c>
      <c r="E582">
        <f>Table1[[#This Row],[Number of Counties]]-Table1[[#This Row],[Number of precincts Reporting]]</f>
        <v>0</v>
      </c>
      <c r="F582" t="s">
        <v>0</v>
      </c>
      <c r="G582" t="s">
        <v>1</v>
      </c>
      <c r="H582">
        <v>101</v>
      </c>
      <c r="I582">
        <v>101</v>
      </c>
      <c r="J582" t="s">
        <v>2</v>
      </c>
      <c r="K582" t="s">
        <v>3</v>
      </c>
      <c r="L582">
        <v>22</v>
      </c>
      <c r="M582">
        <v>3537</v>
      </c>
      <c r="N582">
        <v>73.12</v>
      </c>
      <c r="O582">
        <v>4837</v>
      </c>
    </row>
    <row r="583" spans="1:15" x14ac:dyDescent="0.2">
      <c r="A583">
        <v>59</v>
      </c>
      <c r="B583" t="str">
        <f>VLOOKUP(Table1[[#This Row],[CountyID]],[1]!Table1[#All],2,FALSE)</f>
        <v>Pipestone</v>
      </c>
      <c r="C583">
        <f>VLOOKUP(Table1[[#This Row],[CountyID]],[1]!Table1[#All],3,FALSE)</f>
        <v>22</v>
      </c>
      <c r="D583">
        <v>22</v>
      </c>
      <c r="E583">
        <f>Table1[[#This Row],[Number of Counties]]-Table1[[#This Row],[Number of precincts Reporting]]</f>
        <v>0</v>
      </c>
      <c r="F583" t="s">
        <v>0</v>
      </c>
      <c r="G583" t="s">
        <v>1</v>
      </c>
      <c r="H583">
        <v>101</v>
      </c>
      <c r="I583">
        <v>201</v>
      </c>
      <c r="J583" t="s">
        <v>4</v>
      </c>
      <c r="K583" t="s">
        <v>5</v>
      </c>
      <c r="L583">
        <v>22</v>
      </c>
      <c r="M583">
        <v>1215</v>
      </c>
      <c r="N583">
        <v>25.12</v>
      </c>
      <c r="O583">
        <v>4837</v>
      </c>
    </row>
    <row r="584" spans="1:15" x14ac:dyDescent="0.2">
      <c r="A584">
        <v>59</v>
      </c>
      <c r="B584" t="str">
        <f>VLOOKUP(Table1[[#This Row],[CountyID]],[1]!Table1[#All],2,FALSE)</f>
        <v>Pipestone</v>
      </c>
      <c r="C584">
        <f>VLOOKUP(Table1[[#This Row],[CountyID]],[1]!Table1[#All],3,FALSE)</f>
        <v>22</v>
      </c>
      <c r="D584">
        <v>22</v>
      </c>
      <c r="E584">
        <f>Table1[[#This Row],[Number of Counties]]-Table1[[#This Row],[Number of precincts Reporting]]</f>
        <v>0</v>
      </c>
      <c r="F584" t="s">
        <v>0</v>
      </c>
      <c r="G584" t="s">
        <v>1</v>
      </c>
      <c r="H584">
        <v>101</v>
      </c>
      <c r="I584">
        <v>301</v>
      </c>
      <c r="J584" t="s">
        <v>6</v>
      </c>
      <c r="K584" t="s">
        <v>7</v>
      </c>
      <c r="L584">
        <v>22</v>
      </c>
      <c r="M584">
        <v>13</v>
      </c>
      <c r="N584">
        <v>0.27</v>
      </c>
      <c r="O584">
        <v>4837</v>
      </c>
    </row>
    <row r="585" spans="1:15" x14ac:dyDescent="0.2">
      <c r="A585">
        <v>59</v>
      </c>
      <c r="B585" t="str">
        <f>VLOOKUP(Table1[[#This Row],[CountyID]],[1]!Table1[#All],2,FALSE)</f>
        <v>Pipestone</v>
      </c>
      <c r="C585">
        <f>VLOOKUP(Table1[[#This Row],[CountyID]],[1]!Table1[#All],3,FALSE)</f>
        <v>22</v>
      </c>
      <c r="D585">
        <v>22</v>
      </c>
      <c r="E585">
        <f>Table1[[#This Row],[Number of Counties]]-Table1[[#This Row],[Number of precincts Reporting]]</f>
        <v>0</v>
      </c>
      <c r="F585" t="s">
        <v>0</v>
      </c>
      <c r="G585" t="s">
        <v>1</v>
      </c>
      <c r="H585">
        <v>101</v>
      </c>
      <c r="I585">
        <v>401</v>
      </c>
      <c r="J585" t="s">
        <v>8</v>
      </c>
      <c r="K585" t="s">
        <v>9</v>
      </c>
      <c r="L585">
        <v>22</v>
      </c>
      <c r="M585">
        <v>53</v>
      </c>
      <c r="N585">
        <v>1.1000000000000001</v>
      </c>
      <c r="O585">
        <v>4837</v>
      </c>
    </row>
    <row r="586" spans="1:15" x14ac:dyDescent="0.2">
      <c r="A586">
        <v>59</v>
      </c>
      <c r="B586" t="str">
        <f>VLOOKUP(Table1[[#This Row],[CountyID]],[1]!Table1[#All],2,FALSE)</f>
        <v>Pipestone</v>
      </c>
      <c r="C586">
        <f>VLOOKUP(Table1[[#This Row],[CountyID]],[1]!Table1[#All],3,FALSE)</f>
        <v>22</v>
      </c>
      <c r="D586">
        <v>22</v>
      </c>
      <c r="E586">
        <f>Table1[[#This Row],[Number of Counties]]-Table1[[#This Row],[Number of precincts Reporting]]</f>
        <v>0</v>
      </c>
      <c r="F586" t="s">
        <v>0</v>
      </c>
      <c r="G586" t="s">
        <v>1</v>
      </c>
      <c r="H586">
        <v>101</v>
      </c>
      <c r="I586">
        <v>501</v>
      </c>
      <c r="J586" t="s">
        <v>10</v>
      </c>
      <c r="K586" t="s">
        <v>11</v>
      </c>
      <c r="L586">
        <v>22</v>
      </c>
      <c r="M586">
        <v>4</v>
      </c>
      <c r="N586">
        <v>0.08</v>
      </c>
      <c r="O586">
        <v>4837</v>
      </c>
    </row>
    <row r="587" spans="1:15" x14ac:dyDescent="0.2">
      <c r="A587">
        <v>59</v>
      </c>
      <c r="B587" t="str">
        <f>VLOOKUP(Table1[[#This Row],[CountyID]],[1]!Table1[#All],2,FALSE)</f>
        <v>Pipestone</v>
      </c>
      <c r="C587">
        <f>VLOOKUP(Table1[[#This Row],[CountyID]],[1]!Table1[#All],3,FALSE)</f>
        <v>22</v>
      </c>
      <c r="D587">
        <v>22</v>
      </c>
      <c r="E587">
        <f>Table1[[#This Row],[Number of Counties]]-Table1[[#This Row],[Number of precincts Reporting]]</f>
        <v>0</v>
      </c>
      <c r="F587" t="s">
        <v>0</v>
      </c>
      <c r="G587" t="s">
        <v>1</v>
      </c>
      <c r="H587">
        <v>101</v>
      </c>
      <c r="I587">
        <v>601</v>
      </c>
      <c r="J587" t="s">
        <v>12</v>
      </c>
      <c r="K587" t="s">
        <v>13</v>
      </c>
      <c r="L587">
        <v>22</v>
      </c>
      <c r="M587">
        <v>2</v>
      </c>
      <c r="N587">
        <v>0.04</v>
      </c>
      <c r="O587">
        <v>4837</v>
      </c>
    </row>
    <row r="588" spans="1:15" x14ac:dyDescent="0.2">
      <c r="A588">
        <v>59</v>
      </c>
      <c r="B588" t="str">
        <f>VLOOKUP(Table1[[#This Row],[CountyID]],[1]!Table1[#All],2,FALSE)</f>
        <v>Pipestone</v>
      </c>
      <c r="C588">
        <f>VLOOKUP(Table1[[#This Row],[CountyID]],[1]!Table1[#All],3,FALSE)</f>
        <v>22</v>
      </c>
      <c r="D588">
        <v>22</v>
      </c>
      <c r="E588">
        <f>Table1[[#This Row],[Number of Counties]]-Table1[[#This Row],[Number of precincts Reporting]]</f>
        <v>0</v>
      </c>
      <c r="F588" t="s">
        <v>0</v>
      </c>
      <c r="G588" t="s">
        <v>1</v>
      </c>
      <c r="H588">
        <v>101</v>
      </c>
      <c r="I588">
        <v>701</v>
      </c>
      <c r="J588" t="s">
        <v>14</v>
      </c>
      <c r="K588" t="s">
        <v>15</v>
      </c>
      <c r="L588">
        <v>22</v>
      </c>
      <c r="M588">
        <v>0</v>
      </c>
      <c r="N588">
        <v>0</v>
      </c>
      <c r="O588">
        <v>4837</v>
      </c>
    </row>
    <row r="589" spans="1:15" x14ac:dyDescent="0.2">
      <c r="A589">
        <v>59</v>
      </c>
      <c r="B589" t="str">
        <f>VLOOKUP(Table1[[#This Row],[CountyID]],[1]!Table1[#All],2,FALSE)</f>
        <v>Pipestone</v>
      </c>
      <c r="C589">
        <f>VLOOKUP(Table1[[#This Row],[CountyID]],[1]!Table1[#All],3,FALSE)</f>
        <v>22</v>
      </c>
      <c r="D589">
        <v>22</v>
      </c>
      <c r="E589">
        <f>Table1[[#This Row],[Number of Counties]]-Table1[[#This Row],[Number of precincts Reporting]]</f>
        <v>0</v>
      </c>
      <c r="F589" t="s">
        <v>0</v>
      </c>
      <c r="G589" t="s">
        <v>1</v>
      </c>
      <c r="H589">
        <v>101</v>
      </c>
      <c r="I589">
        <v>801</v>
      </c>
      <c r="J589" t="s">
        <v>16</v>
      </c>
      <c r="K589" t="s">
        <v>17</v>
      </c>
      <c r="L589">
        <v>22</v>
      </c>
      <c r="M589">
        <v>2</v>
      </c>
      <c r="N589">
        <v>0.04</v>
      </c>
      <c r="O589">
        <v>4837</v>
      </c>
    </row>
    <row r="590" spans="1:15" x14ac:dyDescent="0.2">
      <c r="A590">
        <v>59</v>
      </c>
      <c r="B590" t="str">
        <f>VLOOKUP(Table1[[#This Row],[CountyID]],[1]!Table1[#All],2,FALSE)</f>
        <v>Pipestone</v>
      </c>
      <c r="C590">
        <f>VLOOKUP(Table1[[#This Row],[CountyID]],[1]!Table1[#All],3,FALSE)</f>
        <v>22</v>
      </c>
      <c r="D590">
        <v>22</v>
      </c>
      <c r="E590">
        <f>Table1[[#This Row],[Number of Counties]]-Table1[[#This Row],[Number of precincts Reporting]]</f>
        <v>0</v>
      </c>
      <c r="F590" t="s">
        <v>0</v>
      </c>
      <c r="G590" t="s">
        <v>1</v>
      </c>
      <c r="H590">
        <v>101</v>
      </c>
      <c r="I590">
        <v>901</v>
      </c>
      <c r="J590" t="s">
        <v>18</v>
      </c>
      <c r="K590" t="s">
        <v>19</v>
      </c>
      <c r="L590">
        <v>22</v>
      </c>
      <c r="M590">
        <v>2</v>
      </c>
      <c r="N590">
        <v>0.04</v>
      </c>
      <c r="O590">
        <v>4837</v>
      </c>
    </row>
    <row r="591" spans="1:15" x14ac:dyDescent="0.2">
      <c r="A591">
        <v>59</v>
      </c>
      <c r="B591" t="str">
        <f>VLOOKUP(Table1[[#This Row],[CountyID]],[1]!Table1[#All],2,FALSE)</f>
        <v>Pipestone</v>
      </c>
      <c r="C591">
        <f>VLOOKUP(Table1[[#This Row],[CountyID]],[1]!Table1[#All],3,FALSE)</f>
        <v>22</v>
      </c>
      <c r="D591">
        <v>22</v>
      </c>
      <c r="E591">
        <f>Table1[[#This Row],[Number of Counties]]-Table1[[#This Row],[Number of precincts Reporting]]</f>
        <v>0</v>
      </c>
      <c r="F591" t="s">
        <v>0</v>
      </c>
      <c r="G591" t="s">
        <v>1</v>
      </c>
      <c r="H591">
        <v>101</v>
      </c>
      <c r="I591">
        <v>9901</v>
      </c>
      <c r="J591" t="s">
        <v>20</v>
      </c>
      <c r="K591" t="s">
        <v>21</v>
      </c>
      <c r="L591">
        <v>22</v>
      </c>
      <c r="M591">
        <v>9</v>
      </c>
      <c r="N591">
        <v>0.19</v>
      </c>
      <c r="O591">
        <v>4837</v>
      </c>
    </row>
    <row r="592" spans="1:15" x14ac:dyDescent="0.2">
      <c r="A592">
        <v>60</v>
      </c>
      <c r="B592" t="str">
        <f>VLOOKUP(Table1[[#This Row],[CountyID]],[1]!Table1[#All],2,FALSE)</f>
        <v>Polk</v>
      </c>
      <c r="C592">
        <f>VLOOKUP(Table1[[#This Row],[CountyID]],[1]!Table1[#All],3,FALSE)</f>
        <v>82</v>
      </c>
      <c r="D592">
        <v>82</v>
      </c>
      <c r="E592">
        <f>Table1[[#This Row],[Number of Counties]]-Table1[[#This Row],[Number of precincts Reporting]]</f>
        <v>0</v>
      </c>
      <c r="F592" t="s">
        <v>0</v>
      </c>
      <c r="G592" t="s">
        <v>1</v>
      </c>
      <c r="H592">
        <v>101</v>
      </c>
      <c r="I592">
        <v>101</v>
      </c>
      <c r="J592" t="s">
        <v>2</v>
      </c>
      <c r="K592" t="s">
        <v>3</v>
      </c>
      <c r="L592">
        <v>82</v>
      </c>
      <c r="M592">
        <v>10162</v>
      </c>
      <c r="N592">
        <v>65.91</v>
      </c>
      <c r="O592">
        <v>15419</v>
      </c>
    </row>
    <row r="593" spans="1:15" x14ac:dyDescent="0.2">
      <c r="A593">
        <v>60</v>
      </c>
      <c r="B593" t="str">
        <f>VLOOKUP(Table1[[#This Row],[CountyID]],[1]!Table1[#All],2,FALSE)</f>
        <v>Polk</v>
      </c>
      <c r="C593">
        <f>VLOOKUP(Table1[[#This Row],[CountyID]],[1]!Table1[#All],3,FALSE)</f>
        <v>82</v>
      </c>
      <c r="D593">
        <v>82</v>
      </c>
      <c r="E593">
        <f>Table1[[#This Row],[Number of Counties]]-Table1[[#This Row],[Number of precincts Reporting]]</f>
        <v>0</v>
      </c>
      <c r="F593" t="s">
        <v>0</v>
      </c>
      <c r="G593" t="s">
        <v>1</v>
      </c>
      <c r="H593">
        <v>101</v>
      </c>
      <c r="I593">
        <v>201</v>
      </c>
      <c r="J593" t="s">
        <v>4</v>
      </c>
      <c r="K593" t="s">
        <v>5</v>
      </c>
      <c r="L593">
        <v>82</v>
      </c>
      <c r="M593">
        <v>4967</v>
      </c>
      <c r="N593">
        <v>32.21</v>
      </c>
      <c r="O593">
        <v>15419</v>
      </c>
    </row>
    <row r="594" spans="1:15" x14ac:dyDescent="0.2">
      <c r="A594">
        <v>60</v>
      </c>
      <c r="B594" t="str">
        <f>VLOOKUP(Table1[[#This Row],[CountyID]],[1]!Table1[#All],2,FALSE)</f>
        <v>Polk</v>
      </c>
      <c r="C594">
        <f>VLOOKUP(Table1[[#This Row],[CountyID]],[1]!Table1[#All],3,FALSE)</f>
        <v>82</v>
      </c>
      <c r="D594">
        <v>82</v>
      </c>
      <c r="E594">
        <f>Table1[[#This Row],[Number of Counties]]-Table1[[#This Row],[Number of precincts Reporting]]</f>
        <v>0</v>
      </c>
      <c r="F594" t="s">
        <v>0</v>
      </c>
      <c r="G594" t="s">
        <v>1</v>
      </c>
      <c r="H594">
        <v>101</v>
      </c>
      <c r="I594">
        <v>301</v>
      </c>
      <c r="J594" t="s">
        <v>6</v>
      </c>
      <c r="K594" t="s">
        <v>7</v>
      </c>
      <c r="L594">
        <v>82</v>
      </c>
      <c r="M594">
        <v>52</v>
      </c>
      <c r="N594">
        <v>0.34</v>
      </c>
      <c r="O594">
        <v>15419</v>
      </c>
    </row>
    <row r="595" spans="1:15" x14ac:dyDescent="0.2">
      <c r="A595">
        <v>60</v>
      </c>
      <c r="B595" t="str">
        <f>VLOOKUP(Table1[[#This Row],[CountyID]],[1]!Table1[#All],2,FALSE)</f>
        <v>Polk</v>
      </c>
      <c r="C595">
        <f>VLOOKUP(Table1[[#This Row],[CountyID]],[1]!Table1[#All],3,FALSE)</f>
        <v>82</v>
      </c>
      <c r="D595">
        <v>82</v>
      </c>
      <c r="E595">
        <f>Table1[[#This Row],[Number of Counties]]-Table1[[#This Row],[Number of precincts Reporting]]</f>
        <v>0</v>
      </c>
      <c r="F595" t="s">
        <v>0</v>
      </c>
      <c r="G595" t="s">
        <v>1</v>
      </c>
      <c r="H595">
        <v>101</v>
      </c>
      <c r="I595">
        <v>401</v>
      </c>
      <c r="J595" t="s">
        <v>8</v>
      </c>
      <c r="K595" t="s">
        <v>9</v>
      </c>
      <c r="L595">
        <v>82</v>
      </c>
      <c r="M595">
        <v>143</v>
      </c>
      <c r="N595">
        <v>0.93</v>
      </c>
      <c r="O595">
        <v>15419</v>
      </c>
    </row>
    <row r="596" spans="1:15" x14ac:dyDescent="0.2">
      <c r="A596">
        <v>60</v>
      </c>
      <c r="B596" t="str">
        <f>VLOOKUP(Table1[[#This Row],[CountyID]],[1]!Table1[#All],2,FALSE)</f>
        <v>Polk</v>
      </c>
      <c r="C596">
        <f>VLOOKUP(Table1[[#This Row],[CountyID]],[1]!Table1[#All],3,FALSE)</f>
        <v>82</v>
      </c>
      <c r="D596">
        <v>82</v>
      </c>
      <c r="E596">
        <f>Table1[[#This Row],[Number of Counties]]-Table1[[#This Row],[Number of precincts Reporting]]</f>
        <v>0</v>
      </c>
      <c r="F596" t="s">
        <v>0</v>
      </c>
      <c r="G596" t="s">
        <v>1</v>
      </c>
      <c r="H596">
        <v>101</v>
      </c>
      <c r="I596">
        <v>501</v>
      </c>
      <c r="J596" t="s">
        <v>10</v>
      </c>
      <c r="K596" t="s">
        <v>11</v>
      </c>
      <c r="L596">
        <v>82</v>
      </c>
      <c r="M596">
        <v>27</v>
      </c>
      <c r="N596">
        <v>0.18</v>
      </c>
      <c r="O596">
        <v>15419</v>
      </c>
    </row>
    <row r="597" spans="1:15" x14ac:dyDescent="0.2">
      <c r="A597">
        <v>60</v>
      </c>
      <c r="B597" t="str">
        <f>VLOOKUP(Table1[[#This Row],[CountyID]],[1]!Table1[#All],2,FALSE)</f>
        <v>Polk</v>
      </c>
      <c r="C597">
        <f>VLOOKUP(Table1[[#This Row],[CountyID]],[1]!Table1[#All],3,FALSE)</f>
        <v>82</v>
      </c>
      <c r="D597">
        <v>82</v>
      </c>
      <c r="E597">
        <f>Table1[[#This Row],[Number of Counties]]-Table1[[#This Row],[Number of precincts Reporting]]</f>
        <v>0</v>
      </c>
      <c r="F597" t="s">
        <v>0</v>
      </c>
      <c r="G597" t="s">
        <v>1</v>
      </c>
      <c r="H597">
        <v>101</v>
      </c>
      <c r="I597">
        <v>601</v>
      </c>
      <c r="J597" t="s">
        <v>12</v>
      </c>
      <c r="K597" t="s">
        <v>13</v>
      </c>
      <c r="L597">
        <v>82</v>
      </c>
      <c r="M597">
        <v>10</v>
      </c>
      <c r="N597">
        <v>0.06</v>
      </c>
      <c r="O597">
        <v>15419</v>
      </c>
    </row>
    <row r="598" spans="1:15" x14ac:dyDescent="0.2">
      <c r="A598">
        <v>60</v>
      </c>
      <c r="B598" t="str">
        <f>VLOOKUP(Table1[[#This Row],[CountyID]],[1]!Table1[#All],2,FALSE)</f>
        <v>Polk</v>
      </c>
      <c r="C598">
        <f>VLOOKUP(Table1[[#This Row],[CountyID]],[1]!Table1[#All],3,FALSE)</f>
        <v>82</v>
      </c>
      <c r="D598">
        <v>82</v>
      </c>
      <c r="E598">
        <f>Table1[[#This Row],[Number of Counties]]-Table1[[#This Row],[Number of precincts Reporting]]</f>
        <v>0</v>
      </c>
      <c r="F598" t="s">
        <v>0</v>
      </c>
      <c r="G598" t="s">
        <v>1</v>
      </c>
      <c r="H598">
        <v>101</v>
      </c>
      <c r="I598">
        <v>701</v>
      </c>
      <c r="J598" t="s">
        <v>14</v>
      </c>
      <c r="K598" t="s">
        <v>15</v>
      </c>
      <c r="L598">
        <v>82</v>
      </c>
      <c r="M598">
        <v>2</v>
      </c>
      <c r="N598">
        <v>0.01</v>
      </c>
      <c r="O598">
        <v>15419</v>
      </c>
    </row>
    <row r="599" spans="1:15" x14ac:dyDescent="0.2">
      <c r="A599">
        <v>60</v>
      </c>
      <c r="B599" t="str">
        <f>VLOOKUP(Table1[[#This Row],[CountyID]],[1]!Table1[#All],2,FALSE)</f>
        <v>Polk</v>
      </c>
      <c r="C599">
        <f>VLOOKUP(Table1[[#This Row],[CountyID]],[1]!Table1[#All],3,FALSE)</f>
        <v>82</v>
      </c>
      <c r="D599">
        <v>82</v>
      </c>
      <c r="E599">
        <f>Table1[[#This Row],[Number of Counties]]-Table1[[#This Row],[Number of precincts Reporting]]</f>
        <v>0</v>
      </c>
      <c r="F599" t="s">
        <v>0</v>
      </c>
      <c r="G599" t="s">
        <v>1</v>
      </c>
      <c r="H599">
        <v>101</v>
      </c>
      <c r="I599">
        <v>801</v>
      </c>
      <c r="J599" t="s">
        <v>16</v>
      </c>
      <c r="K599" t="s">
        <v>17</v>
      </c>
      <c r="L599">
        <v>82</v>
      </c>
      <c r="M599">
        <v>10</v>
      </c>
      <c r="N599">
        <v>0.06</v>
      </c>
      <c r="O599">
        <v>15419</v>
      </c>
    </row>
    <row r="600" spans="1:15" x14ac:dyDescent="0.2">
      <c r="A600">
        <v>60</v>
      </c>
      <c r="B600" t="str">
        <f>VLOOKUP(Table1[[#This Row],[CountyID]],[1]!Table1[#All],2,FALSE)</f>
        <v>Polk</v>
      </c>
      <c r="C600">
        <f>VLOOKUP(Table1[[#This Row],[CountyID]],[1]!Table1[#All],3,FALSE)</f>
        <v>82</v>
      </c>
      <c r="D600">
        <v>82</v>
      </c>
      <c r="E600">
        <f>Table1[[#This Row],[Number of Counties]]-Table1[[#This Row],[Number of precincts Reporting]]</f>
        <v>0</v>
      </c>
      <c r="F600" t="s">
        <v>0</v>
      </c>
      <c r="G600" t="s">
        <v>1</v>
      </c>
      <c r="H600">
        <v>101</v>
      </c>
      <c r="I600">
        <v>901</v>
      </c>
      <c r="J600" t="s">
        <v>18</v>
      </c>
      <c r="K600" t="s">
        <v>19</v>
      </c>
      <c r="L600">
        <v>82</v>
      </c>
      <c r="M600">
        <v>14</v>
      </c>
      <c r="N600">
        <v>0.09</v>
      </c>
      <c r="O600">
        <v>15419</v>
      </c>
    </row>
    <row r="601" spans="1:15" x14ac:dyDescent="0.2">
      <c r="A601">
        <v>60</v>
      </c>
      <c r="B601" t="str">
        <f>VLOOKUP(Table1[[#This Row],[CountyID]],[1]!Table1[#All],2,FALSE)</f>
        <v>Polk</v>
      </c>
      <c r="C601">
        <f>VLOOKUP(Table1[[#This Row],[CountyID]],[1]!Table1[#All],3,FALSE)</f>
        <v>82</v>
      </c>
      <c r="D601">
        <v>82</v>
      </c>
      <c r="E601">
        <f>Table1[[#This Row],[Number of Counties]]-Table1[[#This Row],[Number of precincts Reporting]]</f>
        <v>0</v>
      </c>
      <c r="F601" t="s">
        <v>0</v>
      </c>
      <c r="G601" t="s">
        <v>1</v>
      </c>
      <c r="H601">
        <v>101</v>
      </c>
      <c r="I601">
        <v>9901</v>
      </c>
      <c r="J601" t="s">
        <v>20</v>
      </c>
      <c r="K601" t="s">
        <v>21</v>
      </c>
      <c r="L601">
        <v>82</v>
      </c>
      <c r="M601">
        <v>32</v>
      </c>
      <c r="N601">
        <v>0.21</v>
      </c>
      <c r="O601">
        <v>15419</v>
      </c>
    </row>
    <row r="602" spans="1:15" x14ac:dyDescent="0.2">
      <c r="A602">
        <v>61</v>
      </c>
      <c r="B602" t="str">
        <f>VLOOKUP(Table1[[#This Row],[CountyID]],[1]!Table1[#All],2,FALSE)</f>
        <v>Pope</v>
      </c>
      <c r="C602">
        <f>VLOOKUP(Table1[[#This Row],[CountyID]],[1]!Table1[#All],3,FALSE)</f>
        <v>31</v>
      </c>
      <c r="D602">
        <v>31</v>
      </c>
      <c r="E602">
        <f>Table1[[#This Row],[Number of Counties]]-Table1[[#This Row],[Number of precincts Reporting]]</f>
        <v>0</v>
      </c>
      <c r="F602" t="s">
        <v>0</v>
      </c>
      <c r="G602" t="s">
        <v>1</v>
      </c>
      <c r="H602">
        <v>101</v>
      </c>
      <c r="I602">
        <v>101</v>
      </c>
      <c r="J602" t="s">
        <v>2</v>
      </c>
      <c r="K602" t="s">
        <v>3</v>
      </c>
      <c r="L602">
        <v>31</v>
      </c>
      <c r="M602">
        <v>4677</v>
      </c>
      <c r="N602">
        <v>64.8</v>
      </c>
      <c r="O602">
        <v>7218</v>
      </c>
    </row>
    <row r="603" spans="1:15" x14ac:dyDescent="0.2">
      <c r="A603">
        <v>61</v>
      </c>
      <c r="B603" t="str">
        <f>VLOOKUP(Table1[[#This Row],[CountyID]],[1]!Table1[#All],2,FALSE)</f>
        <v>Pope</v>
      </c>
      <c r="C603">
        <f>VLOOKUP(Table1[[#This Row],[CountyID]],[1]!Table1[#All],3,FALSE)</f>
        <v>31</v>
      </c>
      <c r="D603">
        <v>31</v>
      </c>
      <c r="E603">
        <f>Table1[[#This Row],[Number of Counties]]-Table1[[#This Row],[Number of precincts Reporting]]</f>
        <v>0</v>
      </c>
      <c r="F603" t="s">
        <v>0</v>
      </c>
      <c r="G603" t="s">
        <v>1</v>
      </c>
      <c r="H603">
        <v>101</v>
      </c>
      <c r="I603">
        <v>201</v>
      </c>
      <c r="J603" t="s">
        <v>4</v>
      </c>
      <c r="K603" t="s">
        <v>5</v>
      </c>
      <c r="L603">
        <v>31</v>
      </c>
      <c r="M603">
        <v>2398</v>
      </c>
      <c r="N603">
        <v>33.22</v>
      </c>
      <c r="O603">
        <v>7218</v>
      </c>
    </row>
    <row r="604" spans="1:15" x14ac:dyDescent="0.2">
      <c r="A604">
        <v>61</v>
      </c>
      <c r="B604" t="str">
        <f>VLOOKUP(Table1[[#This Row],[CountyID]],[1]!Table1[#All],2,FALSE)</f>
        <v>Pope</v>
      </c>
      <c r="C604">
        <f>VLOOKUP(Table1[[#This Row],[CountyID]],[1]!Table1[#All],3,FALSE)</f>
        <v>31</v>
      </c>
      <c r="D604">
        <v>31</v>
      </c>
      <c r="E604">
        <f>Table1[[#This Row],[Number of Counties]]-Table1[[#This Row],[Number of precincts Reporting]]</f>
        <v>0</v>
      </c>
      <c r="F604" t="s">
        <v>0</v>
      </c>
      <c r="G604" t="s">
        <v>1</v>
      </c>
      <c r="H604">
        <v>101</v>
      </c>
      <c r="I604">
        <v>301</v>
      </c>
      <c r="J604" t="s">
        <v>6</v>
      </c>
      <c r="K604" t="s">
        <v>7</v>
      </c>
      <c r="L604">
        <v>31</v>
      </c>
      <c r="M604">
        <v>23</v>
      </c>
      <c r="N604">
        <v>0.32</v>
      </c>
      <c r="O604">
        <v>7218</v>
      </c>
    </row>
    <row r="605" spans="1:15" x14ac:dyDescent="0.2">
      <c r="A605">
        <v>61</v>
      </c>
      <c r="B605" t="str">
        <f>VLOOKUP(Table1[[#This Row],[CountyID]],[1]!Table1[#All],2,FALSE)</f>
        <v>Pope</v>
      </c>
      <c r="C605">
        <f>VLOOKUP(Table1[[#This Row],[CountyID]],[1]!Table1[#All],3,FALSE)</f>
        <v>31</v>
      </c>
      <c r="D605">
        <v>31</v>
      </c>
      <c r="E605">
        <f>Table1[[#This Row],[Number of Counties]]-Table1[[#This Row],[Number of precincts Reporting]]</f>
        <v>0</v>
      </c>
      <c r="F605" t="s">
        <v>0</v>
      </c>
      <c r="G605" t="s">
        <v>1</v>
      </c>
      <c r="H605">
        <v>101</v>
      </c>
      <c r="I605">
        <v>401</v>
      </c>
      <c r="J605" t="s">
        <v>8</v>
      </c>
      <c r="K605" t="s">
        <v>9</v>
      </c>
      <c r="L605">
        <v>31</v>
      </c>
      <c r="M605">
        <v>71</v>
      </c>
      <c r="N605">
        <v>0.98</v>
      </c>
      <c r="O605">
        <v>7218</v>
      </c>
    </row>
    <row r="606" spans="1:15" x14ac:dyDescent="0.2">
      <c r="A606">
        <v>61</v>
      </c>
      <c r="B606" t="str">
        <f>VLOOKUP(Table1[[#This Row],[CountyID]],[1]!Table1[#All],2,FALSE)</f>
        <v>Pope</v>
      </c>
      <c r="C606">
        <f>VLOOKUP(Table1[[#This Row],[CountyID]],[1]!Table1[#All],3,FALSE)</f>
        <v>31</v>
      </c>
      <c r="D606">
        <v>31</v>
      </c>
      <c r="E606">
        <f>Table1[[#This Row],[Number of Counties]]-Table1[[#This Row],[Number of precincts Reporting]]</f>
        <v>0</v>
      </c>
      <c r="F606" t="s">
        <v>0</v>
      </c>
      <c r="G606" t="s">
        <v>1</v>
      </c>
      <c r="H606">
        <v>101</v>
      </c>
      <c r="I606">
        <v>501</v>
      </c>
      <c r="J606" t="s">
        <v>10</v>
      </c>
      <c r="K606" t="s">
        <v>11</v>
      </c>
      <c r="L606">
        <v>31</v>
      </c>
      <c r="M606">
        <v>10</v>
      </c>
      <c r="N606">
        <v>0.14000000000000001</v>
      </c>
      <c r="O606">
        <v>7218</v>
      </c>
    </row>
    <row r="607" spans="1:15" x14ac:dyDescent="0.2">
      <c r="A607">
        <v>61</v>
      </c>
      <c r="B607" t="str">
        <f>VLOOKUP(Table1[[#This Row],[CountyID]],[1]!Table1[#All],2,FALSE)</f>
        <v>Pope</v>
      </c>
      <c r="C607">
        <f>VLOOKUP(Table1[[#This Row],[CountyID]],[1]!Table1[#All],3,FALSE)</f>
        <v>31</v>
      </c>
      <c r="D607">
        <v>31</v>
      </c>
      <c r="E607">
        <f>Table1[[#This Row],[Number of Counties]]-Table1[[#This Row],[Number of precincts Reporting]]</f>
        <v>0</v>
      </c>
      <c r="F607" t="s">
        <v>0</v>
      </c>
      <c r="G607" t="s">
        <v>1</v>
      </c>
      <c r="H607">
        <v>101</v>
      </c>
      <c r="I607">
        <v>601</v>
      </c>
      <c r="J607" t="s">
        <v>12</v>
      </c>
      <c r="K607" t="s">
        <v>13</v>
      </c>
      <c r="L607">
        <v>31</v>
      </c>
      <c r="M607">
        <v>0</v>
      </c>
      <c r="N607">
        <v>0</v>
      </c>
      <c r="O607">
        <v>7218</v>
      </c>
    </row>
    <row r="608" spans="1:15" x14ac:dyDescent="0.2">
      <c r="A608">
        <v>61</v>
      </c>
      <c r="B608" t="str">
        <f>VLOOKUP(Table1[[#This Row],[CountyID]],[1]!Table1[#All],2,FALSE)</f>
        <v>Pope</v>
      </c>
      <c r="C608">
        <f>VLOOKUP(Table1[[#This Row],[CountyID]],[1]!Table1[#All],3,FALSE)</f>
        <v>31</v>
      </c>
      <c r="D608">
        <v>31</v>
      </c>
      <c r="E608">
        <f>Table1[[#This Row],[Number of Counties]]-Table1[[#This Row],[Number of precincts Reporting]]</f>
        <v>0</v>
      </c>
      <c r="F608" t="s">
        <v>0</v>
      </c>
      <c r="G608" t="s">
        <v>1</v>
      </c>
      <c r="H608">
        <v>101</v>
      </c>
      <c r="I608">
        <v>701</v>
      </c>
      <c r="J608" t="s">
        <v>14</v>
      </c>
      <c r="K608" t="s">
        <v>15</v>
      </c>
      <c r="L608">
        <v>31</v>
      </c>
      <c r="M608">
        <v>1</v>
      </c>
      <c r="N608">
        <v>0.01</v>
      </c>
      <c r="O608">
        <v>7218</v>
      </c>
    </row>
    <row r="609" spans="1:15" x14ac:dyDescent="0.2">
      <c r="A609">
        <v>61</v>
      </c>
      <c r="B609" t="str">
        <f>VLOOKUP(Table1[[#This Row],[CountyID]],[1]!Table1[#All],2,FALSE)</f>
        <v>Pope</v>
      </c>
      <c r="C609">
        <f>VLOOKUP(Table1[[#This Row],[CountyID]],[1]!Table1[#All],3,FALSE)</f>
        <v>31</v>
      </c>
      <c r="D609">
        <v>31</v>
      </c>
      <c r="E609">
        <f>Table1[[#This Row],[Number of Counties]]-Table1[[#This Row],[Number of precincts Reporting]]</f>
        <v>0</v>
      </c>
      <c r="F609" t="s">
        <v>0</v>
      </c>
      <c r="G609" t="s">
        <v>1</v>
      </c>
      <c r="H609">
        <v>101</v>
      </c>
      <c r="I609">
        <v>801</v>
      </c>
      <c r="J609" t="s">
        <v>16</v>
      </c>
      <c r="K609" t="s">
        <v>17</v>
      </c>
      <c r="L609">
        <v>31</v>
      </c>
      <c r="M609">
        <v>6</v>
      </c>
      <c r="N609">
        <v>0.08</v>
      </c>
      <c r="O609">
        <v>7218</v>
      </c>
    </row>
    <row r="610" spans="1:15" x14ac:dyDescent="0.2">
      <c r="A610">
        <v>61</v>
      </c>
      <c r="B610" t="str">
        <f>VLOOKUP(Table1[[#This Row],[CountyID]],[1]!Table1[#All],2,FALSE)</f>
        <v>Pope</v>
      </c>
      <c r="C610">
        <f>VLOOKUP(Table1[[#This Row],[CountyID]],[1]!Table1[#All],3,FALSE)</f>
        <v>31</v>
      </c>
      <c r="D610">
        <v>31</v>
      </c>
      <c r="E610">
        <f>Table1[[#This Row],[Number of Counties]]-Table1[[#This Row],[Number of precincts Reporting]]</f>
        <v>0</v>
      </c>
      <c r="F610" t="s">
        <v>0</v>
      </c>
      <c r="G610" t="s">
        <v>1</v>
      </c>
      <c r="H610">
        <v>101</v>
      </c>
      <c r="I610">
        <v>901</v>
      </c>
      <c r="J610" t="s">
        <v>18</v>
      </c>
      <c r="K610" t="s">
        <v>19</v>
      </c>
      <c r="L610">
        <v>31</v>
      </c>
      <c r="M610">
        <v>5</v>
      </c>
      <c r="N610">
        <v>7.0000000000000007E-2</v>
      </c>
      <c r="O610">
        <v>7218</v>
      </c>
    </row>
    <row r="611" spans="1:15" x14ac:dyDescent="0.2">
      <c r="A611">
        <v>61</v>
      </c>
      <c r="B611" t="str">
        <f>VLOOKUP(Table1[[#This Row],[CountyID]],[1]!Table1[#All],2,FALSE)</f>
        <v>Pope</v>
      </c>
      <c r="C611">
        <f>VLOOKUP(Table1[[#This Row],[CountyID]],[1]!Table1[#All],3,FALSE)</f>
        <v>31</v>
      </c>
      <c r="D611">
        <v>31</v>
      </c>
      <c r="E611">
        <f>Table1[[#This Row],[Number of Counties]]-Table1[[#This Row],[Number of precincts Reporting]]</f>
        <v>0</v>
      </c>
      <c r="F611" t="s">
        <v>0</v>
      </c>
      <c r="G611" t="s">
        <v>1</v>
      </c>
      <c r="H611">
        <v>101</v>
      </c>
      <c r="I611">
        <v>9901</v>
      </c>
      <c r="J611" t="s">
        <v>20</v>
      </c>
      <c r="K611" t="s">
        <v>21</v>
      </c>
      <c r="L611">
        <v>31</v>
      </c>
      <c r="M611">
        <v>27</v>
      </c>
      <c r="N611">
        <v>0.37</v>
      </c>
      <c r="O611">
        <v>7218</v>
      </c>
    </row>
    <row r="612" spans="1:15" x14ac:dyDescent="0.2">
      <c r="A612">
        <v>62</v>
      </c>
      <c r="B612" t="str">
        <f>VLOOKUP(Table1[[#This Row],[CountyID]],[1]!Table1[#All],2,FALSE)</f>
        <v>Ramsey</v>
      </c>
      <c r="C612">
        <f>VLOOKUP(Table1[[#This Row],[CountyID]],[1]!Table1[#All],3,FALSE)</f>
        <v>162</v>
      </c>
      <c r="D612">
        <v>162</v>
      </c>
      <c r="E612">
        <f>Table1[[#This Row],[Number of Counties]]-Table1[[#This Row],[Number of precincts Reporting]]</f>
        <v>0</v>
      </c>
      <c r="F612" t="s">
        <v>0</v>
      </c>
      <c r="G612" t="s">
        <v>1</v>
      </c>
      <c r="H612">
        <v>101</v>
      </c>
      <c r="I612">
        <v>101</v>
      </c>
      <c r="J612" t="s">
        <v>2</v>
      </c>
      <c r="K612" t="s">
        <v>3</v>
      </c>
      <c r="L612">
        <v>162</v>
      </c>
      <c r="M612">
        <v>75284</v>
      </c>
      <c r="N612">
        <v>27.08</v>
      </c>
      <c r="O612">
        <v>278025</v>
      </c>
    </row>
    <row r="613" spans="1:15" x14ac:dyDescent="0.2">
      <c r="A613">
        <v>62</v>
      </c>
      <c r="B613" t="str">
        <f>VLOOKUP(Table1[[#This Row],[CountyID]],[1]!Table1[#All],2,FALSE)</f>
        <v>Ramsey</v>
      </c>
      <c r="C613">
        <f>VLOOKUP(Table1[[#This Row],[CountyID]],[1]!Table1[#All],3,FALSE)</f>
        <v>162</v>
      </c>
      <c r="D613">
        <v>162</v>
      </c>
      <c r="E613">
        <f>Table1[[#This Row],[Number of Counties]]-Table1[[#This Row],[Number of precincts Reporting]]</f>
        <v>0</v>
      </c>
      <c r="F613" t="s">
        <v>0</v>
      </c>
      <c r="G613" t="s">
        <v>1</v>
      </c>
      <c r="H613">
        <v>101</v>
      </c>
      <c r="I613">
        <v>201</v>
      </c>
      <c r="J613" t="s">
        <v>4</v>
      </c>
      <c r="K613" t="s">
        <v>5</v>
      </c>
      <c r="L613">
        <v>162</v>
      </c>
      <c r="M613">
        <v>195168</v>
      </c>
      <c r="N613">
        <v>70.2</v>
      </c>
      <c r="O613">
        <v>278025</v>
      </c>
    </row>
    <row r="614" spans="1:15" x14ac:dyDescent="0.2">
      <c r="A614">
        <v>62</v>
      </c>
      <c r="B614" t="str">
        <f>VLOOKUP(Table1[[#This Row],[CountyID]],[1]!Table1[#All],2,FALSE)</f>
        <v>Ramsey</v>
      </c>
      <c r="C614">
        <f>VLOOKUP(Table1[[#This Row],[CountyID]],[1]!Table1[#All],3,FALSE)</f>
        <v>162</v>
      </c>
      <c r="D614">
        <v>162</v>
      </c>
      <c r="E614">
        <f>Table1[[#This Row],[Number of Counties]]-Table1[[#This Row],[Number of precincts Reporting]]</f>
        <v>0</v>
      </c>
      <c r="F614" t="s">
        <v>0</v>
      </c>
      <c r="G614" t="s">
        <v>1</v>
      </c>
      <c r="H614">
        <v>101</v>
      </c>
      <c r="I614">
        <v>301</v>
      </c>
      <c r="J614" t="s">
        <v>6</v>
      </c>
      <c r="K614" t="s">
        <v>7</v>
      </c>
      <c r="L614">
        <v>162</v>
      </c>
      <c r="M614">
        <v>1331</v>
      </c>
      <c r="N614">
        <v>0.48</v>
      </c>
      <c r="O614">
        <v>278025</v>
      </c>
    </row>
    <row r="615" spans="1:15" x14ac:dyDescent="0.2">
      <c r="A615">
        <v>62</v>
      </c>
      <c r="B615" t="str">
        <f>VLOOKUP(Table1[[#This Row],[CountyID]],[1]!Table1[#All],2,FALSE)</f>
        <v>Ramsey</v>
      </c>
      <c r="C615">
        <f>VLOOKUP(Table1[[#This Row],[CountyID]],[1]!Table1[#All],3,FALSE)</f>
        <v>162</v>
      </c>
      <c r="D615">
        <v>162</v>
      </c>
      <c r="E615">
        <f>Table1[[#This Row],[Number of Counties]]-Table1[[#This Row],[Number of precincts Reporting]]</f>
        <v>0</v>
      </c>
      <c r="F615" t="s">
        <v>0</v>
      </c>
      <c r="G615" t="s">
        <v>1</v>
      </c>
      <c r="H615">
        <v>101</v>
      </c>
      <c r="I615">
        <v>401</v>
      </c>
      <c r="J615" t="s">
        <v>8</v>
      </c>
      <c r="K615" t="s">
        <v>9</v>
      </c>
      <c r="L615">
        <v>162</v>
      </c>
      <c r="M615">
        <v>1529</v>
      </c>
      <c r="N615">
        <v>0.55000000000000004</v>
      </c>
      <c r="O615">
        <v>278025</v>
      </c>
    </row>
    <row r="616" spans="1:15" x14ac:dyDescent="0.2">
      <c r="A616">
        <v>62</v>
      </c>
      <c r="B616" t="str">
        <f>VLOOKUP(Table1[[#This Row],[CountyID]],[1]!Table1[#All],2,FALSE)</f>
        <v>Ramsey</v>
      </c>
      <c r="C616">
        <f>VLOOKUP(Table1[[#This Row],[CountyID]],[1]!Table1[#All],3,FALSE)</f>
        <v>162</v>
      </c>
      <c r="D616">
        <v>162</v>
      </c>
      <c r="E616">
        <f>Table1[[#This Row],[Number of Counties]]-Table1[[#This Row],[Number of precincts Reporting]]</f>
        <v>0</v>
      </c>
      <c r="F616" t="s">
        <v>0</v>
      </c>
      <c r="G616" t="s">
        <v>1</v>
      </c>
      <c r="H616">
        <v>101</v>
      </c>
      <c r="I616">
        <v>501</v>
      </c>
      <c r="J616" t="s">
        <v>10</v>
      </c>
      <c r="K616" t="s">
        <v>11</v>
      </c>
      <c r="L616">
        <v>162</v>
      </c>
      <c r="M616">
        <v>2127</v>
      </c>
      <c r="N616">
        <v>0.77</v>
      </c>
      <c r="O616">
        <v>278025</v>
      </c>
    </row>
    <row r="617" spans="1:15" x14ac:dyDescent="0.2">
      <c r="A617">
        <v>62</v>
      </c>
      <c r="B617" t="str">
        <f>VLOOKUP(Table1[[#This Row],[CountyID]],[1]!Table1[#All],2,FALSE)</f>
        <v>Ramsey</v>
      </c>
      <c r="C617">
        <f>VLOOKUP(Table1[[#This Row],[CountyID]],[1]!Table1[#All],3,FALSE)</f>
        <v>162</v>
      </c>
      <c r="D617">
        <v>162</v>
      </c>
      <c r="E617">
        <f>Table1[[#This Row],[Number of Counties]]-Table1[[#This Row],[Number of precincts Reporting]]</f>
        <v>0</v>
      </c>
      <c r="F617" t="s">
        <v>0</v>
      </c>
      <c r="G617" t="s">
        <v>1</v>
      </c>
      <c r="H617">
        <v>101</v>
      </c>
      <c r="I617">
        <v>601</v>
      </c>
      <c r="J617" t="s">
        <v>12</v>
      </c>
      <c r="K617" t="s">
        <v>13</v>
      </c>
      <c r="L617">
        <v>162</v>
      </c>
      <c r="M617">
        <v>549</v>
      </c>
      <c r="N617">
        <v>0.2</v>
      </c>
      <c r="O617">
        <v>278025</v>
      </c>
    </row>
    <row r="618" spans="1:15" x14ac:dyDescent="0.2">
      <c r="A618">
        <v>62</v>
      </c>
      <c r="B618" t="str">
        <f>VLOOKUP(Table1[[#This Row],[CountyID]],[1]!Table1[#All],2,FALSE)</f>
        <v>Ramsey</v>
      </c>
      <c r="C618">
        <f>VLOOKUP(Table1[[#This Row],[CountyID]],[1]!Table1[#All],3,FALSE)</f>
        <v>162</v>
      </c>
      <c r="D618">
        <v>162</v>
      </c>
      <c r="E618">
        <f>Table1[[#This Row],[Number of Counties]]-Table1[[#This Row],[Number of precincts Reporting]]</f>
        <v>0</v>
      </c>
      <c r="F618" t="s">
        <v>0</v>
      </c>
      <c r="G618" t="s">
        <v>1</v>
      </c>
      <c r="H618">
        <v>101</v>
      </c>
      <c r="I618">
        <v>701</v>
      </c>
      <c r="J618" t="s">
        <v>14</v>
      </c>
      <c r="K618" t="s">
        <v>15</v>
      </c>
      <c r="L618">
        <v>162</v>
      </c>
      <c r="M618">
        <v>79</v>
      </c>
      <c r="N618">
        <v>0.03</v>
      </c>
      <c r="O618">
        <v>278025</v>
      </c>
    </row>
    <row r="619" spans="1:15" x14ac:dyDescent="0.2">
      <c r="A619">
        <v>62</v>
      </c>
      <c r="B619" t="str">
        <f>VLOOKUP(Table1[[#This Row],[CountyID]],[1]!Table1[#All],2,FALSE)</f>
        <v>Ramsey</v>
      </c>
      <c r="C619">
        <f>VLOOKUP(Table1[[#This Row],[CountyID]],[1]!Table1[#All],3,FALSE)</f>
        <v>162</v>
      </c>
      <c r="D619">
        <v>162</v>
      </c>
      <c r="E619">
        <f>Table1[[#This Row],[Number of Counties]]-Table1[[#This Row],[Number of precincts Reporting]]</f>
        <v>0</v>
      </c>
      <c r="F619" t="s">
        <v>0</v>
      </c>
      <c r="G619" t="s">
        <v>1</v>
      </c>
      <c r="H619">
        <v>101</v>
      </c>
      <c r="I619">
        <v>801</v>
      </c>
      <c r="J619" t="s">
        <v>16</v>
      </c>
      <c r="K619" t="s">
        <v>17</v>
      </c>
      <c r="L619">
        <v>162</v>
      </c>
      <c r="M619">
        <v>469</v>
      </c>
      <c r="N619">
        <v>0.17</v>
      </c>
      <c r="O619">
        <v>278025</v>
      </c>
    </row>
    <row r="620" spans="1:15" x14ac:dyDescent="0.2">
      <c r="A620">
        <v>62</v>
      </c>
      <c r="B620" t="str">
        <f>VLOOKUP(Table1[[#This Row],[CountyID]],[1]!Table1[#All],2,FALSE)</f>
        <v>Ramsey</v>
      </c>
      <c r="C620">
        <f>VLOOKUP(Table1[[#This Row],[CountyID]],[1]!Table1[#All],3,FALSE)</f>
        <v>162</v>
      </c>
      <c r="D620">
        <v>162</v>
      </c>
      <c r="E620">
        <f>Table1[[#This Row],[Number of Counties]]-Table1[[#This Row],[Number of precincts Reporting]]</f>
        <v>0</v>
      </c>
      <c r="F620" t="s">
        <v>0</v>
      </c>
      <c r="G620" t="s">
        <v>1</v>
      </c>
      <c r="H620">
        <v>101</v>
      </c>
      <c r="I620">
        <v>901</v>
      </c>
      <c r="J620" t="s">
        <v>18</v>
      </c>
      <c r="K620" t="s">
        <v>19</v>
      </c>
      <c r="L620">
        <v>162</v>
      </c>
      <c r="M620">
        <v>200</v>
      </c>
      <c r="N620">
        <v>7.0000000000000007E-2</v>
      </c>
      <c r="O620">
        <v>278025</v>
      </c>
    </row>
    <row r="621" spans="1:15" x14ac:dyDescent="0.2">
      <c r="A621">
        <v>62</v>
      </c>
      <c r="B621" t="str">
        <f>VLOOKUP(Table1[[#This Row],[CountyID]],[1]!Table1[#All],2,FALSE)</f>
        <v>Ramsey</v>
      </c>
      <c r="C621">
        <f>VLOOKUP(Table1[[#This Row],[CountyID]],[1]!Table1[#All],3,FALSE)</f>
        <v>162</v>
      </c>
      <c r="D621">
        <v>162</v>
      </c>
      <c r="E621">
        <f>Table1[[#This Row],[Number of Counties]]-Table1[[#This Row],[Number of precincts Reporting]]</f>
        <v>0</v>
      </c>
      <c r="F621" t="s">
        <v>0</v>
      </c>
      <c r="G621" t="s">
        <v>1</v>
      </c>
      <c r="H621">
        <v>101</v>
      </c>
      <c r="I621">
        <v>9901</v>
      </c>
      <c r="J621" t="s">
        <v>20</v>
      </c>
      <c r="K621" t="s">
        <v>21</v>
      </c>
      <c r="L621">
        <v>162</v>
      </c>
      <c r="M621">
        <v>1289</v>
      </c>
      <c r="N621">
        <v>0.46</v>
      </c>
      <c r="O621">
        <v>278025</v>
      </c>
    </row>
    <row r="622" spans="1:15" x14ac:dyDescent="0.2">
      <c r="A622">
        <v>63</v>
      </c>
      <c r="B622" t="str">
        <f>VLOOKUP(Table1[[#This Row],[CountyID]],[1]!Table1[#All],2,FALSE)</f>
        <v>Red Lake</v>
      </c>
      <c r="C622">
        <f>VLOOKUP(Table1[[#This Row],[CountyID]],[1]!Table1[#All],3,FALSE)</f>
        <v>21</v>
      </c>
      <c r="D622">
        <v>21</v>
      </c>
      <c r="E622">
        <f>Table1[[#This Row],[Number of Counties]]-Table1[[#This Row],[Number of precincts Reporting]]</f>
        <v>0</v>
      </c>
      <c r="F622" t="s">
        <v>0</v>
      </c>
      <c r="G622" t="s">
        <v>1</v>
      </c>
      <c r="H622">
        <v>101</v>
      </c>
      <c r="I622">
        <v>101</v>
      </c>
      <c r="J622" t="s">
        <v>2</v>
      </c>
      <c r="K622" t="s">
        <v>3</v>
      </c>
      <c r="L622">
        <v>21</v>
      </c>
      <c r="M622">
        <v>1425</v>
      </c>
      <c r="N622">
        <v>67.34</v>
      </c>
      <c r="O622">
        <v>2116</v>
      </c>
    </row>
    <row r="623" spans="1:15" x14ac:dyDescent="0.2">
      <c r="A623">
        <v>63</v>
      </c>
      <c r="B623" t="str">
        <f>VLOOKUP(Table1[[#This Row],[CountyID]],[1]!Table1[#All],2,FALSE)</f>
        <v>Red Lake</v>
      </c>
      <c r="C623">
        <f>VLOOKUP(Table1[[#This Row],[CountyID]],[1]!Table1[#All],3,FALSE)</f>
        <v>21</v>
      </c>
      <c r="D623">
        <v>21</v>
      </c>
      <c r="E623">
        <f>Table1[[#This Row],[Number of Counties]]-Table1[[#This Row],[Number of precincts Reporting]]</f>
        <v>0</v>
      </c>
      <c r="F623" t="s">
        <v>0</v>
      </c>
      <c r="G623" t="s">
        <v>1</v>
      </c>
      <c r="H623">
        <v>101</v>
      </c>
      <c r="I623">
        <v>201</v>
      </c>
      <c r="J623" t="s">
        <v>4</v>
      </c>
      <c r="K623" t="s">
        <v>5</v>
      </c>
      <c r="L623">
        <v>21</v>
      </c>
      <c r="M623">
        <v>642</v>
      </c>
      <c r="N623">
        <v>30.34</v>
      </c>
      <c r="O623">
        <v>2116</v>
      </c>
    </row>
    <row r="624" spans="1:15" x14ac:dyDescent="0.2">
      <c r="A624">
        <v>63</v>
      </c>
      <c r="B624" t="str">
        <f>VLOOKUP(Table1[[#This Row],[CountyID]],[1]!Table1[#All],2,FALSE)</f>
        <v>Red Lake</v>
      </c>
      <c r="C624">
        <f>VLOOKUP(Table1[[#This Row],[CountyID]],[1]!Table1[#All],3,FALSE)</f>
        <v>21</v>
      </c>
      <c r="D624">
        <v>21</v>
      </c>
      <c r="E624">
        <f>Table1[[#This Row],[Number of Counties]]-Table1[[#This Row],[Number of precincts Reporting]]</f>
        <v>0</v>
      </c>
      <c r="F624" t="s">
        <v>0</v>
      </c>
      <c r="G624" t="s">
        <v>1</v>
      </c>
      <c r="H624">
        <v>101</v>
      </c>
      <c r="I624">
        <v>301</v>
      </c>
      <c r="J624" t="s">
        <v>6</v>
      </c>
      <c r="K624" t="s">
        <v>7</v>
      </c>
      <c r="L624">
        <v>21</v>
      </c>
      <c r="M624">
        <v>7</v>
      </c>
      <c r="N624">
        <v>0.33</v>
      </c>
      <c r="O624">
        <v>2116</v>
      </c>
    </row>
    <row r="625" spans="1:15" x14ac:dyDescent="0.2">
      <c r="A625">
        <v>63</v>
      </c>
      <c r="B625" t="str">
        <f>VLOOKUP(Table1[[#This Row],[CountyID]],[1]!Table1[#All],2,FALSE)</f>
        <v>Red Lake</v>
      </c>
      <c r="C625">
        <f>VLOOKUP(Table1[[#This Row],[CountyID]],[1]!Table1[#All],3,FALSE)</f>
        <v>21</v>
      </c>
      <c r="D625">
        <v>21</v>
      </c>
      <c r="E625">
        <f>Table1[[#This Row],[Number of Counties]]-Table1[[#This Row],[Number of precincts Reporting]]</f>
        <v>0</v>
      </c>
      <c r="F625" t="s">
        <v>0</v>
      </c>
      <c r="G625" t="s">
        <v>1</v>
      </c>
      <c r="H625">
        <v>101</v>
      </c>
      <c r="I625">
        <v>401</v>
      </c>
      <c r="J625" t="s">
        <v>8</v>
      </c>
      <c r="K625" t="s">
        <v>9</v>
      </c>
      <c r="L625">
        <v>21</v>
      </c>
      <c r="M625">
        <v>28</v>
      </c>
      <c r="N625">
        <v>1.32</v>
      </c>
      <c r="O625">
        <v>2116</v>
      </c>
    </row>
    <row r="626" spans="1:15" x14ac:dyDescent="0.2">
      <c r="A626">
        <v>63</v>
      </c>
      <c r="B626" t="str">
        <f>VLOOKUP(Table1[[#This Row],[CountyID]],[1]!Table1[#All],2,FALSE)</f>
        <v>Red Lake</v>
      </c>
      <c r="C626">
        <f>VLOOKUP(Table1[[#This Row],[CountyID]],[1]!Table1[#All],3,FALSE)</f>
        <v>21</v>
      </c>
      <c r="D626">
        <v>21</v>
      </c>
      <c r="E626">
        <f>Table1[[#This Row],[Number of Counties]]-Table1[[#This Row],[Number of precincts Reporting]]</f>
        <v>0</v>
      </c>
      <c r="F626" t="s">
        <v>0</v>
      </c>
      <c r="G626" t="s">
        <v>1</v>
      </c>
      <c r="H626">
        <v>101</v>
      </c>
      <c r="I626">
        <v>501</v>
      </c>
      <c r="J626" t="s">
        <v>10</v>
      </c>
      <c r="K626" t="s">
        <v>11</v>
      </c>
      <c r="L626">
        <v>21</v>
      </c>
      <c r="M626">
        <v>6</v>
      </c>
      <c r="N626">
        <v>0.28000000000000003</v>
      </c>
      <c r="O626">
        <v>2116</v>
      </c>
    </row>
    <row r="627" spans="1:15" x14ac:dyDescent="0.2">
      <c r="A627">
        <v>63</v>
      </c>
      <c r="B627" t="str">
        <f>VLOOKUP(Table1[[#This Row],[CountyID]],[1]!Table1[#All],2,FALSE)</f>
        <v>Red Lake</v>
      </c>
      <c r="C627">
        <f>VLOOKUP(Table1[[#This Row],[CountyID]],[1]!Table1[#All],3,FALSE)</f>
        <v>21</v>
      </c>
      <c r="D627">
        <v>21</v>
      </c>
      <c r="E627">
        <f>Table1[[#This Row],[Number of Counties]]-Table1[[#This Row],[Number of precincts Reporting]]</f>
        <v>0</v>
      </c>
      <c r="F627" t="s">
        <v>0</v>
      </c>
      <c r="G627" t="s">
        <v>1</v>
      </c>
      <c r="H627">
        <v>101</v>
      </c>
      <c r="I627">
        <v>601</v>
      </c>
      <c r="J627" t="s">
        <v>12</v>
      </c>
      <c r="K627" t="s">
        <v>13</v>
      </c>
      <c r="L627">
        <v>21</v>
      </c>
      <c r="M627">
        <v>0</v>
      </c>
      <c r="N627">
        <v>0</v>
      </c>
      <c r="O627">
        <v>2116</v>
      </c>
    </row>
    <row r="628" spans="1:15" x14ac:dyDescent="0.2">
      <c r="A628">
        <v>63</v>
      </c>
      <c r="B628" t="str">
        <f>VLOOKUP(Table1[[#This Row],[CountyID]],[1]!Table1[#All],2,FALSE)</f>
        <v>Red Lake</v>
      </c>
      <c r="C628">
        <f>VLOOKUP(Table1[[#This Row],[CountyID]],[1]!Table1[#All],3,FALSE)</f>
        <v>21</v>
      </c>
      <c r="D628">
        <v>21</v>
      </c>
      <c r="E628">
        <f>Table1[[#This Row],[Number of Counties]]-Table1[[#This Row],[Number of precincts Reporting]]</f>
        <v>0</v>
      </c>
      <c r="F628" t="s">
        <v>0</v>
      </c>
      <c r="G628" t="s">
        <v>1</v>
      </c>
      <c r="H628">
        <v>101</v>
      </c>
      <c r="I628">
        <v>701</v>
      </c>
      <c r="J628" t="s">
        <v>14</v>
      </c>
      <c r="K628" t="s">
        <v>15</v>
      </c>
      <c r="L628">
        <v>21</v>
      </c>
      <c r="M628">
        <v>1</v>
      </c>
      <c r="N628">
        <v>0.05</v>
      </c>
      <c r="O628">
        <v>2116</v>
      </c>
    </row>
    <row r="629" spans="1:15" x14ac:dyDescent="0.2">
      <c r="A629">
        <v>63</v>
      </c>
      <c r="B629" t="str">
        <f>VLOOKUP(Table1[[#This Row],[CountyID]],[1]!Table1[#All],2,FALSE)</f>
        <v>Red Lake</v>
      </c>
      <c r="C629">
        <f>VLOOKUP(Table1[[#This Row],[CountyID]],[1]!Table1[#All],3,FALSE)</f>
        <v>21</v>
      </c>
      <c r="D629">
        <v>21</v>
      </c>
      <c r="E629">
        <f>Table1[[#This Row],[Number of Counties]]-Table1[[#This Row],[Number of precincts Reporting]]</f>
        <v>0</v>
      </c>
      <c r="F629" t="s">
        <v>0</v>
      </c>
      <c r="G629" t="s">
        <v>1</v>
      </c>
      <c r="H629">
        <v>101</v>
      </c>
      <c r="I629">
        <v>801</v>
      </c>
      <c r="J629" t="s">
        <v>16</v>
      </c>
      <c r="K629" t="s">
        <v>17</v>
      </c>
      <c r="L629">
        <v>21</v>
      </c>
      <c r="M629">
        <v>0</v>
      </c>
      <c r="N629">
        <v>0</v>
      </c>
      <c r="O629">
        <v>2116</v>
      </c>
    </row>
    <row r="630" spans="1:15" x14ac:dyDescent="0.2">
      <c r="A630">
        <v>63</v>
      </c>
      <c r="B630" t="str">
        <f>VLOOKUP(Table1[[#This Row],[CountyID]],[1]!Table1[#All],2,FALSE)</f>
        <v>Red Lake</v>
      </c>
      <c r="C630">
        <f>VLOOKUP(Table1[[#This Row],[CountyID]],[1]!Table1[#All],3,FALSE)</f>
        <v>21</v>
      </c>
      <c r="D630">
        <v>21</v>
      </c>
      <c r="E630">
        <f>Table1[[#This Row],[Number of Counties]]-Table1[[#This Row],[Number of precincts Reporting]]</f>
        <v>0</v>
      </c>
      <c r="F630" t="s">
        <v>0</v>
      </c>
      <c r="G630" t="s">
        <v>1</v>
      </c>
      <c r="H630">
        <v>101</v>
      </c>
      <c r="I630">
        <v>901</v>
      </c>
      <c r="J630" t="s">
        <v>18</v>
      </c>
      <c r="K630" t="s">
        <v>19</v>
      </c>
      <c r="L630">
        <v>21</v>
      </c>
      <c r="M630">
        <v>1</v>
      </c>
      <c r="N630">
        <v>0.05</v>
      </c>
      <c r="O630">
        <v>2116</v>
      </c>
    </row>
    <row r="631" spans="1:15" x14ac:dyDescent="0.2">
      <c r="A631">
        <v>63</v>
      </c>
      <c r="B631" t="str">
        <f>VLOOKUP(Table1[[#This Row],[CountyID]],[1]!Table1[#All],2,FALSE)</f>
        <v>Red Lake</v>
      </c>
      <c r="C631">
        <f>VLOOKUP(Table1[[#This Row],[CountyID]],[1]!Table1[#All],3,FALSE)</f>
        <v>21</v>
      </c>
      <c r="D631">
        <v>21</v>
      </c>
      <c r="E631">
        <f>Table1[[#This Row],[Number of Counties]]-Table1[[#This Row],[Number of precincts Reporting]]</f>
        <v>0</v>
      </c>
      <c r="F631" t="s">
        <v>0</v>
      </c>
      <c r="G631" t="s">
        <v>1</v>
      </c>
      <c r="H631">
        <v>101</v>
      </c>
      <c r="I631">
        <v>9901</v>
      </c>
      <c r="J631" t="s">
        <v>20</v>
      </c>
      <c r="K631" t="s">
        <v>21</v>
      </c>
      <c r="L631">
        <v>21</v>
      </c>
      <c r="M631">
        <v>6</v>
      </c>
      <c r="N631">
        <v>0.28000000000000003</v>
      </c>
      <c r="O631">
        <v>2116</v>
      </c>
    </row>
    <row r="632" spans="1:15" x14ac:dyDescent="0.2">
      <c r="A632">
        <v>64</v>
      </c>
      <c r="B632" t="str">
        <f>VLOOKUP(Table1[[#This Row],[CountyID]],[1]!Table1[#All],2,FALSE)</f>
        <v>Redwood</v>
      </c>
      <c r="C632">
        <f>VLOOKUP(Table1[[#This Row],[CountyID]],[1]!Table1[#All],3,FALSE)</f>
        <v>42</v>
      </c>
      <c r="D632">
        <v>42</v>
      </c>
      <c r="E632">
        <f>Table1[[#This Row],[Number of Counties]]-Table1[[#This Row],[Number of precincts Reporting]]</f>
        <v>0</v>
      </c>
      <c r="F632" t="s">
        <v>0</v>
      </c>
      <c r="G632" t="s">
        <v>1</v>
      </c>
      <c r="H632">
        <v>101</v>
      </c>
      <c r="I632">
        <v>101</v>
      </c>
      <c r="J632" t="s">
        <v>2</v>
      </c>
      <c r="K632" t="s">
        <v>3</v>
      </c>
      <c r="L632">
        <v>42</v>
      </c>
      <c r="M632">
        <v>5895</v>
      </c>
      <c r="N632">
        <v>70.8</v>
      </c>
      <c r="O632">
        <v>8326</v>
      </c>
    </row>
    <row r="633" spans="1:15" x14ac:dyDescent="0.2">
      <c r="A633">
        <v>64</v>
      </c>
      <c r="B633" t="str">
        <f>VLOOKUP(Table1[[#This Row],[CountyID]],[1]!Table1[#All],2,FALSE)</f>
        <v>Redwood</v>
      </c>
      <c r="C633">
        <f>VLOOKUP(Table1[[#This Row],[CountyID]],[1]!Table1[#All],3,FALSE)</f>
        <v>42</v>
      </c>
      <c r="D633">
        <v>42</v>
      </c>
      <c r="E633">
        <f>Table1[[#This Row],[Number of Counties]]-Table1[[#This Row],[Number of precincts Reporting]]</f>
        <v>0</v>
      </c>
      <c r="F633" t="s">
        <v>0</v>
      </c>
      <c r="G633" t="s">
        <v>1</v>
      </c>
      <c r="H633">
        <v>101</v>
      </c>
      <c r="I633">
        <v>201</v>
      </c>
      <c r="J633" t="s">
        <v>4</v>
      </c>
      <c r="K633" t="s">
        <v>5</v>
      </c>
      <c r="L633">
        <v>42</v>
      </c>
      <c r="M633">
        <v>2300</v>
      </c>
      <c r="N633">
        <v>27.62</v>
      </c>
      <c r="O633">
        <v>8326</v>
      </c>
    </row>
    <row r="634" spans="1:15" x14ac:dyDescent="0.2">
      <c r="A634">
        <v>64</v>
      </c>
      <c r="B634" t="str">
        <f>VLOOKUP(Table1[[#This Row],[CountyID]],[1]!Table1[#All],2,FALSE)</f>
        <v>Redwood</v>
      </c>
      <c r="C634">
        <f>VLOOKUP(Table1[[#This Row],[CountyID]],[1]!Table1[#All],3,FALSE)</f>
        <v>42</v>
      </c>
      <c r="D634">
        <v>42</v>
      </c>
      <c r="E634">
        <f>Table1[[#This Row],[Number of Counties]]-Table1[[#This Row],[Number of precincts Reporting]]</f>
        <v>0</v>
      </c>
      <c r="F634" t="s">
        <v>0</v>
      </c>
      <c r="G634" t="s">
        <v>1</v>
      </c>
      <c r="H634">
        <v>101</v>
      </c>
      <c r="I634">
        <v>301</v>
      </c>
      <c r="J634" t="s">
        <v>6</v>
      </c>
      <c r="K634" t="s">
        <v>7</v>
      </c>
      <c r="L634">
        <v>42</v>
      </c>
      <c r="M634">
        <v>24</v>
      </c>
      <c r="N634">
        <v>0.28999999999999998</v>
      </c>
      <c r="O634">
        <v>8326</v>
      </c>
    </row>
    <row r="635" spans="1:15" x14ac:dyDescent="0.2">
      <c r="A635">
        <v>64</v>
      </c>
      <c r="B635" t="str">
        <f>VLOOKUP(Table1[[#This Row],[CountyID]],[1]!Table1[#All],2,FALSE)</f>
        <v>Redwood</v>
      </c>
      <c r="C635">
        <f>VLOOKUP(Table1[[#This Row],[CountyID]],[1]!Table1[#All],3,FALSE)</f>
        <v>42</v>
      </c>
      <c r="D635">
        <v>42</v>
      </c>
      <c r="E635">
        <f>Table1[[#This Row],[Number of Counties]]-Table1[[#This Row],[Number of precincts Reporting]]</f>
        <v>0</v>
      </c>
      <c r="F635" t="s">
        <v>0</v>
      </c>
      <c r="G635" t="s">
        <v>1</v>
      </c>
      <c r="H635">
        <v>101</v>
      </c>
      <c r="I635">
        <v>401</v>
      </c>
      <c r="J635" t="s">
        <v>8</v>
      </c>
      <c r="K635" t="s">
        <v>9</v>
      </c>
      <c r="L635">
        <v>42</v>
      </c>
      <c r="M635">
        <v>65</v>
      </c>
      <c r="N635">
        <v>0.78</v>
      </c>
      <c r="O635">
        <v>8326</v>
      </c>
    </row>
    <row r="636" spans="1:15" x14ac:dyDescent="0.2">
      <c r="A636">
        <v>64</v>
      </c>
      <c r="B636" t="str">
        <f>VLOOKUP(Table1[[#This Row],[CountyID]],[1]!Table1[#All],2,FALSE)</f>
        <v>Redwood</v>
      </c>
      <c r="C636">
        <f>VLOOKUP(Table1[[#This Row],[CountyID]],[1]!Table1[#All],3,FALSE)</f>
        <v>42</v>
      </c>
      <c r="D636">
        <v>42</v>
      </c>
      <c r="E636">
        <f>Table1[[#This Row],[Number of Counties]]-Table1[[#This Row],[Number of precincts Reporting]]</f>
        <v>0</v>
      </c>
      <c r="F636" t="s">
        <v>0</v>
      </c>
      <c r="G636" t="s">
        <v>1</v>
      </c>
      <c r="H636">
        <v>101</v>
      </c>
      <c r="I636">
        <v>501</v>
      </c>
      <c r="J636" t="s">
        <v>10</v>
      </c>
      <c r="K636" t="s">
        <v>11</v>
      </c>
      <c r="L636">
        <v>42</v>
      </c>
      <c r="M636">
        <v>8</v>
      </c>
      <c r="N636">
        <v>0.1</v>
      </c>
      <c r="O636">
        <v>8326</v>
      </c>
    </row>
    <row r="637" spans="1:15" x14ac:dyDescent="0.2">
      <c r="A637">
        <v>64</v>
      </c>
      <c r="B637" t="str">
        <f>VLOOKUP(Table1[[#This Row],[CountyID]],[1]!Table1[#All],2,FALSE)</f>
        <v>Redwood</v>
      </c>
      <c r="C637">
        <f>VLOOKUP(Table1[[#This Row],[CountyID]],[1]!Table1[#All],3,FALSE)</f>
        <v>42</v>
      </c>
      <c r="D637">
        <v>42</v>
      </c>
      <c r="E637">
        <f>Table1[[#This Row],[Number of Counties]]-Table1[[#This Row],[Number of precincts Reporting]]</f>
        <v>0</v>
      </c>
      <c r="F637" t="s">
        <v>0</v>
      </c>
      <c r="G637" t="s">
        <v>1</v>
      </c>
      <c r="H637">
        <v>101</v>
      </c>
      <c r="I637">
        <v>601</v>
      </c>
      <c r="J637" t="s">
        <v>12</v>
      </c>
      <c r="K637" t="s">
        <v>13</v>
      </c>
      <c r="L637">
        <v>42</v>
      </c>
      <c r="M637">
        <v>1</v>
      </c>
      <c r="N637">
        <v>0.01</v>
      </c>
      <c r="O637">
        <v>8326</v>
      </c>
    </row>
    <row r="638" spans="1:15" x14ac:dyDescent="0.2">
      <c r="A638">
        <v>64</v>
      </c>
      <c r="B638" t="str">
        <f>VLOOKUP(Table1[[#This Row],[CountyID]],[1]!Table1[#All],2,FALSE)</f>
        <v>Redwood</v>
      </c>
      <c r="C638">
        <f>VLOOKUP(Table1[[#This Row],[CountyID]],[1]!Table1[#All],3,FALSE)</f>
        <v>42</v>
      </c>
      <c r="D638">
        <v>42</v>
      </c>
      <c r="E638">
        <f>Table1[[#This Row],[Number of Counties]]-Table1[[#This Row],[Number of precincts Reporting]]</f>
        <v>0</v>
      </c>
      <c r="F638" t="s">
        <v>0</v>
      </c>
      <c r="G638" t="s">
        <v>1</v>
      </c>
      <c r="H638">
        <v>101</v>
      </c>
      <c r="I638">
        <v>701</v>
      </c>
      <c r="J638" t="s">
        <v>14</v>
      </c>
      <c r="K638" t="s">
        <v>15</v>
      </c>
      <c r="L638">
        <v>42</v>
      </c>
      <c r="M638">
        <v>0</v>
      </c>
      <c r="N638">
        <v>0</v>
      </c>
      <c r="O638">
        <v>8326</v>
      </c>
    </row>
    <row r="639" spans="1:15" x14ac:dyDescent="0.2">
      <c r="A639">
        <v>64</v>
      </c>
      <c r="B639" t="str">
        <f>VLOOKUP(Table1[[#This Row],[CountyID]],[1]!Table1[#All],2,FALSE)</f>
        <v>Redwood</v>
      </c>
      <c r="C639">
        <f>VLOOKUP(Table1[[#This Row],[CountyID]],[1]!Table1[#All],3,FALSE)</f>
        <v>42</v>
      </c>
      <c r="D639">
        <v>42</v>
      </c>
      <c r="E639">
        <f>Table1[[#This Row],[Number of Counties]]-Table1[[#This Row],[Number of precincts Reporting]]</f>
        <v>0</v>
      </c>
      <c r="F639" t="s">
        <v>0</v>
      </c>
      <c r="G639" t="s">
        <v>1</v>
      </c>
      <c r="H639">
        <v>101</v>
      </c>
      <c r="I639">
        <v>801</v>
      </c>
      <c r="J639" t="s">
        <v>16</v>
      </c>
      <c r="K639" t="s">
        <v>17</v>
      </c>
      <c r="L639">
        <v>42</v>
      </c>
      <c r="M639">
        <v>3</v>
      </c>
      <c r="N639">
        <v>0.04</v>
      </c>
      <c r="O639">
        <v>8326</v>
      </c>
    </row>
    <row r="640" spans="1:15" x14ac:dyDescent="0.2">
      <c r="A640">
        <v>64</v>
      </c>
      <c r="B640" t="str">
        <f>VLOOKUP(Table1[[#This Row],[CountyID]],[1]!Table1[#All],2,FALSE)</f>
        <v>Redwood</v>
      </c>
      <c r="C640">
        <f>VLOOKUP(Table1[[#This Row],[CountyID]],[1]!Table1[#All],3,FALSE)</f>
        <v>42</v>
      </c>
      <c r="D640">
        <v>42</v>
      </c>
      <c r="E640">
        <f>Table1[[#This Row],[Number of Counties]]-Table1[[#This Row],[Number of precincts Reporting]]</f>
        <v>0</v>
      </c>
      <c r="F640" t="s">
        <v>0</v>
      </c>
      <c r="G640" t="s">
        <v>1</v>
      </c>
      <c r="H640">
        <v>101</v>
      </c>
      <c r="I640">
        <v>901</v>
      </c>
      <c r="J640" t="s">
        <v>18</v>
      </c>
      <c r="K640" t="s">
        <v>19</v>
      </c>
      <c r="L640">
        <v>42</v>
      </c>
      <c r="M640">
        <v>3</v>
      </c>
      <c r="N640">
        <v>0.04</v>
      </c>
      <c r="O640">
        <v>8326</v>
      </c>
    </row>
    <row r="641" spans="1:15" x14ac:dyDescent="0.2">
      <c r="A641">
        <v>64</v>
      </c>
      <c r="B641" t="str">
        <f>VLOOKUP(Table1[[#This Row],[CountyID]],[1]!Table1[#All],2,FALSE)</f>
        <v>Redwood</v>
      </c>
      <c r="C641">
        <f>VLOOKUP(Table1[[#This Row],[CountyID]],[1]!Table1[#All],3,FALSE)</f>
        <v>42</v>
      </c>
      <c r="D641">
        <v>42</v>
      </c>
      <c r="E641">
        <f>Table1[[#This Row],[Number of Counties]]-Table1[[#This Row],[Number of precincts Reporting]]</f>
        <v>0</v>
      </c>
      <c r="F641" t="s">
        <v>0</v>
      </c>
      <c r="G641" t="s">
        <v>1</v>
      </c>
      <c r="H641">
        <v>101</v>
      </c>
      <c r="I641">
        <v>9901</v>
      </c>
      <c r="J641" t="s">
        <v>20</v>
      </c>
      <c r="K641" t="s">
        <v>21</v>
      </c>
      <c r="L641">
        <v>42</v>
      </c>
      <c r="M641">
        <v>27</v>
      </c>
      <c r="N641">
        <v>0.32</v>
      </c>
      <c r="O641">
        <v>8326</v>
      </c>
    </row>
    <row r="642" spans="1:15" x14ac:dyDescent="0.2">
      <c r="A642">
        <v>65</v>
      </c>
      <c r="B642" t="str">
        <f>VLOOKUP(Table1[[#This Row],[CountyID]],[1]!Table1[#All],2,FALSE)</f>
        <v>Renville</v>
      </c>
      <c r="C642">
        <f>VLOOKUP(Table1[[#This Row],[CountyID]],[1]!Table1[#All],3,FALSE)</f>
        <v>37</v>
      </c>
      <c r="D642">
        <v>37</v>
      </c>
      <c r="E642">
        <f>Table1[[#This Row],[Number of Counties]]-Table1[[#This Row],[Number of precincts Reporting]]</f>
        <v>0</v>
      </c>
      <c r="F642" t="s">
        <v>0</v>
      </c>
      <c r="G642" t="s">
        <v>1</v>
      </c>
      <c r="H642">
        <v>101</v>
      </c>
      <c r="I642">
        <v>101</v>
      </c>
      <c r="J642" t="s">
        <v>2</v>
      </c>
      <c r="K642" t="s">
        <v>3</v>
      </c>
      <c r="L642">
        <v>37</v>
      </c>
      <c r="M642">
        <v>5610</v>
      </c>
      <c r="N642">
        <v>69.62</v>
      </c>
      <c r="O642">
        <v>8058</v>
      </c>
    </row>
    <row r="643" spans="1:15" x14ac:dyDescent="0.2">
      <c r="A643">
        <v>65</v>
      </c>
      <c r="B643" t="str">
        <f>VLOOKUP(Table1[[#This Row],[CountyID]],[1]!Table1[#All],2,FALSE)</f>
        <v>Renville</v>
      </c>
      <c r="C643">
        <f>VLOOKUP(Table1[[#This Row],[CountyID]],[1]!Table1[#All],3,FALSE)</f>
        <v>37</v>
      </c>
      <c r="D643">
        <v>37</v>
      </c>
      <c r="E643">
        <f>Table1[[#This Row],[Number of Counties]]-Table1[[#This Row],[Number of precincts Reporting]]</f>
        <v>0</v>
      </c>
      <c r="F643" t="s">
        <v>0</v>
      </c>
      <c r="G643" t="s">
        <v>1</v>
      </c>
      <c r="H643">
        <v>101</v>
      </c>
      <c r="I643">
        <v>201</v>
      </c>
      <c r="J643" t="s">
        <v>4</v>
      </c>
      <c r="K643" t="s">
        <v>5</v>
      </c>
      <c r="L643">
        <v>37</v>
      </c>
      <c r="M643">
        <v>2280</v>
      </c>
      <c r="N643">
        <v>28.29</v>
      </c>
      <c r="O643">
        <v>8058</v>
      </c>
    </row>
    <row r="644" spans="1:15" x14ac:dyDescent="0.2">
      <c r="A644">
        <v>65</v>
      </c>
      <c r="B644" t="str">
        <f>VLOOKUP(Table1[[#This Row],[CountyID]],[1]!Table1[#All],2,FALSE)</f>
        <v>Renville</v>
      </c>
      <c r="C644">
        <f>VLOOKUP(Table1[[#This Row],[CountyID]],[1]!Table1[#All],3,FALSE)</f>
        <v>37</v>
      </c>
      <c r="D644">
        <v>37</v>
      </c>
      <c r="E644">
        <f>Table1[[#This Row],[Number of Counties]]-Table1[[#This Row],[Number of precincts Reporting]]</f>
        <v>0</v>
      </c>
      <c r="F644" t="s">
        <v>0</v>
      </c>
      <c r="G644" t="s">
        <v>1</v>
      </c>
      <c r="H644">
        <v>101</v>
      </c>
      <c r="I644">
        <v>301</v>
      </c>
      <c r="J644" t="s">
        <v>6</v>
      </c>
      <c r="K644" t="s">
        <v>7</v>
      </c>
      <c r="L644">
        <v>37</v>
      </c>
      <c r="M644">
        <v>30</v>
      </c>
      <c r="N644">
        <v>0.37</v>
      </c>
      <c r="O644">
        <v>8058</v>
      </c>
    </row>
    <row r="645" spans="1:15" x14ac:dyDescent="0.2">
      <c r="A645">
        <v>65</v>
      </c>
      <c r="B645" t="str">
        <f>VLOOKUP(Table1[[#This Row],[CountyID]],[1]!Table1[#All],2,FALSE)</f>
        <v>Renville</v>
      </c>
      <c r="C645">
        <f>VLOOKUP(Table1[[#This Row],[CountyID]],[1]!Table1[#All],3,FALSE)</f>
        <v>37</v>
      </c>
      <c r="D645">
        <v>37</v>
      </c>
      <c r="E645">
        <f>Table1[[#This Row],[Number of Counties]]-Table1[[#This Row],[Number of precincts Reporting]]</f>
        <v>0</v>
      </c>
      <c r="F645" t="s">
        <v>0</v>
      </c>
      <c r="G645" t="s">
        <v>1</v>
      </c>
      <c r="H645">
        <v>101</v>
      </c>
      <c r="I645">
        <v>401</v>
      </c>
      <c r="J645" t="s">
        <v>8</v>
      </c>
      <c r="K645" t="s">
        <v>9</v>
      </c>
      <c r="L645">
        <v>37</v>
      </c>
      <c r="M645">
        <v>87</v>
      </c>
      <c r="N645">
        <v>1.08</v>
      </c>
      <c r="O645">
        <v>8058</v>
      </c>
    </row>
    <row r="646" spans="1:15" x14ac:dyDescent="0.2">
      <c r="A646">
        <v>65</v>
      </c>
      <c r="B646" t="str">
        <f>VLOOKUP(Table1[[#This Row],[CountyID]],[1]!Table1[#All],2,FALSE)</f>
        <v>Renville</v>
      </c>
      <c r="C646">
        <f>VLOOKUP(Table1[[#This Row],[CountyID]],[1]!Table1[#All],3,FALSE)</f>
        <v>37</v>
      </c>
      <c r="D646">
        <v>37</v>
      </c>
      <c r="E646">
        <f>Table1[[#This Row],[Number of Counties]]-Table1[[#This Row],[Number of precincts Reporting]]</f>
        <v>0</v>
      </c>
      <c r="F646" t="s">
        <v>0</v>
      </c>
      <c r="G646" t="s">
        <v>1</v>
      </c>
      <c r="H646">
        <v>101</v>
      </c>
      <c r="I646">
        <v>501</v>
      </c>
      <c r="J646" t="s">
        <v>10</v>
      </c>
      <c r="K646" t="s">
        <v>11</v>
      </c>
      <c r="L646">
        <v>37</v>
      </c>
      <c r="M646">
        <v>16</v>
      </c>
      <c r="N646">
        <v>0.2</v>
      </c>
      <c r="O646">
        <v>8058</v>
      </c>
    </row>
    <row r="647" spans="1:15" x14ac:dyDescent="0.2">
      <c r="A647">
        <v>65</v>
      </c>
      <c r="B647" t="str">
        <f>VLOOKUP(Table1[[#This Row],[CountyID]],[1]!Table1[#All],2,FALSE)</f>
        <v>Renville</v>
      </c>
      <c r="C647">
        <f>VLOOKUP(Table1[[#This Row],[CountyID]],[1]!Table1[#All],3,FALSE)</f>
        <v>37</v>
      </c>
      <c r="D647">
        <v>37</v>
      </c>
      <c r="E647">
        <f>Table1[[#This Row],[Number of Counties]]-Table1[[#This Row],[Number of precincts Reporting]]</f>
        <v>0</v>
      </c>
      <c r="F647" t="s">
        <v>0</v>
      </c>
      <c r="G647" t="s">
        <v>1</v>
      </c>
      <c r="H647">
        <v>101</v>
      </c>
      <c r="I647">
        <v>601</v>
      </c>
      <c r="J647" t="s">
        <v>12</v>
      </c>
      <c r="K647" t="s">
        <v>13</v>
      </c>
      <c r="L647">
        <v>37</v>
      </c>
      <c r="M647">
        <v>4</v>
      </c>
      <c r="N647">
        <v>0.05</v>
      </c>
      <c r="O647">
        <v>8058</v>
      </c>
    </row>
    <row r="648" spans="1:15" x14ac:dyDescent="0.2">
      <c r="A648">
        <v>65</v>
      </c>
      <c r="B648" t="str">
        <f>VLOOKUP(Table1[[#This Row],[CountyID]],[1]!Table1[#All],2,FALSE)</f>
        <v>Renville</v>
      </c>
      <c r="C648">
        <f>VLOOKUP(Table1[[#This Row],[CountyID]],[1]!Table1[#All],3,FALSE)</f>
        <v>37</v>
      </c>
      <c r="D648">
        <v>37</v>
      </c>
      <c r="E648">
        <f>Table1[[#This Row],[Number of Counties]]-Table1[[#This Row],[Number of precincts Reporting]]</f>
        <v>0</v>
      </c>
      <c r="F648" t="s">
        <v>0</v>
      </c>
      <c r="G648" t="s">
        <v>1</v>
      </c>
      <c r="H648">
        <v>101</v>
      </c>
      <c r="I648">
        <v>701</v>
      </c>
      <c r="J648" t="s">
        <v>14</v>
      </c>
      <c r="K648" t="s">
        <v>15</v>
      </c>
      <c r="L648">
        <v>37</v>
      </c>
      <c r="M648">
        <v>0</v>
      </c>
      <c r="N648">
        <v>0</v>
      </c>
      <c r="O648">
        <v>8058</v>
      </c>
    </row>
    <row r="649" spans="1:15" x14ac:dyDescent="0.2">
      <c r="A649">
        <v>65</v>
      </c>
      <c r="B649" t="str">
        <f>VLOOKUP(Table1[[#This Row],[CountyID]],[1]!Table1[#All],2,FALSE)</f>
        <v>Renville</v>
      </c>
      <c r="C649">
        <f>VLOOKUP(Table1[[#This Row],[CountyID]],[1]!Table1[#All],3,FALSE)</f>
        <v>37</v>
      </c>
      <c r="D649">
        <v>37</v>
      </c>
      <c r="E649">
        <f>Table1[[#This Row],[Number of Counties]]-Table1[[#This Row],[Number of precincts Reporting]]</f>
        <v>0</v>
      </c>
      <c r="F649" t="s">
        <v>0</v>
      </c>
      <c r="G649" t="s">
        <v>1</v>
      </c>
      <c r="H649">
        <v>101</v>
      </c>
      <c r="I649">
        <v>801</v>
      </c>
      <c r="J649" t="s">
        <v>16</v>
      </c>
      <c r="K649" t="s">
        <v>17</v>
      </c>
      <c r="L649">
        <v>37</v>
      </c>
      <c r="M649">
        <v>3</v>
      </c>
      <c r="N649">
        <v>0.04</v>
      </c>
      <c r="O649">
        <v>8058</v>
      </c>
    </row>
    <row r="650" spans="1:15" x14ac:dyDescent="0.2">
      <c r="A650">
        <v>65</v>
      </c>
      <c r="B650" t="str">
        <f>VLOOKUP(Table1[[#This Row],[CountyID]],[1]!Table1[#All],2,FALSE)</f>
        <v>Renville</v>
      </c>
      <c r="C650">
        <f>VLOOKUP(Table1[[#This Row],[CountyID]],[1]!Table1[#All],3,FALSE)</f>
        <v>37</v>
      </c>
      <c r="D650">
        <v>37</v>
      </c>
      <c r="E650">
        <f>Table1[[#This Row],[Number of Counties]]-Table1[[#This Row],[Number of precincts Reporting]]</f>
        <v>0</v>
      </c>
      <c r="F650" t="s">
        <v>0</v>
      </c>
      <c r="G650" t="s">
        <v>1</v>
      </c>
      <c r="H650">
        <v>101</v>
      </c>
      <c r="I650">
        <v>901</v>
      </c>
      <c r="J650" t="s">
        <v>18</v>
      </c>
      <c r="K650" t="s">
        <v>19</v>
      </c>
      <c r="L650">
        <v>37</v>
      </c>
      <c r="M650">
        <v>12</v>
      </c>
      <c r="N650">
        <v>0.15</v>
      </c>
      <c r="O650">
        <v>8058</v>
      </c>
    </row>
    <row r="651" spans="1:15" x14ac:dyDescent="0.2">
      <c r="A651">
        <v>65</v>
      </c>
      <c r="B651" t="str">
        <f>VLOOKUP(Table1[[#This Row],[CountyID]],[1]!Table1[#All],2,FALSE)</f>
        <v>Renville</v>
      </c>
      <c r="C651">
        <f>VLOOKUP(Table1[[#This Row],[CountyID]],[1]!Table1[#All],3,FALSE)</f>
        <v>37</v>
      </c>
      <c r="D651">
        <v>37</v>
      </c>
      <c r="E651">
        <f>Table1[[#This Row],[Number of Counties]]-Table1[[#This Row],[Number of precincts Reporting]]</f>
        <v>0</v>
      </c>
      <c r="F651" t="s">
        <v>0</v>
      </c>
      <c r="G651" t="s">
        <v>1</v>
      </c>
      <c r="H651">
        <v>101</v>
      </c>
      <c r="I651">
        <v>9901</v>
      </c>
      <c r="J651" t="s">
        <v>20</v>
      </c>
      <c r="K651" t="s">
        <v>21</v>
      </c>
      <c r="L651">
        <v>37</v>
      </c>
      <c r="M651">
        <v>16</v>
      </c>
      <c r="N651">
        <v>0.2</v>
      </c>
      <c r="O651">
        <v>8058</v>
      </c>
    </row>
    <row r="652" spans="1:15" x14ac:dyDescent="0.2">
      <c r="A652">
        <v>66</v>
      </c>
      <c r="B652" t="str">
        <f>VLOOKUP(Table1[[#This Row],[CountyID]],[1]!Table1[#All],2,FALSE)</f>
        <v>Rice</v>
      </c>
      <c r="C652">
        <f>VLOOKUP(Table1[[#This Row],[CountyID]],[1]!Table1[#All],3,FALSE)</f>
        <v>31</v>
      </c>
      <c r="D652">
        <v>31</v>
      </c>
      <c r="E652">
        <f>Table1[[#This Row],[Number of Counties]]-Table1[[#This Row],[Number of precincts Reporting]]</f>
        <v>0</v>
      </c>
      <c r="F652" t="s">
        <v>0</v>
      </c>
      <c r="G652" t="s">
        <v>1</v>
      </c>
      <c r="H652">
        <v>101</v>
      </c>
      <c r="I652">
        <v>101</v>
      </c>
      <c r="J652" t="s">
        <v>2</v>
      </c>
      <c r="K652" t="s">
        <v>3</v>
      </c>
      <c r="L652">
        <v>31</v>
      </c>
      <c r="M652">
        <v>18264</v>
      </c>
      <c r="N652">
        <v>50.16</v>
      </c>
      <c r="O652">
        <v>36412</v>
      </c>
    </row>
    <row r="653" spans="1:15" x14ac:dyDescent="0.2">
      <c r="A653">
        <v>66</v>
      </c>
      <c r="B653" t="str">
        <f>VLOOKUP(Table1[[#This Row],[CountyID]],[1]!Table1[#All],2,FALSE)</f>
        <v>Rice</v>
      </c>
      <c r="C653">
        <f>VLOOKUP(Table1[[#This Row],[CountyID]],[1]!Table1[#All],3,FALSE)</f>
        <v>31</v>
      </c>
      <c r="D653">
        <v>31</v>
      </c>
      <c r="E653">
        <f>Table1[[#This Row],[Number of Counties]]-Table1[[#This Row],[Number of precincts Reporting]]</f>
        <v>0</v>
      </c>
      <c r="F653" t="s">
        <v>0</v>
      </c>
      <c r="G653" t="s">
        <v>1</v>
      </c>
      <c r="H653">
        <v>101</v>
      </c>
      <c r="I653">
        <v>201</v>
      </c>
      <c r="J653" t="s">
        <v>4</v>
      </c>
      <c r="K653" t="s">
        <v>5</v>
      </c>
      <c r="L653">
        <v>31</v>
      </c>
      <c r="M653">
        <v>17353</v>
      </c>
      <c r="N653">
        <v>47.66</v>
      </c>
      <c r="O653">
        <v>36412</v>
      </c>
    </row>
    <row r="654" spans="1:15" x14ac:dyDescent="0.2">
      <c r="A654">
        <v>66</v>
      </c>
      <c r="B654" t="str">
        <f>VLOOKUP(Table1[[#This Row],[CountyID]],[1]!Table1[#All],2,FALSE)</f>
        <v>Rice</v>
      </c>
      <c r="C654">
        <f>VLOOKUP(Table1[[#This Row],[CountyID]],[1]!Table1[#All],3,FALSE)</f>
        <v>31</v>
      </c>
      <c r="D654">
        <v>31</v>
      </c>
      <c r="E654">
        <f>Table1[[#This Row],[Number of Counties]]-Table1[[#This Row],[Number of precincts Reporting]]</f>
        <v>0</v>
      </c>
      <c r="F654" t="s">
        <v>0</v>
      </c>
      <c r="G654" t="s">
        <v>1</v>
      </c>
      <c r="H654">
        <v>101</v>
      </c>
      <c r="I654">
        <v>301</v>
      </c>
      <c r="J654" t="s">
        <v>6</v>
      </c>
      <c r="K654" t="s">
        <v>7</v>
      </c>
      <c r="L654">
        <v>31</v>
      </c>
      <c r="M654">
        <v>155</v>
      </c>
      <c r="N654">
        <v>0.43</v>
      </c>
      <c r="O654">
        <v>36412</v>
      </c>
    </row>
    <row r="655" spans="1:15" x14ac:dyDescent="0.2">
      <c r="A655">
        <v>66</v>
      </c>
      <c r="B655" t="str">
        <f>VLOOKUP(Table1[[#This Row],[CountyID]],[1]!Table1[#All],2,FALSE)</f>
        <v>Rice</v>
      </c>
      <c r="C655">
        <f>VLOOKUP(Table1[[#This Row],[CountyID]],[1]!Table1[#All],3,FALSE)</f>
        <v>31</v>
      </c>
      <c r="D655">
        <v>31</v>
      </c>
      <c r="E655">
        <f>Table1[[#This Row],[Number of Counties]]-Table1[[#This Row],[Number of precincts Reporting]]</f>
        <v>0</v>
      </c>
      <c r="F655" t="s">
        <v>0</v>
      </c>
      <c r="G655" t="s">
        <v>1</v>
      </c>
      <c r="H655">
        <v>101</v>
      </c>
      <c r="I655">
        <v>401</v>
      </c>
      <c r="J655" t="s">
        <v>8</v>
      </c>
      <c r="K655" t="s">
        <v>9</v>
      </c>
      <c r="L655">
        <v>31</v>
      </c>
      <c r="M655">
        <v>289</v>
      </c>
      <c r="N655">
        <v>0.79</v>
      </c>
      <c r="O655">
        <v>36412</v>
      </c>
    </row>
    <row r="656" spans="1:15" x14ac:dyDescent="0.2">
      <c r="A656">
        <v>66</v>
      </c>
      <c r="B656" t="str">
        <f>VLOOKUP(Table1[[#This Row],[CountyID]],[1]!Table1[#All],2,FALSE)</f>
        <v>Rice</v>
      </c>
      <c r="C656">
        <f>VLOOKUP(Table1[[#This Row],[CountyID]],[1]!Table1[#All],3,FALSE)</f>
        <v>31</v>
      </c>
      <c r="D656">
        <v>31</v>
      </c>
      <c r="E656">
        <f>Table1[[#This Row],[Number of Counties]]-Table1[[#This Row],[Number of precincts Reporting]]</f>
        <v>0</v>
      </c>
      <c r="F656" t="s">
        <v>0</v>
      </c>
      <c r="G656" t="s">
        <v>1</v>
      </c>
      <c r="H656">
        <v>101</v>
      </c>
      <c r="I656">
        <v>501</v>
      </c>
      <c r="J656" t="s">
        <v>10</v>
      </c>
      <c r="K656" t="s">
        <v>11</v>
      </c>
      <c r="L656">
        <v>31</v>
      </c>
      <c r="M656">
        <v>139</v>
      </c>
      <c r="N656">
        <v>0.38</v>
      </c>
      <c r="O656">
        <v>36412</v>
      </c>
    </row>
    <row r="657" spans="1:15" x14ac:dyDescent="0.2">
      <c r="A657">
        <v>66</v>
      </c>
      <c r="B657" t="str">
        <f>VLOOKUP(Table1[[#This Row],[CountyID]],[1]!Table1[#All],2,FALSE)</f>
        <v>Rice</v>
      </c>
      <c r="C657">
        <f>VLOOKUP(Table1[[#This Row],[CountyID]],[1]!Table1[#All],3,FALSE)</f>
        <v>31</v>
      </c>
      <c r="D657">
        <v>31</v>
      </c>
      <c r="E657">
        <f>Table1[[#This Row],[Number of Counties]]-Table1[[#This Row],[Number of precincts Reporting]]</f>
        <v>0</v>
      </c>
      <c r="F657" t="s">
        <v>0</v>
      </c>
      <c r="G657" t="s">
        <v>1</v>
      </c>
      <c r="H657">
        <v>101</v>
      </c>
      <c r="I657">
        <v>601</v>
      </c>
      <c r="J657" t="s">
        <v>12</v>
      </c>
      <c r="K657" t="s">
        <v>13</v>
      </c>
      <c r="L657">
        <v>31</v>
      </c>
      <c r="M657">
        <v>25</v>
      </c>
      <c r="N657">
        <v>7.0000000000000007E-2</v>
      </c>
      <c r="O657">
        <v>36412</v>
      </c>
    </row>
    <row r="658" spans="1:15" x14ac:dyDescent="0.2">
      <c r="A658">
        <v>66</v>
      </c>
      <c r="B658" t="str">
        <f>VLOOKUP(Table1[[#This Row],[CountyID]],[1]!Table1[#All],2,FALSE)</f>
        <v>Rice</v>
      </c>
      <c r="C658">
        <f>VLOOKUP(Table1[[#This Row],[CountyID]],[1]!Table1[#All],3,FALSE)</f>
        <v>31</v>
      </c>
      <c r="D658">
        <v>31</v>
      </c>
      <c r="E658">
        <f>Table1[[#This Row],[Number of Counties]]-Table1[[#This Row],[Number of precincts Reporting]]</f>
        <v>0</v>
      </c>
      <c r="F658" t="s">
        <v>0</v>
      </c>
      <c r="G658" t="s">
        <v>1</v>
      </c>
      <c r="H658">
        <v>101</v>
      </c>
      <c r="I658">
        <v>701</v>
      </c>
      <c r="J658" t="s">
        <v>14</v>
      </c>
      <c r="K658" t="s">
        <v>15</v>
      </c>
      <c r="L658">
        <v>31</v>
      </c>
      <c r="M658">
        <v>4</v>
      </c>
      <c r="N658">
        <v>0.01</v>
      </c>
      <c r="O658">
        <v>36412</v>
      </c>
    </row>
    <row r="659" spans="1:15" x14ac:dyDescent="0.2">
      <c r="A659">
        <v>66</v>
      </c>
      <c r="B659" t="str">
        <f>VLOOKUP(Table1[[#This Row],[CountyID]],[1]!Table1[#All],2,FALSE)</f>
        <v>Rice</v>
      </c>
      <c r="C659">
        <f>VLOOKUP(Table1[[#This Row],[CountyID]],[1]!Table1[#All],3,FALSE)</f>
        <v>31</v>
      </c>
      <c r="D659">
        <v>31</v>
      </c>
      <c r="E659">
        <f>Table1[[#This Row],[Number of Counties]]-Table1[[#This Row],[Number of precincts Reporting]]</f>
        <v>0</v>
      </c>
      <c r="F659" t="s">
        <v>0</v>
      </c>
      <c r="G659" t="s">
        <v>1</v>
      </c>
      <c r="H659">
        <v>101</v>
      </c>
      <c r="I659">
        <v>801</v>
      </c>
      <c r="J659" t="s">
        <v>16</v>
      </c>
      <c r="K659" t="s">
        <v>17</v>
      </c>
      <c r="L659">
        <v>31</v>
      </c>
      <c r="M659">
        <v>21</v>
      </c>
      <c r="N659">
        <v>0.06</v>
      </c>
      <c r="O659">
        <v>36412</v>
      </c>
    </row>
    <row r="660" spans="1:15" x14ac:dyDescent="0.2">
      <c r="A660">
        <v>66</v>
      </c>
      <c r="B660" t="str">
        <f>VLOOKUP(Table1[[#This Row],[CountyID]],[1]!Table1[#All],2,FALSE)</f>
        <v>Rice</v>
      </c>
      <c r="C660">
        <f>VLOOKUP(Table1[[#This Row],[CountyID]],[1]!Table1[#All],3,FALSE)</f>
        <v>31</v>
      </c>
      <c r="D660">
        <v>31</v>
      </c>
      <c r="E660">
        <f>Table1[[#This Row],[Number of Counties]]-Table1[[#This Row],[Number of precincts Reporting]]</f>
        <v>0</v>
      </c>
      <c r="F660" t="s">
        <v>0</v>
      </c>
      <c r="G660" t="s">
        <v>1</v>
      </c>
      <c r="H660">
        <v>101</v>
      </c>
      <c r="I660">
        <v>901</v>
      </c>
      <c r="J660" t="s">
        <v>18</v>
      </c>
      <c r="K660" t="s">
        <v>19</v>
      </c>
      <c r="L660">
        <v>31</v>
      </c>
      <c r="M660">
        <v>34</v>
      </c>
      <c r="N660">
        <v>0.09</v>
      </c>
      <c r="O660">
        <v>36412</v>
      </c>
    </row>
    <row r="661" spans="1:15" x14ac:dyDescent="0.2">
      <c r="A661">
        <v>66</v>
      </c>
      <c r="B661" t="str">
        <f>VLOOKUP(Table1[[#This Row],[CountyID]],[1]!Table1[#All],2,FALSE)</f>
        <v>Rice</v>
      </c>
      <c r="C661">
        <f>VLOOKUP(Table1[[#This Row],[CountyID]],[1]!Table1[#All],3,FALSE)</f>
        <v>31</v>
      </c>
      <c r="D661">
        <v>31</v>
      </c>
      <c r="E661">
        <f>Table1[[#This Row],[Number of Counties]]-Table1[[#This Row],[Number of precincts Reporting]]</f>
        <v>0</v>
      </c>
      <c r="F661" t="s">
        <v>0</v>
      </c>
      <c r="G661" t="s">
        <v>1</v>
      </c>
      <c r="H661">
        <v>101</v>
      </c>
      <c r="I661">
        <v>9901</v>
      </c>
      <c r="J661" t="s">
        <v>20</v>
      </c>
      <c r="K661" t="s">
        <v>21</v>
      </c>
      <c r="L661">
        <v>31</v>
      </c>
      <c r="M661">
        <v>128</v>
      </c>
      <c r="N661">
        <v>0.35</v>
      </c>
      <c r="O661">
        <v>36412</v>
      </c>
    </row>
    <row r="662" spans="1:15" x14ac:dyDescent="0.2">
      <c r="A662">
        <v>67</v>
      </c>
      <c r="B662" t="str">
        <f>VLOOKUP(Table1[[#This Row],[CountyID]],[1]!Table1[#All],2,FALSE)</f>
        <v>Rock</v>
      </c>
      <c r="C662">
        <f>VLOOKUP(Table1[[#This Row],[CountyID]],[1]!Table1[#All],3,FALSE)</f>
        <v>24</v>
      </c>
      <c r="D662">
        <v>24</v>
      </c>
      <c r="E662">
        <f>Table1[[#This Row],[Number of Counties]]-Table1[[#This Row],[Number of precincts Reporting]]</f>
        <v>0</v>
      </c>
      <c r="F662" t="s">
        <v>0</v>
      </c>
      <c r="G662" t="s">
        <v>1</v>
      </c>
      <c r="H662">
        <v>101</v>
      </c>
      <c r="I662">
        <v>101</v>
      </c>
      <c r="J662" t="s">
        <v>2</v>
      </c>
      <c r="K662" t="s">
        <v>3</v>
      </c>
      <c r="L662">
        <v>24</v>
      </c>
      <c r="M662">
        <v>3690</v>
      </c>
      <c r="N662">
        <v>68.680000000000007</v>
      </c>
      <c r="O662">
        <v>5373</v>
      </c>
    </row>
    <row r="663" spans="1:15" x14ac:dyDescent="0.2">
      <c r="A663">
        <v>67</v>
      </c>
      <c r="B663" t="str">
        <f>VLOOKUP(Table1[[#This Row],[CountyID]],[1]!Table1[#All],2,FALSE)</f>
        <v>Rock</v>
      </c>
      <c r="C663">
        <f>VLOOKUP(Table1[[#This Row],[CountyID]],[1]!Table1[#All],3,FALSE)</f>
        <v>24</v>
      </c>
      <c r="D663">
        <v>24</v>
      </c>
      <c r="E663">
        <f>Table1[[#This Row],[Number of Counties]]-Table1[[#This Row],[Number of precincts Reporting]]</f>
        <v>0</v>
      </c>
      <c r="F663" t="s">
        <v>0</v>
      </c>
      <c r="G663" t="s">
        <v>1</v>
      </c>
      <c r="H663">
        <v>101</v>
      </c>
      <c r="I663">
        <v>201</v>
      </c>
      <c r="J663" t="s">
        <v>4</v>
      </c>
      <c r="K663" t="s">
        <v>5</v>
      </c>
      <c r="L663">
        <v>24</v>
      </c>
      <c r="M663">
        <v>1585</v>
      </c>
      <c r="N663">
        <v>29.5</v>
      </c>
      <c r="O663">
        <v>5373</v>
      </c>
    </row>
    <row r="664" spans="1:15" x14ac:dyDescent="0.2">
      <c r="A664">
        <v>67</v>
      </c>
      <c r="B664" t="str">
        <f>VLOOKUP(Table1[[#This Row],[CountyID]],[1]!Table1[#All],2,FALSE)</f>
        <v>Rock</v>
      </c>
      <c r="C664">
        <f>VLOOKUP(Table1[[#This Row],[CountyID]],[1]!Table1[#All],3,FALSE)</f>
        <v>24</v>
      </c>
      <c r="D664">
        <v>24</v>
      </c>
      <c r="E664">
        <f>Table1[[#This Row],[Number of Counties]]-Table1[[#This Row],[Number of precincts Reporting]]</f>
        <v>0</v>
      </c>
      <c r="F664" t="s">
        <v>0</v>
      </c>
      <c r="G664" t="s">
        <v>1</v>
      </c>
      <c r="H664">
        <v>101</v>
      </c>
      <c r="I664">
        <v>301</v>
      </c>
      <c r="J664" t="s">
        <v>6</v>
      </c>
      <c r="K664" t="s">
        <v>7</v>
      </c>
      <c r="L664">
        <v>24</v>
      </c>
      <c r="M664">
        <v>22</v>
      </c>
      <c r="N664">
        <v>0.41</v>
      </c>
      <c r="O664">
        <v>5373</v>
      </c>
    </row>
    <row r="665" spans="1:15" x14ac:dyDescent="0.2">
      <c r="A665">
        <v>67</v>
      </c>
      <c r="B665" t="str">
        <f>VLOOKUP(Table1[[#This Row],[CountyID]],[1]!Table1[#All],2,FALSE)</f>
        <v>Rock</v>
      </c>
      <c r="C665">
        <f>VLOOKUP(Table1[[#This Row],[CountyID]],[1]!Table1[#All],3,FALSE)</f>
        <v>24</v>
      </c>
      <c r="D665">
        <v>24</v>
      </c>
      <c r="E665">
        <f>Table1[[#This Row],[Number of Counties]]-Table1[[#This Row],[Number of precincts Reporting]]</f>
        <v>0</v>
      </c>
      <c r="F665" t="s">
        <v>0</v>
      </c>
      <c r="G665" t="s">
        <v>1</v>
      </c>
      <c r="H665">
        <v>101</v>
      </c>
      <c r="I665">
        <v>401</v>
      </c>
      <c r="J665" t="s">
        <v>8</v>
      </c>
      <c r="K665" t="s">
        <v>9</v>
      </c>
      <c r="L665">
        <v>24</v>
      </c>
      <c r="M665">
        <v>46</v>
      </c>
      <c r="N665">
        <v>0.86</v>
      </c>
      <c r="O665">
        <v>5373</v>
      </c>
    </row>
    <row r="666" spans="1:15" x14ac:dyDescent="0.2">
      <c r="A666">
        <v>67</v>
      </c>
      <c r="B666" t="str">
        <f>VLOOKUP(Table1[[#This Row],[CountyID]],[1]!Table1[#All],2,FALSE)</f>
        <v>Rock</v>
      </c>
      <c r="C666">
        <f>VLOOKUP(Table1[[#This Row],[CountyID]],[1]!Table1[#All],3,FALSE)</f>
        <v>24</v>
      </c>
      <c r="D666">
        <v>24</v>
      </c>
      <c r="E666">
        <f>Table1[[#This Row],[Number of Counties]]-Table1[[#This Row],[Number of precincts Reporting]]</f>
        <v>0</v>
      </c>
      <c r="F666" t="s">
        <v>0</v>
      </c>
      <c r="G666" t="s">
        <v>1</v>
      </c>
      <c r="H666">
        <v>101</v>
      </c>
      <c r="I666">
        <v>501</v>
      </c>
      <c r="J666" t="s">
        <v>10</v>
      </c>
      <c r="K666" t="s">
        <v>11</v>
      </c>
      <c r="L666">
        <v>24</v>
      </c>
      <c r="M666">
        <v>9</v>
      </c>
      <c r="N666">
        <v>0.17</v>
      </c>
      <c r="O666">
        <v>5373</v>
      </c>
    </row>
    <row r="667" spans="1:15" x14ac:dyDescent="0.2">
      <c r="A667">
        <v>67</v>
      </c>
      <c r="B667" t="str">
        <f>VLOOKUP(Table1[[#This Row],[CountyID]],[1]!Table1[#All],2,FALSE)</f>
        <v>Rock</v>
      </c>
      <c r="C667">
        <f>VLOOKUP(Table1[[#This Row],[CountyID]],[1]!Table1[#All],3,FALSE)</f>
        <v>24</v>
      </c>
      <c r="D667">
        <v>24</v>
      </c>
      <c r="E667">
        <f>Table1[[#This Row],[Number of Counties]]-Table1[[#This Row],[Number of precincts Reporting]]</f>
        <v>0</v>
      </c>
      <c r="F667" t="s">
        <v>0</v>
      </c>
      <c r="G667" t="s">
        <v>1</v>
      </c>
      <c r="H667">
        <v>101</v>
      </c>
      <c r="I667">
        <v>601</v>
      </c>
      <c r="J667" t="s">
        <v>12</v>
      </c>
      <c r="K667" t="s">
        <v>13</v>
      </c>
      <c r="L667">
        <v>24</v>
      </c>
      <c r="M667">
        <v>1</v>
      </c>
      <c r="N667">
        <v>0.02</v>
      </c>
      <c r="O667">
        <v>5373</v>
      </c>
    </row>
    <row r="668" spans="1:15" x14ac:dyDescent="0.2">
      <c r="A668">
        <v>67</v>
      </c>
      <c r="B668" t="str">
        <f>VLOOKUP(Table1[[#This Row],[CountyID]],[1]!Table1[#All],2,FALSE)</f>
        <v>Rock</v>
      </c>
      <c r="C668">
        <f>VLOOKUP(Table1[[#This Row],[CountyID]],[1]!Table1[#All],3,FALSE)</f>
        <v>24</v>
      </c>
      <c r="D668">
        <v>24</v>
      </c>
      <c r="E668">
        <f>Table1[[#This Row],[Number of Counties]]-Table1[[#This Row],[Number of precincts Reporting]]</f>
        <v>0</v>
      </c>
      <c r="F668" t="s">
        <v>0</v>
      </c>
      <c r="G668" t="s">
        <v>1</v>
      </c>
      <c r="H668">
        <v>101</v>
      </c>
      <c r="I668">
        <v>701</v>
      </c>
      <c r="J668" t="s">
        <v>14</v>
      </c>
      <c r="K668" t="s">
        <v>15</v>
      </c>
      <c r="L668">
        <v>24</v>
      </c>
      <c r="M668">
        <v>2</v>
      </c>
      <c r="N668">
        <v>0.04</v>
      </c>
      <c r="O668">
        <v>5373</v>
      </c>
    </row>
    <row r="669" spans="1:15" x14ac:dyDescent="0.2">
      <c r="A669">
        <v>67</v>
      </c>
      <c r="B669" t="str">
        <f>VLOOKUP(Table1[[#This Row],[CountyID]],[1]!Table1[#All],2,FALSE)</f>
        <v>Rock</v>
      </c>
      <c r="C669">
        <f>VLOOKUP(Table1[[#This Row],[CountyID]],[1]!Table1[#All],3,FALSE)</f>
        <v>24</v>
      </c>
      <c r="D669">
        <v>24</v>
      </c>
      <c r="E669">
        <f>Table1[[#This Row],[Number of Counties]]-Table1[[#This Row],[Number of precincts Reporting]]</f>
        <v>0</v>
      </c>
      <c r="F669" t="s">
        <v>0</v>
      </c>
      <c r="G669" t="s">
        <v>1</v>
      </c>
      <c r="H669">
        <v>101</v>
      </c>
      <c r="I669">
        <v>801</v>
      </c>
      <c r="J669" t="s">
        <v>16</v>
      </c>
      <c r="K669" t="s">
        <v>17</v>
      </c>
      <c r="L669">
        <v>24</v>
      </c>
      <c r="M669">
        <v>2</v>
      </c>
      <c r="N669">
        <v>0.04</v>
      </c>
      <c r="O669">
        <v>5373</v>
      </c>
    </row>
    <row r="670" spans="1:15" x14ac:dyDescent="0.2">
      <c r="A670">
        <v>67</v>
      </c>
      <c r="B670" t="str">
        <f>VLOOKUP(Table1[[#This Row],[CountyID]],[1]!Table1[#All],2,FALSE)</f>
        <v>Rock</v>
      </c>
      <c r="C670">
        <f>VLOOKUP(Table1[[#This Row],[CountyID]],[1]!Table1[#All],3,FALSE)</f>
        <v>24</v>
      </c>
      <c r="D670">
        <v>24</v>
      </c>
      <c r="E670">
        <f>Table1[[#This Row],[Number of Counties]]-Table1[[#This Row],[Number of precincts Reporting]]</f>
        <v>0</v>
      </c>
      <c r="F670" t="s">
        <v>0</v>
      </c>
      <c r="G670" t="s">
        <v>1</v>
      </c>
      <c r="H670">
        <v>101</v>
      </c>
      <c r="I670">
        <v>901</v>
      </c>
      <c r="J670" t="s">
        <v>18</v>
      </c>
      <c r="K670" t="s">
        <v>19</v>
      </c>
      <c r="L670">
        <v>24</v>
      </c>
      <c r="M670">
        <v>4</v>
      </c>
      <c r="N670">
        <v>7.0000000000000007E-2</v>
      </c>
      <c r="O670">
        <v>5373</v>
      </c>
    </row>
    <row r="671" spans="1:15" x14ac:dyDescent="0.2">
      <c r="A671">
        <v>67</v>
      </c>
      <c r="B671" t="str">
        <f>VLOOKUP(Table1[[#This Row],[CountyID]],[1]!Table1[#All],2,FALSE)</f>
        <v>Rock</v>
      </c>
      <c r="C671">
        <f>VLOOKUP(Table1[[#This Row],[CountyID]],[1]!Table1[#All],3,FALSE)</f>
        <v>24</v>
      </c>
      <c r="D671">
        <v>24</v>
      </c>
      <c r="E671">
        <f>Table1[[#This Row],[Number of Counties]]-Table1[[#This Row],[Number of precincts Reporting]]</f>
        <v>0</v>
      </c>
      <c r="F671" t="s">
        <v>0</v>
      </c>
      <c r="G671" t="s">
        <v>1</v>
      </c>
      <c r="H671">
        <v>101</v>
      </c>
      <c r="I671">
        <v>9901</v>
      </c>
      <c r="J671" t="s">
        <v>20</v>
      </c>
      <c r="K671" t="s">
        <v>21</v>
      </c>
      <c r="L671">
        <v>24</v>
      </c>
      <c r="M671">
        <v>12</v>
      </c>
      <c r="N671">
        <v>0.22</v>
      </c>
      <c r="O671">
        <v>5373</v>
      </c>
    </row>
    <row r="672" spans="1:15" x14ac:dyDescent="0.2">
      <c r="A672">
        <v>68</v>
      </c>
      <c r="B672" t="str">
        <f>VLOOKUP(Table1[[#This Row],[CountyID]],[1]!Table1[#All],2,FALSE)</f>
        <v>Roseau</v>
      </c>
      <c r="C672">
        <f>VLOOKUP(Table1[[#This Row],[CountyID]],[1]!Table1[#All],3,FALSE)</f>
        <v>44</v>
      </c>
      <c r="D672">
        <v>44</v>
      </c>
      <c r="E672">
        <f>Table1[[#This Row],[Number of Counties]]-Table1[[#This Row],[Number of precincts Reporting]]</f>
        <v>0</v>
      </c>
      <c r="F672" t="s">
        <v>0</v>
      </c>
      <c r="G672" t="s">
        <v>1</v>
      </c>
      <c r="H672">
        <v>101</v>
      </c>
      <c r="I672">
        <v>101</v>
      </c>
      <c r="J672" t="s">
        <v>2</v>
      </c>
      <c r="K672" t="s">
        <v>3</v>
      </c>
      <c r="L672">
        <v>44</v>
      </c>
      <c r="M672">
        <v>6279</v>
      </c>
      <c r="N672">
        <v>73.88</v>
      </c>
      <c r="O672">
        <v>8499</v>
      </c>
    </row>
    <row r="673" spans="1:15" x14ac:dyDescent="0.2">
      <c r="A673">
        <v>68</v>
      </c>
      <c r="B673" t="str">
        <f>VLOOKUP(Table1[[#This Row],[CountyID]],[1]!Table1[#All],2,FALSE)</f>
        <v>Roseau</v>
      </c>
      <c r="C673">
        <f>VLOOKUP(Table1[[#This Row],[CountyID]],[1]!Table1[#All],3,FALSE)</f>
        <v>44</v>
      </c>
      <c r="D673">
        <v>44</v>
      </c>
      <c r="E673">
        <f>Table1[[#This Row],[Number of Counties]]-Table1[[#This Row],[Number of precincts Reporting]]</f>
        <v>0</v>
      </c>
      <c r="F673" t="s">
        <v>0</v>
      </c>
      <c r="G673" t="s">
        <v>1</v>
      </c>
      <c r="H673">
        <v>101</v>
      </c>
      <c r="I673">
        <v>201</v>
      </c>
      <c r="J673" t="s">
        <v>4</v>
      </c>
      <c r="K673" t="s">
        <v>5</v>
      </c>
      <c r="L673">
        <v>44</v>
      </c>
      <c r="M673">
        <v>2093</v>
      </c>
      <c r="N673">
        <v>24.63</v>
      </c>
      <c r="O673">
        <v>8499</v>
      </c>
    </row>
    <row r="674" spans="1:15" x14ac:dyDescent="0.2">
      <c r="A674">
        <v>68</v>
      </c>
      <c r="B674" t="str">
        <f>VLOOKUP(Table1[[#This Row],[CountyID]],[1]!Table1[#All],2,FALSE)</f>
        <v>Roseau</v>
      </c>
      <c r="C674">
        <f>VLOOKUP(Table1[[#This Row],[CountyID]],[1]!Table1[#All],3,FALSE)</f>
        <v>44</v>
      </c>
      <c r="D674">
        <v>44</v>
      </c>
      <c r="E674">
        <f>Table1[[#This Row],[Number of Counties]]-Table1[[#This Row],[Number of precincts Reporting]]</f>
        <v>0</v>
      </c>
      <c r="F674" t="s">
        <v>0</v>
      </c>
      <c r="G674" t="s">
        <v>1</v>
      </c>
      <c r="H674">
        <v>101</v>
      </c>
      <c r="I674">
        <v>301</v>
      </c>
      <c r="J674" t="s">
        <v>6</v>
      </c>
      <c r="K674" t="s">
        <v>7</v>
      </c>
      <c r="L674">
        <v>44</v>
      </c>
      <c r="M674">
        <v>16</v>
      </c>
      <c r="N674">
        <v>0.19</v>
      </c>
      <c r="O674">
        <v>8499</v>
      </c>
    </row>
    <row r="675" spans="1:15" x14ac:dyDescent="0.2">
      <c r="A675">
        <v>68</v>
      </c>
      <c r="B675" t="str">
        <f>VLOOKUP(Table1[[#This Row],[CountyID]],[1]!Table1[#All],2,FALSE)</f>
        <v>Roseau</v>
      </c>
      <c r="C675">
        <f>VLOOKUP(Table1[[#This Row],[CountyID]],[1]!Table1[#All],3,FALSE)</f>
        <v>44</v>
      </c>
      <c r="D675">
        <v>44</v>
      </c>
      <c r="E675">
        <f>Table1[[#This Row],[Number of Counties]]-Table1[[#This Row],[Number of precincts Reporting]]</f>
        <v>0</v>
      </c>
      <c r="F675" t="s">
        <v>0</v>
      </c>
      <c r="G675" t="s">
        <v>1</v>
      </c>
      <c r="H675">
        <v>101</v>
      </c>
      <c r="I675">
        <v>401</v>
      </c>
      <c r="J675" t="s">
        <v>8</v>
      </c>
      <c r="K675" t="s">
        <v>9</v>
      </c>
      <c r="L675">
        <v>44</v>
      </c>
      <c r="M675">
        <v>66</v>
      </c>
      <c r="N675">
        <v>0.78</v>
      </c>
      <c r="O675">
        <v>8499</v>
      </c>
    </row>
    <row r="676" spans="1:15" x14ac:dyDescent="0.2">
      <c r="A676">
        <v>68</v>
      </c>
      <c r="B676" t="str">
        <f>VLOOKUP(Table1[[#This Row],[CountyID]],[1]!Table1[#All],2,FALSE)</f>
        <v>Roseau</v>
      </c>
      <c r="C676">
        <f>VLOOKUP(Table1[[#This Row],[CountyID]],[1]!Table1[#All],3,FALSE)</f>
        <v>44</v>
      </c>
      <c r="D676">
        <v>44</v>
      </c>
      <c r="E676">
        <f>Table1[[#This Row],[Number of Counties]]-Table1[[#This Row],[Number of precincts Reporting]]</f>
        <v>0</v>
      </c>
      <c r="F676" t="s">
        <v>0</v>
      </c>
      <c r="G676" t="s">
        <v>1</v>
      </c>
      <c r="H676">
        <v>101</v>
      </c>
      <c r="I676">
        <v>501</v>
      </c>
      <c r="J676" t="s">
        <v>10</v>
      </c>
      <c r="K676" t="s">
        <v>11</v>
      </c>
      <c r="L676">
        <v>44</v>
      </c>
      <c r="M676">
        <v>15</v>
      </c>
      <c r="N676">
        <v>0.18</v>
      </c>
      <c r="O676">
        <v>8499</v>
      </c>
    </row>
    <row r="677" spans="1:15" x14ac:dyDescent="0.2">
      <c r="A677">
        <v>68</v>
      </c>
      <c r="B677" t="str">
        <f>VLOOKUP(Table1[[#This Row],[CountyID]],[1]!Table1[#All],2,FALSE)</f>
        <v>Roseau</v>
      </c>
      <c r="C677">
        <f>VLOOKUP(Table1[[#This Row],[CountyID]],[1]!Table1[#All],3,FALSE)</f>
        <v>44</v>
      </c>
      <c r="D677">
        <v>44</v>
      </c>
      <c r="E677">
        <f>Table1[[#This Row],[Number of Counties]]-Table1[[#This Row],[Number of precincts Reporting]]</f>
        <v>0</v>
      </c>
      <c r="F677" t="s">
        <v>0</v>
      </c>
      <c r="G677" t="s">
        <v>1</v>
      </c>
      <c r="H677">
        <v>101</v>
      </c>
      <c r="I677">
        <v>601</v>
      </c>
      <c r="J677" t="s">
        <v>12</v>
      </c>
      <c r="K677" t="s">
        <v>13</v>
      </c>
      <c r="L677">
        <v>44</v>
      </c>
      <c r="M677">
        <v>1</v>
      </c>
      <c r="N677">
        <v>0.01</v>
      </c>
      <c r="O677">
        <v>8499</v>
      </c>
    </row>
    <row r="678" spans="1:15" x14ac:dyDescent="0.2">
      <c r="A678">
        <v>68</v>
      </c>
      <c r="B678" t="str">
        <f>VLOOKUP(Table1[[#This Row],[CountyID]],[1]!Table1[#All],2,FALSE)</f>
        <v>Roseau</v>
      </c>
      <c r="C678">
        <f>VLOOKUP(Table1[[#This Row],[CountyID]],[1]!Table1[#All],3,FALSE)</f>
        <v>44</v>
      </c>
      <c r="D678">
        <v>44</v>
      </c>
      <c r="E678">
        <f>Table1[[#This Row],[Number of Counties]]-Table1[[#This Row],[Number of precincts Reporting]]</f>
        <v>0</v>
      </c>
      <c r="F678" t="s">
        <v>0</v>
      </c>
      <c r="G678" t="s">
        <v>1</v>
      </c>
      <c r="H678">
        <v>101</v>
      </c>
      <c r="I678">
        <v>701</v>
      </c>
      <c r="J678" t="s">
        <v>14</v>
      </c>
      <c r="K678" t="s">
        <v>15</v>
      </c>
      <c r="L678">
        <v>44</v>
      </c>
      <c r="M678">
        <v>2</v>
      </c>
      <c r="N678">
        <v>0.02</v>
      </c>
      <c r="O678">
        <v>8499</v>
      </c>
    </row>
    <row r="679" spans="1:15" x14ac:dyDescent="0.2">
      <c r="A679">
        <v>68</v>
      </c>
      <c r="B679" t="str">
        <f>VLOOKUP(Table1[[#This Row],[CountyID]],[1]!Table1[#All],2,FALSE)</f>
        <v>Roseau</v>
      </c>
      <c r="C679">
        <f>VLOOKUP(Table1[[#This Row],[CountyID]],[1]!Table1[#All],3,FALSE)</f>
        <v>44</v>
      </c>
      <c r="D679">
        <v>44</v>
      </c>
      <c r="E679">
        <f>Table1[[#This Row],[Number of Counties]]-Table1[[#This Row],[Number of precincts Reporting]]</f>
        <v>0</v>
      </c>
      <c r="F679" t="s">
        <v>0</v>
      </c>
      <c r="G679" t="s">
        <v>1</v>
      </c>
      <c r="H679">
        <v>101</v>
      </c>
      <c r="I679">
        <v>801</v>
      </c>
      <c r="J679" t="s">
        <v>16</v>
      </c>
      <c r="K679" t="s">
        <v>17</v>
      </c>
      <c r="L679">
        <v>44</v>
      </c>
      <c r="M679">
        <v>4</v>
      </c>
      <c r="N679">
        <v>0.05</v>
      </c>
      <c r="O679">
        <v>8499</v>
      </c>
    </row>
    <row r="680" spans="1:15" x14ac:dyDescent="0.2">
      <c r="A680">
        <v>68</v>
      </c>
      <c r="B680" t="str">
        <f>VLOOKUP(Table1[[#This Row],[CountyID]],[1]!Table1[#All],2,FALSE)</f>
        <v>Roseau</v>
      </c>
      <c r="C680">
        <f>VLOOKUP(Table1[[#This Row],[CountyID]],[1]!Table1[#All],3,FALSE)</f>
        <v>44</v>
      </c>
      <c r="D680">
        <v>44</v>
      </c>
      <c r="E680">
        <f>Table1[[#This Row],[Number of Counties]]-Table1[[#This Row],[Number of precincts Reporting]]</f>
        <v>0</v>
      </c>
      <c r="F680" t="s">
        <v>0</v>
      </c>
      <c r="G680" t="s">
        <v>1</v>
      </c>
      <c r="H680">
        <v>101</v>
      </c>
      <c r="I680">
        <v>901</v>
      </c>
      <c r="J680" t="s">
        <v>18</v>
      </c>
      <c r="K680" t="s">
        <v>19</v>
      </c>
      <c r="L680">
        <v>44</v>
      </c>
      <c r="M680">
        <v>10</v>
      </c>
      <c r="N680">
        <v>0.12</v>
      </c>
      <c r="O680">
        <v>8499</v>
      </c>
    </row>
    <row r="681" spans="1:15" x14ac:dyDescent="0.2">
      <c r="A681">
        <v>68</v>
      </c>
      <c r="B681" t="str">
        <f>VLOOKUP(Table1[[#This Row],[CountyID]],[1]!Table1[#All],2,FALSE)</f>
        <v>Roseau</v>
      </c>
      <c r="C681">
        <f>VLOOKUP(Table1[[#This Row],[CountyID]],[1]!Table1[#All],3,FALSE)</f>
        <v>44</v>
      </c>
      <c r="D681">
        <v>44</v>
      </c>
      <c r="E681">
        <f>Table1[[#This Row],[Number of Counties]]-Table1[[#This Row],[Number of precincts Reporting]]</f>
        <v>0</v>
      </c>
      <c r="F681" t="s">
        <v>0</v>
      </c>
      <c r="G681" t="s">
        <v>1</v>
      </c>
      <c r="H681">
        <v>101</v>
      </c>
      <c r="I681">
        <v>9901</v>
      </c>
      <c r="J681" t="s">
        <v>20</v>
      </c>
      <c r="K681" t="s">
        <v>21</v>
      </c>
      <c r="L681">
        <v>44</v>
      </c>
      <c r="M681">
        <v>13</v>
      </c>
      <c r="N681">
        <v>0.15</v>
      </c>
      <c r="O681">
        <v>8499</v>
      </c>
    </row>
    <row r="682" spans="1:15" x14ac:dyDescent="0.2">
      <c r="A682">
        <v>69</v>
      </c>
      <c r="B682" t="str">
        <f>VLOOKUP(Table1[[#This Row],[CountyID]],[1]!Table1[#All],2,FALSE)</f>
        <v>St. Louis</v>
      </c>
      <c r="C682">
        <f>VLOOKUP(Table1[[#This Row],[CountyID]],[1]!Table1[#All],3,FALSE)</f>
        <v>168</v>
      </c>
      <c r="D682">
        <v>168</v>
      </c>
      <c r="E682">
        <f>Table1[[#This Row],[Number of Counties]]-Table1[[#This Row],[Number of precincts Reporting]]</f>
        <v>0</v>
      </c>
      <c r="F682" t="s">
        <v>0</v>
      </c>
      <c r="G682" t="s">
        <v>1</v>
      </c>
      <c r="H682">
        <v>101</v>
      </c>
      <c r="I682">
        <v>101</v>
      </c>
      <c r="J682" t="s">
        <v>2</v>
      </c>
      <c r="K682" t="s">
        <v>3</v>
      </c>
      <c r="L682">
        <v>168</v>
      </c>
      <c r="M682">
        <v>50065</v>
      </c>
      <c r="N682">
        <v>42.07</v>
      </c>
      <c r="O682">
        <v>119009</v>
      </c>
    </row>
    <row r="683" spans="1:15" x14ac:dyDescent="0.2">
      <c r="A683">
        <v>69</v>
      </c>
      <c r="B683" t="str">
        <f>VLOOKUP(Table1[[#This Row],[CountyID]],[1]!Table1[#All],2,FALSE)</f>
        <v>St. Louis</v>
      </c>
      <c r="C683">
        <f>VLOOKUP(Table1[[#This Row],[CountyID]],[1]!Table1[#All],3,FALSE)</f>
        <v>168</v>
      </c>
      <c r="D683">
        <v>168</v>
      </c>
      <c r="E683">
        <f>Table1[[#This Row],[Number of Counties]]-Table1[[#This Row],[Number of precincts Reporting]]</f>
        <v>0</v>
      </c>
      <c r="F683" t="s">
        <v>0</v>
      </c>
      <c r="G683" t="s">
        <v>1</v>
      </c>
      <c r="H683">
        <v>101</v>
      </c>
      <c r="I683">
        <v>201</v>
      </c>
      <c r="J683" t="s">
        <v>4</v>
      </c>
      <c r="K683" t="s">
        <v>5</v>
      </c>
      <c r="L683">
        <v>168</v>
      </c>
      <c r="M683">
        <v>66335</v>
      </c>
      <c r="N683">
        <v>55.74</v>
      </c>
      <c r="O683">
        <v>119009</v>
      </c>
    </row>
    <row r="684" spans="1:15" x14ac:dyDescent="0.2">
      <c r="A684">
        <v>69</v>
      </c>
      <c r="B684" t="str">
        <f>VLOOKUP(Table1[[#This Row],[CountyID]],[1]!Table1[#All],2,FALSE)</f>
        <v>St. Louis</v>
      </c>
      <c r="C684">
        <f>VLOOKUP(Table1[[#This Row],[CountyID]],[1]!Table1[#All],3,FALSE)</f>
        <v>168</v>
      </c>
      <c r="D684">
        <v>168</v>
      </c>
      <c r="E684">
        <f>Table1[[#This Row],[Number of Counties]]-Table1[[#This Row],[Number of precincts Reporting]]</f>
        <v>0</v>
      </c>
      <c r="F684" t="s">
        <v>0</v>
      </c>
      <c r="G684" t="s">
        <v>1</v>
      </c>
      <c r="H684">
        <v>101</v>
      </c>
      <c r="I684">
        <v>301</v>
      </c>
      <c r="J684" t="s">
        <v>6</v>
      </c>
      <c r="K684" t="s">
        <v>7</v>
      </c>
      <c r="L684">
        <v>168</v>
      </c>
      <c r="M684">
        <v>507</v>
      </c>
      <c r="N684">
        <v>0.43</v>
      </c>
      <c r="O684">
        <v>119009</v>
      </c>
    </row>
    <row r="685" spans="1:15" x14ac:dyDescent="0.2">
      <c r="A685">
        <v>69</v>
      </c>
      <c r="B685" t="str">
        <f>VLOOKUP(Table1[[#This Row],[CountyID]],[1]!Table1[#All],2,FALSE)</f>
        <v>St. Louis</v>
      </c>
      <c r="C685">
        <f>VLOOKUP(Table1[[#This Row],[CountyID]],[1]!Table1[#All],3,FALSE)</f>
        <v>168</v>
      </c>
      <c r="D685">
        <v>168</v>
      </c>
      <c r="E685">
        <f>Table1[[#This Row],[Number of Counties]]-Table1[[#This Row],[Number of precincts Reporting]]</f>
        <v>0</v>
      </c>
      <c r="F685" t="s">
        <v>0</v>
      </c>
      <c r="G685" t="s">
        <v>1</v>
      </c>
      <c r="H685">
        <v>101</v>
      </c>
      <c r="I685">
        <v>401</v>
      </c>
      <c r="J685" t="s">
        <v>8</v>
      </c>
      <c r="K685" t="s">
        <v>9</v>
      </c>
      <c r="L685">
        <v>168</v>
      </c>
      <c r="M685">
        <v>975</v>
      </c>
      <c r="N685">
        <v>0.82</v>
      </c>
      <c r="O685">
        <v>119009</v>
      </c>
    </row>
    <row r="686" spans="1:15" x14ac:dyDescent="0.2">
      <c r="A686">
        <v>69</v>
      </c>
      <c r="B686" t="str">
        <f>VLOOKUP(Table1[[#This Row],[CountyID]],[1]!Table1[#All],2,FALSE)</f>
        <v>St. Louis</v>
      </c>
      <c r="C686">
        <f>VLOOKUP(Table1[[#This Row],[CountyID]],[1]!Table1[#All],3,FALSE)</f>
        <v>168</v>
      </c>
      <c r="D686">
        <v>168</v>
      </c>
      <c r="E686">
        <f>Table1[[#This Row],[Number of Counties]]-Table1[[#This Row],[Number of precincts Reporting]]</f>
        <v>0</v>
      </c>
      <c r="F686" t="s">
        <v>0</v>
      </c>
      <c r="G686" t="s">
        <v>1</v>
      </c>
      <c r="H686">
        <v>101</v>
      </c>
      <c r="I686">
        <v>501</v>
      </c>
      <c r="J686" t="s">
        <v>10</v>
      </c>
      <c r="K686" t="s">
        <v>11</v>
      </c>
      <c r="L686">
        <v>168</v>
      </c>
      <c r="M686">
        <v>425</v>
      </c>
      <c r="N686">
        <v>0.36</v>
      </c>
      <c r="O686">
        <v>119009</v>
      </c>
    </row>
    <row r="687" spans="1:15" x14ac:dyDescent="0.2">
      <c r="A687">
        <v>69</v>
      </c>
      <c r="B687" t="str">
        <f>VLOOKUP(Table1[[#This Row],[CountyID]],[1]!Table1[#All],2,FALSE)</f>
        <v>St. Louis</v>
      </c>
      <c r="C687">
        <f>VLOOKUP(Table1[[#This Row],[CountyID]],[1]!Table1[#All],3,FALSE)</f>
        <v>168</v>
      </c>
      <c r="D687">
        <v>168</v>
      </c>
      <c r="E687">
        <f>Table1[[#This Row],[Number of Counties]]-Table1[[#This Row],[Number of precincts Reporting]]</f>
        <v>0</v>
      </c>
      <c r="F687" t="s">
        <v>0</v>
      </c>
      <c r="G687" t="s">
        <v>1</v>
      </c>
      <c r="H687">
        <v>101</v>
      </c>
      <c r="I687">
        <v>601</v>
      </c>
      <c r="J687" t="s">
        <v>12</v>
      </c>
      <c r="K687" t="s">
        <v>13</v>
      </c>
      <c r="L687">
        <v>168</v>
      </c>
      <c r="M687">
        <v>85</v>
      </c>
      <c r="N687">
        <v>7.0000000000000007E-2</v>
      </c>
      <c r="O687">
        <v>119009</v>
      </c>
    </row>
    <row r="688" spans="1:15" x14ac:dyDescent="0.2">
      <c r="A688">
        <v>69</v>
      </c>
      <c r="B688" t="str">
        <f>VLOOKUP(Table1[[#This Row],[CountyID]],[1]!Table1[#All],2,FALSE)</f>
        <v>St. Louis</v>
      </c>
      <c r="C688">
        <f>VLOOKUP(Table1[[#This Row],[CountyID]],[1]!Table1[#All],3,FALSE)</f>
        <v>168</v>
      </c>
      <c r="D688">
        <v>168</v>
      </c>
      <c r="E688">
        <f>Table1[[#This Row],[Number of Counties]]-Table1[[#This Row],[Number of precincts Reporting]]</f>
        <v>0</v>
      </c>
      <c r="F688" t="s">
        <v>0</v>
      </c>
      <c r="G688" t="s">
        <v>1</v>
      </c>
      <c r="H688">
        <v>101</v>
      </c>
      <c r="I688">
        <v>701</v>
      </c>
      <c r="J688" t="s">
        <v>14</v>
      </c>
      <c r="K688" t="s">
        <v>15</v>
      </c>
      <c r="L688">
        <v>168</v>
      </c>
      <c r="M688">
        <v>18</v>
      </c>
      <c r="N688">
        <v>0.02</v>
      </c>
      <c r="O688">
        <v>119009</v>
      </c>
    </row>
    <row r="689" spans="1:15" x14ac:dyDescent="0.2">
      <c r="A689">
        <v>69</v>
      </c>
      <c r="B689" t="str">
        <f>VLOOKUP(Table1[[#This Row],[CountyID]],[1]!Table1[#All],2,FALSE)</f>
        <v>St. Louis</v>
      </c>
      <c r="C689">
        <f>VLOOKUP(Table1[[#This Row],[CountyID]],[1]!Table1[#All],3,FALSE)</f>
        <v>168</v>
      </c>
      <c r="D689">
        <v>168</v>
      </c>
      <c r="E689">
        <f>Table1[[#This Row],[Number of Counties]]-Table1[[#This Row],[Number of precincts Reporting]]</f>
        <v>0</v>
      </c>
      <c r="F689" t="s">
        <v>0</v>
      </c>
      <c r="G689" t="s">
        <v>1</v>
      </c>
      <c r="H689">
        <v>101</v>
      </c>
      <c r="I689">
        <v>801</v>
      </c>
      <c r="J689" t="s">
        <v>16</v>
      </c>
      <c r="K689" t="s">
        <v>17</v>
      </c>
      <c r="L689">
        <v>168</v>
      </c>
      <c r="M689">
        <v>71</v>
      </c>
      <c r="N689">
        <v>0.06</v>
      </c>
      <c r="O689">
        <v>119009</v>
      </c>
    </row>
    <row r="690" spans="1:15" x14ac:dyDescent="0.2">
      <c r="A690">
        <v>69</v>
      </c>
      <c r="B690" t="str">
        <f>VLOOKUP(Table1[[#This Row],[CountyID]],[1]!Table1[#All],2,FALSE)</f>
        <v>St. Louis</v>
      </c>
      <c r="C690">
        <f>VLOOKUP(Table1[[#This Row],[CountyID]],[1]!Table1[#All],3,FALSE)</f>
        <v>168</v>
      </c>
      <c r="D690">
        <v>168</v>
      </c>
      <c r="E690">
        <f>Table1[[#This Row],[Number of Counties]]-Table1[[#This Row],[Number of precincts Reporting]]</f>
        <v>0</v>
      </c>
      <c r="F690" t="s">
        <v>0</v>
      </c>
      <c r="G690" t="s">
        <v>1</v>
      </c>
      <c r="H690">
        <v>101</v>
      </c>
      <c r="I690">
        <v>901</v>
      </c>
      <c r="J690" t="s">
        <v>18</v>
      </c>
      <c r="K690" t="s">
        <v>19</v>
      </c>
      <c r="L690">
        <v>168</v>
      </c>
      <c r="M690">
        <v>106</v>
      </c>
      <c r="N690">
        <v>0.09</v>
      </c>
      <c r="O690">
        <v>119009</v>
      </c>
    </row>
    <row r="691" spans="1:15" x14ac:dyDescent="0.2">
      <c r="A691">
        <v>69</v>
      </c>
      <c r="B691" t="str">
        <f>VLOOKUP(Table1[[#This Row],[CountyID]],[1]!Table1[#All],2,FALSE)</f>
        <v>St. Louis</v>
      </c>
      <c r="C691">
        <f>VLOOKUP(Table1[[#This Row],[CountyID]],[1]!Table1[#All],3,FALSE)</f>
        <v>168</v>
      </c>
      <c r="D691">
        <v>168</v>
      </c>
      <c r="E691">
        <f>Table1[[#This Row],[Number of Counties]]-Table1[[#This Row],[Number of precincts Reporting]]</f>
        <v>0</v>
      </c>
      <c r="F691" t="s">
        <v>0</v>
      </c>
      <c r="G691" t="s">
        <v>1</v>
      </c>
      <c r="H691">
        <v>101</v>
      </c>
      <c r="I691">
        <v>9901</v>
      </c>
      <c r="J691" t="s">
        <v>20</v>
      </c>
      <c r="K691" t="s">
        <v>21</v>
      </c>
      <c r="L691">
        <v>168</v>
      </c>
      <c r="M691">
        <v>422</v>
      </c>
      <c r="N691">
        <v>0.35</v>
      </c>
      <c r="O691">
        <v>119009</v>
      </c>
    </row>
    <row r="692" spans="1:15" x14ac:dyDescent="0.2">
      <c r="A692">
        <v>70</v>
      </c>
      <c r="B692" t="str">
        <f>VLOOKUP(Table1[[#This Row],[CountyID]],[1]!Table1[#All],2,FALSE)</f>
        <v>Scott</v>
      </c>
      <c r="C692">
        <f>VLOOKUP(Table1[[#This Row],[CountyID]],[1]!Table1[#All],3,FALSE)</f>
        <v>54</v>
      </c>
      <c r="D692">
        <v>54</v>
      </c>
      <c r="E692">
        <f>Table1[[#This Row],[Number of Counties]]-Table1[[#This Row],[Number of precincts Reporting]]</f>
        <v>0</v>
      </c>
      <c r="F692" t="s">
        <v>0</v>
      </c>
      <c r="G692" t="s">
        <v>1</v>
      </c>
      <c r="H692">
        <v>101</v>
      </c>
      <c r="I692">
        <v>101</v>
      </c>
      <c r="J692" t="s">
        <v>2</v>
      </c>
      <c r="K692" t="s">
        <v>3</v>
      </c>
      <c r="L692">
        <v>54</v>
      </c>
      <c r="M692">
        <v>47837</v>
      </c>
      <c r="N692">
        <v>53.07</v>
      </c>
      <c r="O692">
        <v>90141</v>
      </c>
    </row>
    <row r="693" spans="1:15" x14ac:dyDescent="0.2">
      <c r="A693">
        <v>70</v>
      </c>
      <c r="B693" t="str">
        <f>VLOOKUP(Table1[[#This Row],[CountyID]],[1]!Table1[#All],2,FALSE)</f>
        <v>Scott</v>
      </c>
      <c r="C693">
        <f>VLOOKUP(Table1[[#This Row],[CountyID]],[1]!Table1[#All],3,FALSE)</f>
        <v>54</v>
      </c>
      <c r="D693">
        <v>54</v>
      </c>
      <c r="E693">
        <f>Table1[[#This Row],[Number of Counties]]-Table1[[#This Row],[Number of precincts Reporting]]</f>
        <v>0</v>
      </c>
      <c r="F693" t="s">
        <v>0</v>
      </c>
      <c r="G693" t="s">
        <v>1</v>
      </c>
      <c r="H693">
        <v>101</v>
      </c>
      <c r="I693">
        <v>201</v>
      </c>
      <c r="J693" t="s">
        <v>4</v>
      </c>
      <c r="K693" t="s">
        <v>5</v>
      </c>
      <c r="L693">
        <v>54</v>
      </c>
      <c r="M693">
        <v>40214</v>
      </c>
      <c r="N693">
        <v>44.61</v>
      </c>
      <c r="O693">
        <v>90141</v>
      </c>
    </row>
    <row r="694" spans="1:15" x14ac:dyDescent="0.2">
      <c r="A694">
        <v>70</v>
      </c>
      <c r="B694" t="str">
        <f>VLOOKUP(Table1[[#This Row],[CountyID]],[1]!Table1[#All],2,FALSE)</f>
        <v>Scott</v>
      </c>
      <c r="C694">
        <f>VLOOKUP(Table1[[#This Row],[CountyID]],[1]!Table1[#All],3,FALSE)</f>
        <v>54</v>
      </c>
      <c r="D694">
        <v>54</v>
      </c>
      <c r="E694">
        <f>Table1[[#This Row],[Number of Counties]]-Table1[[#This Row],[Number of precincts Reporting]]</f>
        <v>0</v>
      </c>
      <c r="F694" t="s">
        <v>0</v>
      </c>
      <c r="G694" t="s">
        <v>1</v>
      </c>
      <c r="H694">
        <v>101</v>
      </c>
      <c r="I694">
        <v>301</v>
      </c>
      <c r="J694" t="s">
        <v>6</v>
      </c>
      <c r="K694" t="s">
        <v>7</v>
      </c>
      <c r="L694">
        <v>54</v>
      </c>
      <c r="M694">
        <v>494</v>
      </c>
      <c r="N694">
        <v>0.55000000000000004</v>
      </c>
      <c r="O694">
        <v>90141</v>
      </c>
    </row>
    <row r="695" spans="1:15" x14ac:dyDescent="0.2">
      <c r="A695">
        <v>70</v>
      </c>
      <c r="B695" t="str">
        <f>VLOOKUP(Table1[[#This Row],[CountyID]],[1]!Table1[#All],2,FALSE)</f>
        <v>Scott</v>
      </c>
      <c r="C695">
        <f>VLOOKUP(Table1[[#This Row],[CountyID]],[1]!Table1[#All],3,FALSE)</f>
        <v>54</v>
      </c>
      <c r="D695">
        <v>54</v>
      </c>
      <c r="E695">
        <f>Table1[[#This Row],[Number of Counties]]-Table1[[#This Row],[Number of precincts Reporting]]</f>
        <v>0</v>
      </c>
      <c r="F695" t="s">
        <v>0</v>
      </c>
      <c r="G695" t="s">
        <v>1</v>
      </c>
      <c r="H695">
        <v>101</v>
      </c>
      <c r="I695">
        <v>401</v>
      </c>
      <c r="J695" t="s">
        <v>8</v>
      </c>
      <c r="K695" t="s">
        <v>9</v>
      </c>
      <c r="L695">
        <v>54</v>
      </c>
      <c r="M695">
        <v>674</v>
      </c>
      <c r="N695">
        <v>0.75</v>
      </c>
      <c r="O695">
        <v>90141</v>
      </c>
    </row>
    <row r="696" spans="1:15" x14ac:dyDescent="0.2">
      <c r="A696">
        <v>70</v>
      </c>
      <c r="B696" t="str">
        <f>VLOOKUP(Table1[[#This Row],[CountyID]],[1]!Table1[#All],2,FALSE)</f>
        <v>Scott</v>
      </c>
      <c r="C696">
        <f>VLOOKUP(Table1[[#This Row],[CountyID]],[1]!Table1[#All],3,FALSE)</f>
        <v>54</v>
      </c>
      <c r="D696">
        <v>54</v>
      </c>
      <c r="E696">
        <f>Table1[[#This Row],[Number of Counties]]-Table1[[#This Row],[Number of precincts Reporting]]</f>
        <v>0</v>
      </c>
      <c r="F696" t="s">
        <v>0</v>
      </c>
      <c r="G696" t="s">
        <v>1</v>
      </c>
      <c r="H696">
        <v>101</v>
      </c>
      <c r="I696">
        <v>501</v>
      </c>
      <c r="J696" t="s">
        <v>10</v>
      </c>
      <c r="K696" t="s">
        <v>11</v>
      </c>
      <c r="L696">
        <v>54</v>
      </c>
      <c r="M696">
        <v>400</v>
      </c>
      <c r="N696">
        <v>0.44</v>
      </c>
      <c r="O696">
        <v>90141</v>
      </c>
    </row>
    <row r="697" spans="1:15" x14ac:dyDescent="0.2">
      <c r="A697">
        <v>70</v>
      </c>
      <c r="B697" t="str">
        <f>VLOOKUP(Table1[[#This Row],[CountyID]],[1]!Table1[#All],2,FALSE)</f>
        <v>Scott</v>
      </c>
      <c r="C697">
        <f>VLOOKUP(Table1[[#This Row],[CountyID]],[1]!Table1[#All],3,FALSE)</f>
        <v>54</v>
      </c>
      <c r="D697">
        <v>54</v>
      </c>
      <c r="E697">
        <f>Table1[[#This Row],[Number of Counties]]-Table1[[#This Row],[Number of precincts Reporting]]</f>
        <v>0</v>
      </c>
      <c r="F697" t="s">
        <v>0</v>
      </c>
      <c r="G697" t="s">
        <v>1</v>
      </c>
      <c r="H697">
        <v>101</v>
      </c>
      <c r="I697">
        <v>601</v>
      </c>
      <c r="J697" t="s">
        <v>12</v>
      </c>
      <c r="K697" t="s">
        <v>13</v>
      </c>
      <c r="L697">
        <v>54</v>
      </c>
      <c r="M697">
        <v>28</v>
      </c>
      <c r="N697">
        <v>0.03</v>
      </c>
      <c r="O697">
        <v>90141</v>
      </c>
    </row>
    <row r="698" spans="1:15" x14ac:dyDescent="0.2">
      <c r="A698">
        <v>70</v>
      </c>
      <c r="B698" t="str">
        <f>VLOOKUP(Table1[[#This Row],[CountyID]],[1]!Table1[#All],2,FALSE)</f>
        <v>Scott</v>
      </c>
      <c r="C698">
        <f>VLOOKUP(Table1[[#This Row],[CountyID]],[1]!Table1[#All],3,FALSE)</f>
        <v>54</v>
      </c>
      <c r="D698">
        <v>54</v>
      </c>
      <c r="E698">
        <f>Table1[[#This Row],[Number of Counties]]-Table1[[#This Row],[Number of precincts Reporting]]</f>
        <v>0</v>
      </c>
      <c r="F698" t="s">
        <v>0</v>
      </c>
      <c r="G698" t="s">
        <v>1</v>
      </c>
      <c r="H698">
        <v>101</v>
      </c>
      <c r="I698">
        <v>701</v>
      </c>
      <c r="J698" t="s">
        <v>14</v>
      </c>
      <c r="K698" t="s">
        <v>15</v>
      </c>
      <c r="L698">
        <v>54</v>
      </c>
      <c r="M698">
        <v>5</v>
      </c>
      <c r="N698">
        <v>0.01</v>
      </c>
      <c r="O698">
        <v>90141</v>
      </c>
    </row>
    <row r="699" spans="1:15" x14ac:dyDescent="0.2">
      <c r="A699">
        <v>70</v>
      </c>
      <c r="B699" t="str">
        <f>VLOOKUP(Table1[[#This Row],[CountyID]],[1]!Table1[#All],2,FALSE)</f>
        <v>Scott</v>
      </c>
      <c r="C699">
        <f>VLOOKUP(Table1[[#This Row],[CountyID]],[1]!Table1[#All],3,FALSE)</f>
        <v>54</v>
      </c>
      <c r="D699">
        <v>54</v>
      </c>
      <c r="E699">
        <f>Table1[[#This Row],[Number of Counties]]-Table1[[#This Row],[Number of precincts Reporting]]</f>
        <v>0</v>
      </c>
      <c r="F699" t="s">
        <v>0</v>
      </c>
      <c r="G699" t="s">
        <v>1</v>
      </c>
      <c r="H699">
        <v>101</v>
      </c>
      <c r="I699">
        <v>801</v>
      </c>
      <c r="J699" t="s">
        <v>16</v>
      </c>
      <c r="K699" t="s">
        <v>17</v>
      </c>
      <c r="L699">
        <v>54</v>
      </c>
      <c r="M699">
        <v>73</v>
      </c>
      <c r="N699">
        <v>0.08</v>
      </c>
      <c r="O699">
        <v>90141</v>
      </c>
    </row>
    <row r="700" spans="1:15" x14ac:dyDescent="0.2">
      <c r="A700">
        <v>70</v>
      </c>
      <c r="B700" t="str">
        <f>VLOOKUP(Table1[[#This Row],[CountyID]],[1]!Table1[#All],2,FALSE)</f>
        <v>Scott</v>
      </c>
      <c r="C700">
        <f>VLOOKUP(Table1[[#This Row],[CountyID]],[1]!Table1[#All],3,FALSE)</f>
        <v>54</v>
      </c>
      <c r="D700">
        <v>54</v>
      </c>
      <c r="E700">
        <f>Table1[[#This Row],[Number of Counties]]-Table1[[#This Row],[Number of precincts Reporting]]</f>
        <v>0</v>
      </c>
      <c r="F700" t="s">
        <v>0</v>
      </c>
      <c r="G700" t="s">
        <v>1</v>
      </c>
      <c r="H700">
        <v>101</v>
      </c>
      <c r="I700">
        <v>901</v>
      </c>
      <c r="J700" t="s">
        <v>18</v>
      </c>
      <c r="K700" t="s">
        <v>19</v>
      </c>
      <c r="L700">
        <v>54</v>
      </c>
      <c r="M700">
        <v>81</v>
      </c>
      <c r="N700">
        <v>0.09</v>
      </c>
      <c r="O700">
        <v>90141</v>
      </c>
    </row>
    <row r="701" spans="1:15" x14ac:dyDescent="0.2">
      <c r="A701">
        <v>70</v>
      </c>
      <c r="B701" t="str">
        <f>VLOOKUP(Table1[[#This Row],[CountyID]],[1]!Table1[#All],2,FALSE)</f>
        <v>Scott</v>
      </c>
      <c r="C701">
        <f>VLOOKUP(Table1[[#This Row],[CountyID]],[1]!Table1[#All],3,FALSE)</f>
        <v>54</v>
      </c>
      <c r="D701">
        <v>54</v>
      </c>
      <c r="E701">
        <f>Table1[[#This Row],[Number of Counties]]-Table1[[#This Row],[Number of precincts Reporting]]</f>
        <v>0</v>
      </c>
      <c r="F701" t="s">
        <v>0</v>
      </c>
      <c r="G701" t="s">
        <v>1</v>
      </c>
      <c r="H701">
        <v>101</v>
      </c>
      <c r="I701">
        <v>9901</v>
      </c>
      <c r="J701" t="s">
        <v>20</v>
      </c>
      <c r="K701" t="s">
        <v>21</v>
      </c>
      <c r="L701">
        <v>54</v>
      </c>
      <c r="M701">
        <v>335</v>
      </c>
      <c r="N701">
        <v>0.37</v>
      </c>
      <c r="O701">
        <v>90141</v>
      </c>
    </row>
    <row r="702" spans="1:15" x14ac:dyDescent="0.2">
      <c r="A702">
        <v>71</v>
      </c>
      <c r="B702" t="str">
        <f>VLOOKUP(Table1[[#This Row],[CountyID]],[1]!Table1[#All],2,FALSE)</f>
        <v>Sherburne</v>
      </c>
      <c r="C702">
        <f>VLOOKUP(Table1[[#This Row],[CountyID]],[1]!Table1[#All],3,FALSE)</f>
        <v>35</v>
      </c>
      <c r="D702">
        <v>35</v>
      </c>
      <c r="E702">
        <f>Table1[[#This Row],[Number of Counties]]-Table1[[#This Row],[Number of precincts Reporting]]</f>
        <v>0</v>
      </c>
      <c r="F702" t="s">
        <v>0</v>
      </c>
      <c r="G702" t="s">
        <v>1</v>
      </c>
      <c r="H702">
        <v>101</v>
      </c>
      <c r="I702">
        <v>101</v>
      </c>
      <c r="J702" t="s">
        <v>2</v>
      </c>
      <c r="K702" t="s">
        <v>3</v>
      </c>
      <c r="L702">
        <v>35</v>
      </c>
      <c r="M702">
        <v>38491</v>
      </c>
      <c r="N702">
        <v>66.41</v>
      </c>
      <c r="O702">
        <v>57960</v>
      </c>
    </row>
    <row r="703" spans="1:15" x14ac:dyDescent="0.2">
      <c r="A703">
        <v>71</v>
      </c>
      <c r="B703" t="str">
        <f>VLOOKUP(Table1[[#This Row],[CountyID]],[1]!Table1[#All],2,FALSE)</f>
        <v>Sherburne</v>
      </c>
      <c r="C703">
        <f>VLOOKUP(Table1[[#This Row],[CountyID]],[1]!Table1[#All],3,FALSE)</f>
        <v>35</v>
      </c>
      <c r="D703">
        <v>35</v>
      </c>
      <c r="E703">
        <f>Table1[[#This Row],[Number of Counties]]-Table1[[#This Row],[Number of precincts Reporting]]</f>
        <v>0</v>
      </c>
      <c r="F703" t="s">
        <v>0</v>
      </c>
      <c r="G703" t="s">
        <v>1</v>
      </c>
      <c r="H703">
        <v>101</v>
      </c>
      <c r="I703">
        <v>201</v>
      </c>
      <c r="J703" t="s">
        <v>4</v>
      </c>
      <c r="K703" t="s">
        <v>5</v>
      </c>
      <c r="L703">
        <v>35</v>
      </c>
      <c r="M703">
        <v>18329</v>
      </c>
      <c r="N703">
        <v>31.62</v>
      </c>
      <c r="O703">
        <v>57960</v>
      </c>
    </row>
    <row r="704" spans="1:15" x14ac:dyDescent="0.2">
      <c r="A704">
        <v>71</v>
      </c>
      <c r="B704" t="str">
        <f>VLOOKUP(Table1[[#This Row],[CountyID]],[1]!Table1[#All],2,FALSE)</f>
        <v>Sherburne</v>
      </c>
      <c r="C704">
        <f>VLOOKUP(Table1[[#This Row],[CountyID]],[1]!Table1[#All],3,FALSE)</f>
        <v>35</v>
      </c>
      <c r="D704">
        <v>35</v>
      </c>
      <c r="E704">
        <f>Table1[[#This Row],[Number of Counties]]-Table1[[#This Row],[Number of precincts Reporting]]</f>
        <v>0</v>
      </c>
      <c r="F704" t="s">
        <v>0</v>
      </c>
      <c r="G704" t="s">
        <v>1</v>
      </c>
      <c r="H704">
        <v>101</v>
      </c>
      <c r="I704">
        <v>301</v>
      </c>
      <c r="J704" t="s">
        <v>6</v>
      </c>
      <c r="K704" t="s">
        <v>7</v>
      </c>
      <c r="L704">
        <v>35</v>
      </c>
      <c r="M704">
        <v>302</v>
      </c>
      <c r="N704">
        <v>0.52</v>
      </c>
      <c r="O704">
        <v>57960</v>
      </c>
    </row>
    <row r="705" spans="1:15" x14ac:dyDescent="0.2">
      <c r="A705">
        <v>71</v>
      </c>
      <c r="B705" t="str">
        <f>VLOOKUP(Table1[[#This Row],[CountyID]],[1]!Table1[#All],2,FALSE)</f>
        <v>Sherburne</v>
      </c>
      <c r="C705">
        <f>VLOOKUP(Table1[[#This Row],[CountyID]],[1]!Table1[#All],3,FALSE)</f>
        <v>35</v>
      </c>
      <c r="D705">
        <v>35</v>
      </c>
      <c r="E705">
        <f>Table1[[#This Row],[Number of Counties]]-Table1[[#This Row],[Number of precincts Reporting]]</f>
        <v>0</v>
      </c>
      <c r="F705" t="s">
        <v>0</v>
      </c>
      <c r="G705" t="s">
        <v>1</v>
      </c>
      <c r="H705">
        <v>101</v>
      </c>
      <c r="I705">
        <v>401</v>
      </c>
      <c r="J705" t="s">
        <v>8</v>
      </c>
      <c r="K705" t="s">
        <v>9</v>
      </c>
      <c r="L705">
        <v>35</v>
      </c>
      <c r="M705">
        <v>391</v>
      </c>
      <c r="N705">
        <v>0.67</v>
      </c>
      <c r="O705">
        <v>57960</v>
      </c>
    </row>
    <row r="706" spans="1:15" x14ac:dyDescent="0.2">
      <c r="A706">
        <v>71</v>
      </c>
      <c r="B706" t="str">
        <f>VLOOKUP(Table1[[#This Row],[CountyID]],[1]!Table1[#All],2,FALSE)</f>
        <v>Sherburne</v>
      </c>
      <c r="C706">
        <f>VLOOKUP(Table1[[#This Row],[CountyID]],[1]!Table1[#All],3,FALSE)</f>
        <v>35</v>
      </c>
      <c r="D706">
        <v>35</v>
      </c>
      <c r="E706">
        <f>Table1[[#This Row],[Number of Counties]]-Table1[[#This Row],[Number of precincts Reporting]]</f>
        <v>0</v>
      </c>
      <c r="F706" t="s">
        <v>0</v>
      </c>
      <c r="G706" t="s">
        <v>1</v>
      </c>
      <c r="H706">
        <v>101</v>
      </c>
      <c r="I706">
        <v>501</v>
      </c>
      <c r="J706" t="s">
        <v>10</v>
      </c>
      <c r="K706" t="s">
        <v>11</v>
      </c>
      <c r="L706">
        <v>35</v>
      </c>
      <c r="M706">
        <v>139</v>
      </c>
      <c r="N706">
        <v>0.24</v>
      </c>
      <c r="O706">
        <v>57960</v>
      </c>
    </row>
    <row r="707" spans="1:15" x14ac:dyDescent="0.2">
      <c r="A707">
        <v>71</v>
      </c>
      <c r="B707" t="str">
        <f>VLOOKUP(Table1[[#This Row],[CountyID]],[1]!Table1[#All],2,FALSE)</f>
        <v>Sherburne</v>
      </c>
      <c r="C707">
        <f>VLOOKUP(Table1[[#This Row],[CountyID]],[1]!Table1[#All],3,FALSE)</f>
        <v>35</v>
      </c>
      <c r="D707">
        <v>35</v>
      </c>
      <c r="E707">
        <f>Table1[[#This Row],[Number of Counties]]-Table1[[#This Row],[Number of precincts Reporting]]</f>
        <v>0</v>
      </c>
      <c r="F707" t="s">
        <v>0</v>
      </c>
      <c r="G707" t="s">
        <v>1</v>
      </c>
      <c r="H707">
        <v>101</v>
      </c>
      <c r="I707">
        <v>601</v>
      </c>
      <c r="J707" t="s">
        <v>12</v>
      </c>
      <c r="K707" t="s">
        <v>13</v>
      </c>
      <c r="L707">
        <v>35</v>
      </c>
      <c r="M707">
        <v>25</v>
      </c>
      <c r="N707">
        <v>0.04</v>
      </c>
      <c r="O707">
        <v>57960</v>
      </c>
    </row>
    <row r="708" spans="1:15" x14ac:dyDescent="0.2">
      <c r="A708">
        <v>71</v>
      </c>
      <c r="B708" t="str">
        <f>VLOOKUP(Table1[[#This Row],[CountyID]],[1]!Table1[#All],2,FALSE)</f>
        <v>Sherburne</v>
      </c>
      <c r="C708">
        <f>VLOOKUP(Table1[[#This Row],[CountyID]],[1]!Table1[#All],3,FALSE)</f>
        <v>35</v>
      </c>
      <c r="D708">
        <v>35</v>
      </c>
      <c r="E708">
        <f>Table1[[#This Row],[Number of Counties]]-Table1[[#This Row],[Number of precincts Reporting]]</f>
        <v>0</v>
      </c>
      <c r="F708" t="s">
        <v>0</v>
      </c>
      <c r="G708" t="s">
        <v>1</v>
      </c>
      <c r="H708">
        <v>101</v>
      </c>
      <c r="I708">
        <v>701</v>
      </c>
      <c r="J708" t="s">
        <v>14</v>
      </c>
      <c r="K708" t="s">
        <v>15</v>
      </c>
      <c r="L708">
        <v>35</v>
      </c>
      <c r="M708">
        <v>11</v>
      </c>
      <c r="N708">
        <v>0.02</v>
      </c>
      <c r="O708">
        <v>57960</v>
      </c>
    </row>
    <row r="709" spans="1:15" x14ac:dyDescent="0.2">
      <c r="A709">
        <v>71</v>
      </c>
      <c r="B709" t="str">
        <f>VLOOKUP(Table1[[#This Row],[CountyID]],[1]!Table1[#All],2,FALSE)</f>
        <v>Sherburne</v>
      </c>
      <c r="C709">
        <f>VLOOKUP(Table1[[#This Row],[CountyID]],[1]!Table1[#All],3,FALSE)</f>
        <v>35</v>
      </c>
      <c r="D709">
        <v>35</v>
      </c>
      <c r="E709">
        <f>Table1[[#This Row],[Number of Counties]]-Table1[[#This Row],[Number of precincts Reporting]]</f>
        <v>0</v>
      </c>
      <c r="F709" t="s">
        <v>0</v>
      </c>
      <c r="G709" t="s">
        <v>1</v>
      </c>
      <c r="H709">
        <v>101</v>
      </c>
      <c r="I709">
        <v>801</v>
      </c>
      <c r="J709" t="s">
        <v>16</v>
      </c>
      <c r="K709" t="s">
        <v>17</v>
      </c>
      <c r="L709">
        <v>35</v>
      </c>
      <c r="M709">
        <v>37</v>
      </c>
      <c r="N709">
        <v>0.06</v>
      </c>
      <c r="O709">
        <v>57960</v>
      </c>
    </row>
    <row r="710" spans="1:15" x14ac:dyDescent="0.2">
      <c r="A710">
        <v>71</v>
      </c>
      <c r="B710" t="str">
        <f>VLOOKUP(Table1[[#This Row],[CountyID]],[1]!Table1[#All],2,FALSE)</f>
        <v>Sherburne</v>
      </c>
      <c r="C710">
        <f>VLOOKUP(Table1[[#This Row],[CountyID]],[1]!Table1[#All],3,FALSE)</f>
        <v>35</v>
      </c>
      <c r="D710">
        <v>35</v>
      </c>
      <c r="E710">
        <f>Table1[[#This Row],[Number of Counties]]-Table1[[#This Row],[Number of precincts Reporting]]</f>
        <v>0</v>
      </c>
      <c r="F710" t="s">
        <v>0</v>
      </c>
      <c r="G710" t="s">
        <v>1</v>
      </c>
      <c r="H710">
        <v>101</v>
      </c>
      <c r="I710">
        <v>901</v>
      </c>
      <c r="J710" t="s">
        <v>18</v>
      </c>
      <c r="K710" t="s">
        <v>19</v>
      </c>
      <c r="L710">
        <v>35</v>
      </c>
      <c r="M710">
        <v>52</v>
      </c>
      <c r="N710">
        <v>0.09</v>
      </c>
      <c r="O710">
        <v>57960</v>
      </c>
    </row>
    <row r="711" spans="1:15" x14ac:dyDescent="0.2">
      <c r="A711">
        <v>71</v>
      </c>
      <c r="B711" t="str">
        <f>VLOOKUP(Table1[[#This Row],[CountyID]],[1]!Table1[#All],2,FALSE)</f>
        <v>Sherburne</v>
      </c>
      <c r="C711">
        <f>VLOOKUP(Table1[[#This Row],[CountyID]],[1]!Table1[#All],3,FALSE)</f>
        <v>35</v>
      </c>
      <c r="D711">
        <v>35</v>
      </c>
      <c r="E711">
        <f>Table1[[#This Row],[Number of Counties]]-Table1[[#This Row],[Number of precincts Reporting]]</f>
        <v>0</v>
      </c>
      <c r="F711" t="s">
        <v>0</v>
      </c>
      <c r="G711" t="s">
        <v>1</v>
      </c>
      <c r="H711">
        <v>101</v>
      </c>
      <c r="I711">
        <v>9901</v>
      </c>
      <c r="J711" t="s">
        <v>20</v>
      </c>
      <c r="K711" t="s">
        <v>21</v>
      </c>
      <c r="L711">
        <v>35</v>
      </c>
      <c r="M711">
        <v>183</v>
      </c>
      <c r="N711">
        <v>0.32</v>
      </c>
      <c r="O711">
        <v>57960</v>
      </c>
    </row>
    <row r="712" spans="1:15" x14ac:dyDescent="0.2">
      <c r="A712">
        <v>72</v>
      </c>
      <c r="B712" t="str">
        <f>VLOOKUP(Table1[[#This Row],[CountyID]],[1]!Table1[#All],2,FALSE)</f>
        <v>Sibley</v>
      </c>
      <c r="C712">
        <f>VLOOKUP(Table1[[#This Row],[CountyID]],[1]!Table1[#All],3,FALSE)</f>
        <v>25</v>
      </c>
      <c r="D712">
        <v>25</v>
      </c>
      <c r="E712">
        <f>Table1[[#This Row],[Number of Counties]]-Table1[[#This Row],[Number of precincts Reporting]]</f>
        <v>0</v>
      </c>
      <c r="F712" t="s">
        <v>0</v>
      </c>
      <c r="G712" t="s">
        <v>1</v>
      </c>
      <c r="H712">
        <v>101</v>
      </c>
      <c r="I712">
        <v>101</v>
      </c>
      <c r="J712" t="s">
        <v>2</v>
      </c>
      <c r="K712" t="s">
        <v>3</v>
      </c>
      <c r="L712">
        <v>25</v>
      </c>
      <c r="M712">
        <v>6014</v>
      </c>
      <c r="N712">
        <v>70.45</v>
      </c>
      <c r="O712">
        <v>8537</v>
      </c>
    </row>
    <row r="713" spans="1:15" x14ac:dyDescent="0.2">
      <c r="A713">
        <v>72</v>
      </c>
      <c r="B713" t="str">
        <f>VLOOKUP(Table1[[#This Row],[CountyID]],[1]!Table1[#All],2,FALSE)</f>
        <v>Sibley</v>
      </c>
      <c r="C713">
        <f>VLOOKUP(Table1[[#This Row],[CountyID]],[1]!Table1[#All],3,FALSE)</f>
        <v>25</v>
      </c>
      <c r="D713">
        <v>25</v>
      </c>
      <c r="E713">
        <f>Table1[[#This Row],[Number of Counties]]-Table1[[#This Row],[Number of precincts Reporting]]</f>
        <v>0</v>
      </c>
      <c r="F713" t="s">
        <v>0</v>
      </c>
      <c r="G713" t="s">
        <v>1</v>
      </c>
      <c r="H713">
        <v>101</v>
      </c>
      <c r="I713">
        <v>201</v>
      </c>
      <c r="J713" t="s">
        <v>4</v>
      </c>
      <c r="K713" t="s">
        <v>5</v>
      </c>
      <c r="L713">
        <v>25</v>
      </c>
      <c r="M713">
        <v>2351</v>
      </c>
      <c r="N713">
        <v>27.54</v>
      </c>
      <c r="O713">
        <v>8537</v>
      </c>
    </row>
    <row r="714" spans="1:15" x14ac:dyDescent="0.2">
      <c r="A714">
        <v>72</v>
      </c>
      <c r="B714" t="str">
        <f>VLOOKUP(Table1[[#This Row],[CountyID]],[1]!Table1[#All],2,FALSE)</f>
        <v>Sibley</v>
      </c>
      <c r="C714">
        <f>VLOOKUP(Table1[[#This Row],[CountyID]],[1]!Table1[#All],3,FALSE)</f>
        <v>25</v>
      </c>
      <c r="D714">
        <v>25</v>
      </c>
      <c r="E714">
        <f>Table1[[#This Row],[Number of Counties]]-Table1[[#This Row],[Number of precincts Reporting]]</f>
        <v>0</v>
      </c>
      <c r="F714" t="s">
        <v>0</v>
      </c>
      <c r="G714" t="s">
        <v>1</v>
      </c>
      <c r="H714">
        <v>101</v>
      </c>
      <c r="I714">
        <v>301</v>
      </c>
      <c r="J714" t="s">
        <v>6</v>
      </c>
      <c r="K714" t="s">
        <v>7</v>
      </c>
      <c r="L714">
        <v>25</v>
      </c>
      <c r="M714">
        <v>33</v>
      </c>
      <c r="N714">
        <v>0.39</v>
      </c>
      <c r="O714">
        <v>8537</v>
      </c>
    </row>
    <row r="715" spans="1:15" x14ac:dyDescent="0.2">
      <c r="A715">
        <v>72</v>
      </c>
      <c r="B715" t="str">
        <f>VLOOKUP(Table1[[#This Row],[CountyID]],[1]!Table1[#All],2,FALSE)</f>
        <v>Sibley</v>
      </c>
      <c r="C715">
        <f>VLOOKUP(Table1[[#This Row],[CountyID]],[1]!Table1[#All],3,FALSE)</f>
        <v>25</v>
      </c>
      <c r="D715">
        <v>25</v>
      </c>
      <c r="E715">
        <f>Table1[[#This Row],[Number of Counties]]-Table1[[#This Row],[Number of precincts Reporting]]</f>
        <v>0</v>
      </c>
      <c r="F715" t="s">
        <v>0</v>
      </c>
      <c r="G715" t="s">
        <v>1</v>
      </c>
      <c r="H715">
        <v>101</v>
      </c>
      <c r="I715">
        <v>401</v>
      </c>
      <c r="J715" t="s">
        <v>8</v>
      </c>
      <c r="K715" t="s">
        <v>9</v>
      </c>
      <c r="L715">
        <v>25</v>
      </c>
      <c r="M715">
        <v>78</v>
      </c>
      <c r="N715">
        <v>0.91</v>
      </c>
      <c r="O715">
        <v>8537</v>
      </c>
    </row>
    <row r="716" spans="1:15" x14ac:dyDescent="0.2">
      <c r="A716">
        <v>72</v>
      </c>
      <c r="B716" t="str">
        <f>VLOOKUP(Table1[[#This Row],[CountyID]],[1]!Table1[#All],2,FALSE)</f>
        <v>Sibley</v>
      </c>
      <c r="C716">
        <f>VLOOKUP(Table1[[#This Row],[CountyID]],[1]!Table1[#All],3,FALSE)</f>
        <v>25</v>
      </c>
      <c r="D716">
        <v>25</v>
      </c>
      <c r="E716">
        <f>Table1[[#This Row],[Number of Counties]]-Table1[[#This Row],[Number of precincts Reporting]]</f>
        <v>0</v>
      </c>
      <c r="F716" t="s">
        <v>0</v>
      </c>
      <c r="G716" t="s">
        <v>1</v>
      </c>
      <c r="H716">
        <v>101</v>
      </c>
      <c r="I716">
        <v>501</v>
      </c>
      <c r="J716" t="s">
        <v>10</v>
      </c>
      <c r="K716" t="s">
        <v>11</v>
      </c>
      <c r="L716">
        <v>25</v>
      </c>
      <c r="M716">
        <v>18</v>
      </c>
      <c r="N716">
        <v>0.21</v>
      </c>
      <c r="O716">
        <v>8537</v>
      </c>
    </row>
    <row r="717" spans="1:15" x14ac:dyDescent="0.2">
      <c r="A717">
        <v>72</v>
      </c>
      <c r="B717" t="str">
        <f>VLOOKUP(Table1[[#This Row],[CountyID]],[1]!Table1[#All],2,FALSE)</f>
        <v>Sibley</v>
      </c>
      <c r="C717">
        <f>VLOOKUP(Table1[[#This Row],[CountyID]],[1]!Table1[#All],3,FALSE)</f>
        <v>25</v>
      </c>
      <c r="D717">
        <v>25</v>
      </c>
      <c r="E717">
        <f>Table1[[#This Row],[Number of Counties]]-Table1[[#This Row],[Number of precincts Reporting]]</f>
        <v>0</v>
      </c>
      <c r="F717" t="s">
        <v>0</v>
      </c>
      <c r="G717" t="s">
        <v>1</v>
      </c>
      <c r="H717">
        <v>101</v>
      </c>
      <c r="I717">
        <v>601</v>
      </c>
      <c r="J717" t="s">
        <v>12</v>
      </c>
      <c r="K717" t="s">
        <v>13</v>
      </c>
      <c r="L717">
        <v>25</v>
      </c>
      <c r="M717">
        <v>4</v>
      </c>
      <c r="N717">
        <v>0.05</v>
      </c>
      <c r="O717">
        <v>8537</v>
      </c>
    </row>
    <row r="718" spans="1:15" x14ac:dyDescent="0.2">
      <c r="A718">
        <v>72</v>
      </c>
      <c r="B718" t="str">
        <f>VLOOKUP(Table1[[#This Row],[CountyID]],[1]!Table1[#All],2,FALSE)</f>
        <v>Sibley</v>
      </c>
      <c r="C718">
        <f>VLOOKUP(Table1[[#This Row],[CountyID]],[1]!Table1[#All],3,FALSE)</f>
        <v>25</v>
      </c>
      <c r="D718">
        <v>25</v>
      </c>
      <c r="E718">
        <f>Table1[[#This Row],[Number of Counties]]-Table1[[#This Row],[Number of precincts Reporting]]</f>
        <v>0</v>
      </c>
      <c r="F718" t="s">
        <v>0</v>
      </c>
      <c r="G718" t="s">
        <v>1</v>
      </c>
      <c r="H718">
        <v>101</v>
      </c>
      <c r="I718">
        <v>701</v>
      </c>
      <c r="J718" t="s">
        <v>14</v>
      </c>
      <c r="K718" t="s">
        <v>15</v>
      </c>
      <c r="L718">
        <v>25</v>
      </c>
      <c r="M718">
        <v>3</v>
      </c>
      <c r="N718">
        <v>0.04</v>
      </c>
      <c r="O718">
        <v>8537</v>
      </c>
    </row>
    <row r="719" spans="1:15" x14ac:dyDescent="0.2">
      <c r="A719">
        <v>72</v>
      </c>
      <c r="B719" t="str">
        <f>VLOOKUP(Table1[[#This Row],[CountyID]],[1]!Table1[#All],2,FALSE)</f>
        <v>Sibley</v>
      </c>
      <c r="C719">
        <f>VLOOKUP(Table1[[#This Row],[CountyID]],[1]!Table1[#All],3,FALSE)</f>
        <v>25</v>
      </c>
      <c r="D719">
        <v>25</v>
      </c>
      <c r="E719">
        <f>Table1[[#This Row],[Number of Counties]]-Table1[[#This Row],[Number of precincts Reporting]]</f>
        <v>0</v>
      </c>
      <c r="F719" t="s">
        <v>0</v>
      </c>
      <c r="G719" t="s">
        <v>1</v>
      </c>
      <c r="H719">
        <v>101</v>
      </c>
      <c r="I719">
        <v>801</v>
      </c>
      <c r="J719" t="s">
        <v>16</v>
      </c>
      <c r="K719" t="s">
        <v>17</v>
      </c>
      <c r="L719">
        <v>25</v>
      </c>
      <c r="M719">
        <v>3</v>
      </c>
      <c r="N719">
        <v>0.04</v>
      </c>
      <c r="O719">
        <v>8537</v>
      </c>
    </row>
    <row r="720" spans="1:15" x14ac:dyDescent="0.2">
      <c r="A720">
        <v>72</v>
      </c>
      <c r="B720" t="str">
        <f>VLOOKUP(Table1[[#This Row],[CountyID]],[1]!Table1[#All],2,FALSE)</f>
        <v>Sibley</v>
      </c>
      <c r="C720">
        <f>VLOOKUP(Table1[[#This Row],[CountyID]],[1]!Table1[#All],3,FALSE)</f>
        <v>25</v>
      </c>
      <c r="D720">
        <v>25</v>
      </c>
      <c r="E720">
        <f>Table1[[#This Row],[Number of Counties]]-Table1[[#This Row],[Number of precincts Reporting]]</f>
        <v>0</v>
      </c>
      <c r="F720" t="s">
        <v>0</v>
      </c>
      <c r="G720" t="s">
        <v>1</v>
      </c>
      <c r="H720">
        <v>101</v>
      </c>
      <c r="I720">
        <v>901</v>
      </c>
      <c r="J720" t="s">
        <v>18</v>
      </c>
      <c r="K720" t="s">
        <v>19</v>
      </c>
      <c r="L720">
        <v>25</v>
      </c>
      <c r="M720">
        <v>8</v>
      </c>
      <c r="N720">
        <v>0.09</v>
      </c>
      <c r="O720">
        <v>8537</v>
      </c>
    </row>
    <row r="721" spans="1:15" x14ac:dyDescent="0.2">
      <c r="A721">
        <v>72</v>
      </c>
      <c r="B721" t="str">
        <f>VLOOKUP(Table1[[#This Row],[CountyID]],[1]!Table1[#All],2,FALSE)</f>
        <v>Sibley</v>
      </c>
      <c r="C721">
        <f>VLOOKUP(Table1[[#This Row],[CountyID]],[1]!Table1[#All],3,FALSE)</f>
        <v>25</v>
      </c>
      <c r="D721">
        <v>25</v>
      </c>
      <c r="E721">
        <f>Table1[[#This Row],[Number of Counties]]-Table1[[#This Row],[Number of precincts Reporting]]</f>
        <v>0</v>
      </c>
      <c r="F721" t="s">
        <v>0</v>
      </c>
      <c r="G721" t="s">
        <v>1</v>
      </c>
      <c r="H721">
        <v>101</v>
      </c>
      <c r="I721">
        <v>9901</v>
      </c>
      <c r="J721" t="s">
        <v>20</v>
      </c>
      <c r="K721" t="s">
        <v>21</v>
      </c>
      <c r="L721">
        <v>25</v>
      </c>
      <c r="M721">
        <v>25</v>
      </c>
      <c r="N721">
        <v>0.28999999999999998</v>
      </c>
      <c r="O721">
        <v>8537</v>
      </c>
    </row>
    <row r="722" spans="1:15" x14ac:dyDescent="0.2">
      <c r="A722">
        <v>73</v>
      </c>
      <c r="B722" t="str">
        <f>VLOOKUP(Table1[[#This Row],[CountyID]],[1]!Table1[#All],2,FALSE)</f>
        <v>Stearns</v>
      </c>
      <c r="C722">
        <f>VLOOKUP(Table1[[#This Row],[CountyID]],[1]!Table1[#All],3,FALSE)</f>
        <v>98</v>
      </c>
      <c r="D722">
        <v>98</v>
      </c>
      <c r="E722">
        <f>Table1[[#This Row],[Number of Counties]]-Table1[[#This Row],[Number of precincts Reporting]]</f>
        <v>0</v>
      </c>
      <c r="F722" t="s">
        <v>0</v>
      </c>
      <c r="G722" t="s">
        <v>1</v>
      </c>
      <c r="H722">
        <v>101</v>
      </c>
      <c r="I722">
        <v>101</v>
      </c>
      <c r="J722" t="s">
        <v>2</v>
      </c>
      <c r="K722" t="s">
        <v>3</v>
      </c>
      <c r="L722">
        <v>98</v>
      </c>
      <c r="M722">
        <v>53932</v>
      </c>
      <c r="N722">
        <v>62.25</v>
      </c>
      <c r="O722">
        <v>86632</v>
      </c>
    </row>
    <row r="723" spans="1:15" x14ac:dyDescent="0.2">
      <c r="A723">
        <v>73</v>
      </c>
      <c r="B723" t="str">
        <f>VLOOKUP(Table1[[#This Row],[CountyID]],[1]!Table1[#All],2,FALSE)</f>
        <v>Stearns</v>
      </c>
      <c r="C723">
        <f>VLOOKUP(Table1[[#This Row],[CountyID]],[1]!Table1[#All],3,FALSE)</f>
        <v>98</v>
      </c>
      <c r="D723">
        <v>98</v>
      </c>
      <c r="E723">
        <f>Table1[[#This Row],[Number of Counties]]-Table1[[#This Row],[Number of precincts Reporting]]</f>
        <v>0</v>
      </c>
      <c r="F723" t="s">
        <v>0</v>
      </c>
      <c r="G723" t="s">
        <v>1</v>
      </c>
      <c r="H723">
        <v>101</v>
      </c>
      <c r="I723">
        <v>201</v>
      </c>
      <c r="J723" t="s">
        <v>4</v>
      </c>
      <c r="K723" t="s">
        <v>5</v>
      </c>
      <c r="L723">
        <v>98</v>
      </c>
      <c r="M723">
        <v>30829</v>
      </c>
      <c r="N723">
        <v>35.590000000000003</v>
      </c>
      <c r="O723">
        <v>86632</v>
      </c>
    </row>
    <row r="724" spans="1:15" x14ac:dyDescent="0.2">
      <c r="A724">
        <v>73</v>
      </c>
      <c r="B724" t="str">
        <f>VLOOKUP(Table1[[#This Row],[CountyID]],[1]!Table1[#All],2,FALSE)</f>
        <v>Stearns</v>
      </c>
      <c r="C724">
        <f>VLOOKUP(Table1[[#This Row],[CountyID]],[1]!Table1[#All],3,FALSE)</f>
        <v>98</v>
      </c>
      <c r="D724">
        <v>98</v>
      </c>
      <c r="E724">
        <f>Table1[[#This Row],[Number of Counties]]-Table1[[#This Row],[Number of precincts Reporting]]</f>
        <v>0</v>
      </c>
      <c r="F724" t="s">
        <v>0</v>
      </c>
      <c r="G724" t="s">
        <v>1</v>
      </c>
      <c r="H724">
        <v>101</v>
      </c>
      <c r="I724">
        <v>301</v>
      </c>
      <c r="J724" t="s">
        <v>6</v>
      </c>
      <c r="K724" t="s">
        <v>7</v>
      </c>
      <c r="L724">
        <v>98</v>
      </c>
      <c r="M724">
        <v>338</v>
      </c>
      <c r="N724">
        <v>0.39</v>
      </c>
      <c r="O724">
        <v>86632</v>
      </c>
    </row>
    <row r="725" spans="1:15" x14ac:dyDescent="0.2">
      <c r="A725">
        <v>73</v>
      </c>
      <c r="B725" t="str">
        <f>VLOOKUP(Table1[[#This Row],[CountyID]],[1]!Table1[#All],2,FALSE)</f>
        <v>Stearns</v>
      </c>
      <c r="C725">
        <f>VLOOKUP(Table1[[#This Row],[CountyID]],[1]!Table1[#All],3,FALSE)</f>
        <v>98</v>
      </c>
      <c r="D725">
        <v>98</v>
      </c>
      <c r="E725">
        <f>Table1[[#This Row],[Number of Counties]]-Table1[[#This Row],[Number of precincts Reporting]]</f>
        <v>0</v>
      </c>
      <c r="F725" t="s">
        <v>0</v>
      </c>
      <c r="G725" t="s">
        <v>1</v>
      </c>
      <c r="H725">
        <v>101</v>
      </c>
      <c r="I725">
        <v>401</v>
      </c>
      <c r="J725" t="s">
        <v>8</v>
      </c>
      <c r="K725" t="s">
        <v>9</v>
      </c>
      <c r="L725">
        <v>98</v>
      </c>
      <c r="M725">
        <v>705</v>
      </c>
      <c r="N725">
        <v>0.81</v>
      </c>
      <c r="O725">
        <v>86632</v>
      </c>
    </row>
    <row r="726" spans="1:15" x14ac:dyDescent="0.2">
      <c r="A726">
        <v>73</v>
      </c>
      <c r="B726" t="str">
        <f>VLOOKUP(Table1[[#This Row],[CountyID]],[1]!Table1[#All],2,FALSE)</f>
        <v>Stearns</v>
      </c>
      <c r="C726">
        <f>VLOOKUP(Table1[[#This Row],[CountyID]],[1]!Table1[#All],3,FALSE)</f>
        <v>98</v>
      </c>
      <c r="D726">
        <v>98</v>
      </c>
      <c r="E726">
        <f>Table1[[#This Row],[Number of Counties]]-Table1[[#This Row],[Number of precincts Reporting]]</f>
        <v>0</v>
      </c>
      <c r="F726" t="s">
        <v>0</v>
      </c>
      <c r="G726" t="s">
        <v>1</v>
      </c>
      <c r="H726">
        <v>101</v>
      </c>
      <c r="I726">
        <v>501</v>
      </c>
      <c r="J726" t="s">
        <v>10</v>
      </c>
      <c r="K726" t="s">
        <v>11</v>
      </c>
      <c r="L726">
        <v>98</v>
      </c>
      <c r="M726">
        <v>354</v>
      </c>
      <c r="N726">
        <v>0.41</v>
      </c>
      <c r="O726">
        <v>86632</v>
      </c>
    </row>
    <row r="727" spans="1:15" x14ac:dyDescent="0.2">
      <c r="A727">
        <v>73</v>
      </c>
      <c r="B727" t="str">
        <f>VLOOKUP(Table1[[#This Row],[CountyID]],[1]!Table1[#All],2,FALSE)</f>
        <v>Stearns</v>
      </c>
      <c r="C727">
        <f>VLOOKUP(Table1[[#This Row],[CountyID]],[1]!Table1[#All],3,FALSE)</f>
        <v>98</v>
      </c>
      <c r="D727">
        <v>98</v>
      </c>
      <c r="E727">
        <f>Table1[[#This Row],[Number of Counties]]-Table1[[#This Row],[Number of precincts Reporting]]</f>
        <v>0</v>
      </c>
      <c r="F727" t="s">
        <v>0</v>
      </c>
      <c r="G727" t="s">
        <v>1</v>
      </c>
      <c r="H727">
        <v>101</v>
      </c>
      <c r="I727">
        <v>601</v>
      </c>
      <c r="J727" t="s">
        <v>12</v>
      </c>
      <c r="K727" t="s">
        <v>13</v>
      </c>
      <c r="L727">
        <v>98</v>
      </c>
      <c r="M727">
        <v>41</v>
      </c>
      <c r="N727">
        <v>0.05</v>
      </c>
      <c r="O727">
        <v>86632</v>
      </c>
    </row>
    <row r="728" spans="1:15" x14ac:dyDescent="0.2">
      <c r="A728">
        <v>73</v>
      </c>
      <c r="B728" t="str">
        <f>VLOOKUP(Table1[[#This Row],[CountyID]],[1]!Table1[#All],2,FALSE)</f>
        <v>Stearns</v>
      </c>
      <c r="C728">
        <f>VLOOKUP(Table1[[#This Row],[CountyID]],[1]!Table1[#All],3,FALSE)</f>
        <v>98</v>
      </c>
      <c r="D728">
        <v>98</v>
      </c>
      <c r="E728">
        <f>Table1[[#This Row],[Number of Counties]]-Table1[[#This Row],[Number of precincts Reporting]]</f>
        <v>0</v>
      </c>
      <c r="F728" t="s">
        <v>0</v>
      </c>
      <c r="G728" t="s">
        <v>1</v>
      </c>
      <c r="H728">
        <v>101</v>
      </c>
      <c r="I728">
        <v>701</v>
      </c>
      <c r="J728" t="s">
        <v>14</v>
      </c>
      <c r="K728" t="s">
        <v>15</v>
      </c>
      <c r="L728">
        <v>98</v>
      </c>
      <c r="M728">
        <v>13</v>
      </c>
      <c r="N728">
        <v>0.02</v>
      </c>
      <c r="O728">
        <v>86632</v>
      </c>
    </row>
    <row r="729" spans="1:15" x14ac:dyDescent="0.2">
      <c r="A729">
        <v>73</v>
      </c>
      <c r="B729" t="str">
        <f>VLOOKUP(Table1[[#This Row],[CountyID]],[1]!Table1[#All],2,FALSE)</f>
        <v>Stearns</v>
      </c>
      <c r="C729">
        <f>VLOOKUP(Table1[[#This Row],[CountyID]],[1]!Table1[#All],3,FALSE)</f>
        <v>98</v>
      </c>
      <c r="D729">
        <v>98</v>
      </c>
      <c r="E729">
        <f>Table1[[#This Row],[Number of Counties]]-Table1[[#This Row],[Number of precincts Reporting]]</f>
        <v>0</v>
      </c>
      <c r="F729" t="s">
        <v>0</v>
      </c>
      <c r="G729" t="s">
        <v>1</v>
      </c>
      <c r="H729">
        <v>101</v>
      </c>
      <c r="I729">
        <v>801</v>
      </c>
      <c r="J729" t="s">
        <v>16</v>
      </c>
      <c r="K729" t="s">
        <v>17</v>
      </c>
      <c r="L729">
        <v>98</v>
      </c>
      <c r="M729">
        <v>82</v>
      </c>
      <c r="N729">
        <v>0.09</v>
      </c>
      <c r="O729">
        <v>86632</v>
      </c>
    </row>
    <row r="730" spans="1:15" x14ac:dyDescent="0.2">
      <c r="A730">
        <v>73</v>
      </c>
      <c r="B730" t="str">
        <f>VLOOKUP(Table1[[#This Row],[CountyID]],[1]!Table1[#All],2,FALSE)</f>
        <v>Stearns</v>
      </c>
      <c r="C730">
        <f>VLOOKUP(Table1[[#This Row],[CountyID]],[1]!Table1[#All],3,FALSE)</f>
        <v>98</v>
      </c>
      <c r="D730">
        <v>98</v>
      </c>
      <c r="E730">
        <f>Table1[[#This Row],[Number of Counties]]-Table1[[#This Row],[Number of precincts Reporting]]</f>
        <v>0</v>
      </c>
      <c r="F730" t="s">
        <v>0</v>
      </c>
      <c r="G730" t="s">
        <v>1</v>
      </c>
      <c r="H730">
        <v>101</v>
      </c>
      <c r="I730">
        <v>901</v>
      </c>
      <c r="J730" t="s">
        <v>18</v>
      </c>
      <c r="K730" t="s">
        <v>19</v>
      </c>
      <c r="L730">
        <v>98</v>
      </c>
      <c r="M730">
        <v>67</v>
      </c>
      <c r="N730">
        <v>0.08</v>
      </c>
      <c r="O730">
        <v>86632</v>
      </c>
    </row>
    <row r="731" spans="1:15" x14ac:dyDescent="0.2">
      <c r="A731">
        <v>73</v>
      </c>
      <c r="B731" t="str">
        <f>VLOOKUP(Table1[[#This Row],[CountyID]],[1]!Table1[#All],2,FALSE)</f>
        <v>Stearns</v>
      </c>
      <c r="C731">
        <f>VLOOKUP(Table1[[#This Row],[CountyID]],[1]!Table1[#All],3,FALSE)</f>
        <v>98</v>
      </c>
      <c r="D731">
        <v>98</v>
      </c>
      <c r="E731">
        <f>Table1[[#This Row],[Number of Counties]]-Table1[[#This Row],[Number of precincts Reporting]]</f>
        <v>0</v>
      </c>
      <c r="F731" t="s">
        <v>0</v>
      </c>
      <c r="G731" t="s">
        <v>1</v>
      </c>
      <c r="H731">
        <v>101</v>
      </c>
      <c r="I731">
        <v>9901</v>
      </c>
      <c r="J731" t="s">
        <v>20</v>
      </c>
      <c r="K731" t="s">
        <v>21</v>
      </c>
      <c r="L731">
        <v>98</v>
      </c>
      <c r="M731">
        <v>271</v>
      </c>
      <c r="N731">
        <v>0.31</v>
      </c>
      <c r="O731">
        <v>86632</v>
      </c>
    </row>
    <row r="732" spans="1:15" x14ac:dyDescent="0.2">
      <c r="A732">
        <v>74</v>
      </c>
      <c r="B732" t="str">
        <f>VLOOKUP(Table1[[#This Row],[CountyID]],[1]!Table1[#All],2,FALSE)</f>
        <v>Steele</v>
      </c>
      <c r="C732">
        <f>VLOOKUP(Table1[[#This Row],[CountyID]],[1]!Table1[#All],3,FALSE)</f>
        <v>26</v>
      </c>
      <c r="D732">
        <v>26</v>
      </c>
      <c r="E732">
        <f>Table1[[#This Row],[Number of Counties]]-Table1[[#This Row],[Number of precincts Reporting]]</f>
        <v>0</v>
      </c>
      <c r="F732" t="s">
        <v>0</v>
      </c>
      <c r="G732" t="s">
        <v>1</v>
      </c>
      <c r="H732">
        <v>101</v>
      </c>
      <c r="I732">
        <v>101</v>
      </c>
      <c r="J732" t="s">
        <v>2</v>
      </c>
      <c r="K732" t="s">
        <v>3</v>
      </c>
      <c r="L732">
        <v>26</v>
      </c>
      <c r="M732">
        <v>12742</v>
      </c>
      <c r="N732">
        <v>61.05</v>
      </c>
      <c r="O732">
        <v>20872</v>
      </c>
    </row>
    <row r="733" spans="1:15" x14ac:dyDescent="0.2">
      <c r="A733">
        <v>74</v>
      </c>
      <c r="B733" t="str">
        <f>VLOOKUP(Table1[[#This Row],[CountyID]],[1]!Table1[#All],2,FALSE)</f>
        <v>Steele</v>
      </c>
      <c r="C733">
        <f>VLOOKUP(Table1[[#This Row],[CountyID]],[1]!Table1[#All],3,FALSE)</f>
        <v>26</v>
      </c>
      <c r="D733">
        <v>26</v>
      </c>
      <c r="E733">
        <f>Table1[[#This Row],[Number of Counties]]-Table1[[#This Row],[Number of precincts Reporting]]</f>
        <v>0</v>
      </c>
      <c r="F733" t="s">
        <v>0</v>
      </c>
      <c r="G733" t="s">
        <v>1</v>
      </c>
      <c r="H733">
        <v>101</v>
      </c>
      <c r="I733">
        <v>201</v>
      </c>
      <c r="J733" t="s">
        <v>4</v>
      </c>
      <c r="K733" t="s">
        <v>5</v>
      </c>
      <c r="L733">
        <v>26</v>
      </c>
      <c r="M733">
        <v>7650</v>
      </c>
      <c r="N733">
        <v>36.65</v>
      </c>
      <c r="O733">
        <v>20872</v>
      </c>
    </row>
    <row r="734" spans="1:15" x14ac:dyDescent="0.2">
      <c r="A734">
        <v>74</v>
      </c>
      <c r="B734" t="str">
        <f>VLOOKUP(Table1[[#This Row],[CountyID]],[1]!Table1[#All],2,FALSE)</f>
        <v>Steele</v>
      </c>
      <c r="C734">
        <f>VLOOKUP(Table1[[#This Row],[CountyID]],[1]!Table1[#All],3,FALSE)</f>
        <v>26</v>
      </c>
      <c r="D734">
        <v>26</v>
      </c>
      <c r="E734">
        <f>Table1[[#This Row],[Number of Counties]]-Table1[[#This Row],[Number of precincts Reporting]]</f>
        <v>0</v>
      </c>
      <c r="F734" t="s">
        <v>0</v>
      </c>
      <c r="G734" t="s">
        <v>1</v>
      </c>
      <c r="H734">
        <v>101</v>
      </c>
      <c r="I734">
        <v>301</v>
      </c>
      <c r="J734" t="s">
        <v>6</v>
      </c>
      <c r="K734" t="s">
        <v>7</v>
      </c>
      <c r="L734">
        <v>26</v>
      </c>
      <c r="M734">
        <v>89</v>
      </c>
      <c r="N734">
        <v>0.43</v>
      </c>
      <c r="O734">
        <v>20872</v>
      </c>
    </row>
    <row r="735" spans="1:15" x14ac:dyDescent="0.2">
      <c r="A735">
        <v>74</v>
      </c>
      <c r="B735" t="str">
        <f>VLOOKUP(Table1[[#This Row],[CountyID]],[1]!Table1[#All],2,FALSE)</f>
        <v>Steele</v>
      </c>
      <c r="C735">
        <f>VLOOKUP(Table1[[#This Row],[CountyID]],[1]!Table1[#All],3,FALSE)</f>
        <v>26</v>
      </c>
      <c r="D735">
        <v>26</v>
      </c>
      <c r="E735">
        <f>Table1[[#This Row],[Number of Counties]]-Table1[[#This Row],[Number of precincts Reporting]]</f>
        <v>0</v>
      </c>
      <c r="F735" t="s">
        <v>0</v>
      </c>
      <c r="G735" t="s">
        <v>1</v>
      </c>
      <c r="H735">
        <v>101</v>
      </c>
      <c r="I735">
        <v>401</v>
      </c>
      <c r="J735" t="s">
        <v>8</v>
      </c>
      <c r="K735" t="s">
        <v>9</v>
      </c>
      <c r="L735">
        <v>26</v>
      </c>
      <c r="M735">
        <v>208</v>
      </c>
      <c r="N735">
        <v>1</v>
      </c>
      <c r="O735">
        <v>20872</v>
      </c>
    </row>
    <row r="736" spans="1:15" x14ac:dyDescent="0.2">
      <c r="A736">
        <v>74</v>
      </c>
      <c r="B736" t="str">
        <f>VLOOKUP(Table1[[#This Row],[CountyID]],[1]!Table1[#All],2,FALSE)</f>
        <v>Steele</v>
      </c>
      <c r="C736">
        <f>VLOOKUP(Table1[[#This Row],[CountyID]],[1]!Table1[#All],3,FALSE)</f>
        <v>26</v>
      </c>
      <c r="D736">
        <v>26</v>
      </c>
      <c r="E736">
        <f>Table1[[#This Row],[Number of Counties]]-Table1[[#This Row],[Number of precincts Reporting]]</f>
        <v>0</v>
      </c>
      <c r="F736" t="s">
        <v>0</v>
      </c>
      <c r="G736" t="s">
        <v>1</v>
      </c>
      <c r="H736">
        <v>101</v>
      </c>
      <c r="I736">
        <v>501</v>
      </c>
      <c r="J736" t="s">
        <v>10</v>
      </c>
      <c r="K736" t="s">
        <v>11</v>
      </c>
      <c r="L736">
        <v>26</v>
      </c>
      <c r="M736">
        <v>62</v>
      </c>
      <c r="N736">
        <v>0.3</v>
      </c>
      <c r="O736">
        <v>20872</v>
      </c>
    </row>
    <row r="737" spans="1:15" x14ac:dyDescent="0.2">
      <c r="A737">
        <v>74</v>
      </c>
      <c r="B737" t="str">
        <f>VLOOKUP(Table1[[#This Row],[CountyID]],[1]!Table1[#All],2,FALSE)</f>
        <v>Steele</v>
      </c>
      <c r="C737">
        <f>VLOOKUP(Table1[[#This Row],[CountyID]],[1]!Table1[#All],3,FALSE)</f>
        <v>26</v>
      </c>
      <c r="D737">
        <v>26</v>
      </c>
      <c r="E737">
        <f>Table1[[#This Row],[Number of Counties]]-Table1[[#This Row],[Number of precincts Reporting]]</f>
        <v>0</v>
      </c>
      <c r="F737" t="s">
        <v>0</v>
      </c>
      <c r="G737" t="s">
        <v>1</v>
      </c>
      <c r="H737">
        <v>101</v>
      </c>
      <c r="I737">
        <v>601</v>
      </c>
      <c r="J737" t="s">
        <v>12</v>
      </c>
      <c r="K737" t="s">
        <v>13</v>
      </c>
      <c r="L737">
        <v>26</v>
      </c>
      <c r="M737">
        <v>11</v>
      </c>
      <c r="N737">
        <v>0.05</v>
      </c>
      <c r="O737">
        <v>20872</v>
      </c>
    </row>
    <row r="738" spans="1:15" x14ac:dyDescent="0.2">
      <c r="A738">
        <v>74</v>
      </c>
      <c r="B738" t="str">
        <f>VLOOKUP(Table1[[#This Row],[CountyID]],[1]!Table1[#All],2,FALSE)</f>
        <v>Steele</v>
      </c>
      <c r="C738">
        <f>VLOOKUP(Table1[[#This Row],[CountyID]],[1]!Table1[#All],3,FALSE)</f>
        <v>26</v>
      </c>
      <c r="D738">
        <v>26</v>
      </c>
      <c r="E738">
        <f>Table1[[#This Row],[Number of Counties]]-Table1[[#This Row],[Number of precincts Reporting]]</f>
        <v>0</v>
      </c>
      <c r="F738" t="s">
        <v>0</v>
      </c>
      <c r="G738" t="s">
        <v>1</v>
      </c>
      <c r="H738">
        <v>101</v>
      </c>
      <c r="I738">
        <v>701</v>
      </c>
      <c r="J738" t="s">
        <v>14</v>
      </c>
      <c r="K738" t="s">
        <v>15</v>
      </c>
      <c r="L738">
        <v>26</v>
      </c>
      <c r="M738">
        <v>1</v>
      </c>
      <c r="N738">
        <v>0</v>
      </c>
      <c r="O738">
        <v>20872</v>
      </c>
    </row>
    <row r="739" spans="1:15" x14ac:dyDescent="0.2">
      <c r="A739">
        <v>74</v>
      </c>
      <c r="B739" t="str">
        <f>VLOOKUP(Table1[[#This Row],[CountyID]],[1]!Table1[#All],2,FALSE)</f>
        <v>Steele</v>
      </c>
      <c r="C739">
        <f>VLOOKUP(Table1[[#This Row],[CountyID]],[1]!Table1[#All],3,FALSE)</f>
        <v>26</v>
      </c>
      <c r="D739">
        <v>26</v>
      </c>
      <c r="E739">
        <f>Table1[[#This Row],[Number of Counties]]-Table1[[#This Row],[Number of precincts Reporting]]</f>
        <v>0</v>
      </c>
      <c r="F739" t="s">
        <v>0</v>
      </c>
      <c r="G739" t="s">
        <v>1</v>
      </c>
      <c r="H739">
        <v>101</v>
      </c>
      <c r="I739">
        <v>801</v>
      </c>
      <c r="J739" t="s">
        <v>16</v>
      </c>
      <c r="K739" t="s">
        <v>17</v>
      </c>
      <c r="L739">
        <v>26</v>
      </c>
      <c r="M739">
        <v>27</v>
      </c>
      <c r="N739">
        <v>0.13</v>
      </c>
      <c r="O739">
        <v>20872</v>
      </c>
    </row>
    <row r="740" spans="1:15" x14ac:dyDescent="0.2">
      <c r="A740">
        <v>74</v>
      </c>
      <c r="B740" t="str">
        <f>VLOOKUP(Table1[[#This Row],[CountyID]],[1]!Table1[#All],2,FALSE)</f>
        <v>Steele</v>
      </c>
      <c r="C740">
        <f>VLOOKUP(Table1[[#This Row],[CountyID]],[1]!Table1[#All],3,FALSE)</f>
        <v>26</v>
      </c>
      <c r="D740">
        <v>26</v>
      </c>
      <c r="E740">
        <f>Table1[[#This Row],[Number of Counties]]-Table1[[#This Row],[Number of precincts Reporting]]</f>
        <v>0</v>
      </c>
      <c r="F740" t="s">
        <v>0</v>
      </c>
      <c r="G740" t="s">
        <v>1</v>
      </c>
      <c r="H740">
        <v>101</v>
      </c>
      <c r="I740">
        <v>901</v>
      </c>
      <c r="J740" t="s">
        <v>18</v>
      </c>
      <c r="K740" t="s">
        <v>19</v>
      </c>
      <c r="L740">
        <v>26</v>
      </c>
      <c r="M740">
        <v>19</v>
      </c>
      <c r="N740">
        <v>0.09</v>
      </c>
      <c r="O740">
        <v>20872</v>
      </c>
    </row>
    <row r="741" spans="1:15" x14ac:dyDescent="0.2">
      <c r="A741">
        <v>74</v>
      </c>
      <c r="B741" t="str">
        <f>VLOOKUP(Table1[[#This Row],[CountyID]],[1]!Table1[#All],2,FALSE)</f>
        <v>Steele</v>
      </c>
      <c r="C741">
        <f>VLOOKUP(Table1[[#This Row],[CountyID]],[1]!Table1[#All],3,FALSE)</f>
        <v>26</v>
      </c>
      <c r="D741">
        <v>26</v>
      </c>
      <c r="E741">
        <f>Table1[[#This Row],[Number of Counties]]-Table1[[#This Row],[Number of precincts Reporting]]</f>
        <v>0</v>
      </c>
      <c r="F741" t="s">
        <v>0</v>
      </c>
      <c r="G741" t="s">
        <v>1</v>
      </c>
      <c r="H741">
        <v>101</v>
      </c>
      <c r="I741">
        <v>9901</v>
      </c>
      <c r="J741" t="s">
        <v>20</v>
      </c>
      <c r="K741" t="s">
        <v>21</v>
      </c>
      <c r="L741">
        <v>26</v>
      </c>
      <c r="M741">
        <v>63</v>
      </c>
      <c r="N741">
        <v>0.3</v>
      </c>
      <c r="O741">
        <v>20872</v>
      </c>
    </row>
    <row r="742" spans="1:15" x14ac:dyDescent="0.2">
      <c r="A742">
        <v>75</v>
      </c>
      <c r="B742" t="str">
        <f>VLOOKUP(Table1[[#This Row],[CountyID]],[1]!Table1[#All],2,FALSE)</f>
        <v>Stevens</v>
      </c>
      <c r="C742">
        <f>VLOOKUP(Table1[[#This Row],[CountyID]],[1]!Table1[#All],3,FALSE)</f>
        <v>24</v>
      </c>
      <c r="D742">
        <v>24</v>
      </c>
      <c r="E742">
        <f>Table1[[#This Row],[Number of Counties]]-Table1[[#This Row],[Number of precincts Reporting]]</f>
        <v>0</v>
      </c>
      <c r="F742" t="s">
        <v>0</v>
      </c>
      <c r="G742" t="s">
        <v>1</v>
      </c>
      <c r="H742">
        <v>101</v>
      </c>
      <c r="I742">
        <v>101</v>
      </c>
      <c r="J742" t="s">
        <v>2</v>
      </c>
      <c r="K742" t="s">
        <v>3</v>
      </c>
      <c r="L742">
        <v>24</v>
      </c>
      <c r="M742">
        <v>3213</v>
      </c>
      <c r="N742">
        <v>62.52</v>
      </c>
      <c r="O742">
        <v>5139</v>
      </c>
    </row>
    <row r="743" spans="1:15" x14ac:dyDescent="0.2">
      <c r="A743">
        <v>75</v>
      </c>
      <c r="B743" t="str">
        <f>VLOOKUP(Table1[[#This Row],[CountyID]],[1]!Table1[#All],2,FALSE)</f>
        <v>Stevens</v>
      </c>
      <c r="C743">
        <f>VLOOKUP(Table1[[#This Row],[CountyID]],[1]!Table1[#All],3,FALSE)</f>
        <v>24</v>
      </c>
      <c r="D743">
        <v>24</v>
      </c>
      <c r="E743">
        <f>Table1[[#This Row],[Number of Counties]]-Table1[[#This Row],[Number of precincts Reporting]]</f>
        <v>0</v>
      </c>
      <c r="F743" t="s">
        <v>0</v>
      </c>
      <c r="G743" t="s">
        <v>1</v>
      </c>
      <c r="H743">
        <v>101</v>
      </c>
      <c r="I743">
        <v>201</v>
      </c>
      <c r="J743" t="s">
        <v>4</v>
      </c>
      <c r="K743" t="s">
        <v>5</v>
      </c>
      <c r="L743">
        <v>24</v>
      </c>
      <c r="M743">
        <v>1827</v>
      </c>
      <c r="N743">
        <v>35.549999999999997</v>
      </c>
      <c r="O743">
        <v>5139</v>
      </c>
    </row>
    <row r="744" spans="1:15" x14ac:dyDescent="0.2">
      <c r="A744">
        <v>75</v>
      </c>
      <c r="B744" t="str">
        <f>VLOOKUP(Table1[[#This Row],[CountyID]],[1]!Table1[#All],2,FALSE)</f>
        <v>Stevens</v>
      </c>
      <c r="C744">
        <f>VLOOKUP(Table1[[#This Row],[CountyID]],[1]!Table1[#All],3,FALSE)</f>
        <v>24</v>
      </c>
      <c r="D744">
        <v>24</v>
      </c>
      <c r="E744">
        <f>Table1[[#This Row],[Number of Counties]]-Table1[[#This Row],[Number of precincts Reporting]]</f>
        <v>0</v>
      </c>
      <c r="F744" t="s">
        <v>0</v>
      </c>
      <c r="G744" t="s">
        <v>1</v>
      </c>
      <c r="H744">
        <v>101</v>
      </c>
      <c r="I744">
        <v>301</v>
      </c>
      <c r="J744" t="s">
        <v>6</v>
      </c>
      <c r="K744" t="s">
        <v>7</v>
      </c>
      <c r="L744">
        <v>24</v>
      </c>
      <c r="M744">
        <v>20</v>
      </c>
      <c r="N744">
        <v>0.39</v>
      </c>
      <c r="O744">
        <v>5139</v>
      </c>
    </row>
    <row r="745" spans="1:15" x14ac:dyDescent="0.2">
      <c r="A745">
        <v>75</v>
      </c>
      <c r="B745" t="str">
        <f>VLOOKUP(Table1[[#This Row],[CountyID]],[1]!Table1[#All],2,FALSE)</f>
        <v>Stevens</v>
      </c>
      <c r="C745">
        <f>VLOOKUP(Table1[[#This Row],[CountyID]],[1]!Table1[#All],3,FALSE)</f>
        <v>24</v>
      </c>
      <c r="D745">
        <v>24</v>
      </c>
      <c r="E745">
        <f>Table1[[#This Row],[Number of Counties]]-Table1[[#This Row],[Number of precincts Reporting]]</f>
        <v>0</v>
      </c>
      <c r="F745" t="s">
        <v>0</v>
      </c>
      <c r="G745" t="s">
        <v>1</v>
      </c>
      <c r="H745">
        <v>101</v>
      </c>
      <c r="I745">
        <v>401</v>
      </c>
      <c r="J745" t="s">
        <v>8</v>
      </c>
      <c r="K745" t="s">
        <v>9</v>
      </c>
      <c r="L745">
        <v>24</v>
      </c>
      <c r="M745">
        <v>43</v>
      </c>
      <c r="N745">
        <v>0.84</v>
      </c>
      <c r="O745">
        <v>5139</v>
      </c>
    </row>
    <row r="746" spans="1:15" x14ac:dyDescent="0.2">
      <c r="A746">
        <v>75</v>
      </c>
      <c r="B746" t="str">
        <f>VLOOKUP(Table1[[#This Row],[CountyID]],[1]!Table1[#All],2,FALSE)</f>
        <v>Stevens</v>
      </c>
      <c r="C746">
        <f>VLOOKUP(Table1[[#This Row],[CountyID]],[1]!Table1[#All],3,FALSE)</f>
        <v>24</v>
      </c>
      <c r="D746">
        <v>24</v>
      </c>
      <c r="E746">
        <f>Table1[[#This Row],[Number of Counties]]-Table1[[#This Row],[Number of precincts Reporting]]</f>
        <v>0</v>
      </c>
      <c r="F746" t="s">
        <v>0</v>
      </c>
      <c r="G746" t="s">
        <v>1</v>
      </c>
      <c r="H746">
        <v>101</v>
      </c>
      <c r="I746">
        <v>501</v>
      </c>
      <c r="J746" t="s">
        <v>10</v>
      </c>
      <c r="K746" t="s">
        <v>11</v>
      </c>
      <c r="L746">
        <v>24</v>
      </c>
      <c r="M746">
        <v>9</v>
      </c>
      <c r="N746">
        <v>0.18</v>
      </c>
      <c r="O746">
        <v>5139</v>
      </c>
    </row>
    <row r="747" spans="1:15" x14ac:dyDescent="0.2">
      <c r="A747">
        <v>75</v>
      </c>
      <c r="B747" t="str">
        <f>VLOOKUP(Table1[[#This Row],[CountyID]],[1]!Table1[#All],2,FALSE)</f>
        <v>Stevens</v>
      </c>
      <c r="C747">
        <f>VLOOKUP(Table1[[#This Row],[CountyID]],[1]!Table1[#All],3,FALSE)</f>
        <v>24</v>
      </c>
      <c r="D747">
        <v>24</v>
      </c>
      <c r="E747">
        <f>Table1[[#This Row],[Number of Counties]]-Table1[[#This Row],[Number of precincts Reporting]]</f>
        <v>0</v>
      </c>
      <c r="F747" t="s">
        <v>0</v>
      </c>
      <c r="G747" t="s">
        <v>1</v>
      </c>
      <c r="H747">
        <v>101</v>
      </c>
      <c r="I747">
        <v>601</v>
      </c>
      <c r="J747" t="s">
        <v>12</v>
      </c>
      <c r="K747" t="s">
        <v>13</v>
      </c>
      <c r="L747">
        <v>24</v>
      </c>
      <c r="M747">
        <v>0</v>
      </c>
      <c r="N747">
        <v>0</v>
      </c>
      <c r="O747">
        <v>5139</v>
      </c>
    </row>
    <row r="748" spans="1:15" x14ac:dyDescent="0.2">
      <c r="A748">
        <v>75</v>
      </c>
      <c r="B748" t="str">
        <f>VLOOKUP(Table1[[#This Row],[CountyID]],[1]!Table1[#All],2,FALSE)</f>
        <v>Stevens</v>
      </c>
      <c r="C748">
        <f>VLOOKUP(Table1[[#This Row],[CountyID]],[1]!Table1[#All],3,FALSE)</f>
        <v>24</v>
      </c>
      <c r="D748">
        <v>24</v>
      </c>
      <c r="E748">
        <f>Table1[[#This Row],[Number of Counties]]-Table1[[#This Row],[Number of precincts Reporting]]</f>
        <v>0</v>
      </c>
      <c r="F748" t="s">
        <v>0</v>
      </c>
      <c r="G748" t="s">
        <v>1</v>
      </c>
      <c r="H748">
        <v>101</v>
      </c>
      <c r="I748">
        <v>701</v>
      </c>
      <c r="J748" t="s">
        <v>14</v>
      </c>
      <c r="K748" t="s">
        <v>15</v>
      </c>
      <c r="L748">
        <v>24</v>
      </c>
      <c r="M748">
        <v>0</v>
      </c>
      <c r="N748">
        <v>0</v>
      </c>
      <c r="O748">
        <v>5139</v>
      </c>
    </row>
    <row r="749" spans="1:15" x14ac:dyDescent="0.2">
      <c r="A749">
        <v>75</v>
      </c>
      <c r="B749" t="str">
        <f>VLOOKUP(Table1[[#This Row],[CountyID]],[1]!Table1[#All],2,FALSE)</f>
        <v>Stevens</v>
      </c>
      <c r="C749">
        <f>VLOOKUP(Table1[[#This Row],[CountyID]],[1]!Table1[#All],3,FALSE)</f>
        <v>24</v>
      </c>
      <c r="D749">
        <v>24</v>
      </c>
      <c r="E749">
        <f>Table1[[#This Row],[Number of Counties]]-Table1[[#This Row],[Number of precincts Reporting]]</f>
        <v>0</v>
      </c>
      <c r="F749" t="s">
        <v>0</v>
      </c>
      <c r="G749" t="s">
        <v>1</v>
      </c>
      <c r="H749">
        <v>101</v>
      </c>
      <c r="I749">
        <v>801</v>
      </c>
      <c r="J749" t="s">
        <v>16</v>
      </c>
      <c r="K749" t="s">
        <v>17</v>
      </c>
      <c r="L749">
        <v>24</v>
      </c>
      <c r="M749">
        <v>4</v>
      </c>
      <c r="N749">
        <v>0.08</v>
      </c>
      <c r="O749">
        <v>5139</v>
      </c>
    </row>
    <row r="750" spans="1:15" x14ac:dyDescent="0.2">
      <c r="A750">
        <v>75</v>
      </c>
      <c r="B750" t="str">
        <f>VLOOKUP(Table1[[#This Row],[CountyID]],[1]!Table1[#All],2,FALSE)</f>
        <v>Stevens</v>
      </c>
      <c r="C750">
        <f>VLOOKUP(Table1[[#This Row],[CountyID]],[1]!Table1[#All],3,FALSE)</f>
        <v>24</v>
      </c>
      <c r="D750">
        <v>24</v>
      </c>
      <c r="E750">
        <f>Table1[[#This Row],[Number of Counties]]-Table1[[#This Row],[Number of precincts Reporting]]</f>
        <v>0</v>
      </c>
      <c r="F750" t="s">
        <v>0</v>
      </c>
      <c r="G750" t="s">
        <v>1</v>
      </c>
      <c r="H750">
        <v>101</v>
      </c>
      <c r="I750">
        <v>901</v>
      </c>
      <c r="J750" t="s">
        <v>18</v>
      </c>
      <c r="K750" t="s">
        <v>19</v>
      </c>
      <c r="L750">
        <v>24</v>
      </c>
      <c r="M750">
        <v>6</v>
      </c>
      <c r="N750">
        <v>0.12</v>
      </c>
      <c r="O750">
        <v>5139</v>
      </c>
    </row>
    <row r="751" spans="1:15" x14ac:dyDescent="0.2">
      <c r="A751">
        <v>75</v>
      </c>
      <c r="B751" t="str">
        <f>VLOOKUP(Table1[[#This Row],[CountyID]],[1]!Table1[#All],2,FALSE)</f>
        <v>Stevens</v>
      </c>
      <c r="C751">
        <f>VLOOKUP(Table1[[#This Row],[CountyID]],[1]!Table1[#All],3,FALSE)</f>
        <v>24</v>
      </c>
      <c r="D751">
        <v>24</v>
      </c>
      <c r="E751">
        <f>Table1[[#This Row],[Number of Counties]]-Table1[[#This Row],[Number of precincts Reporting]]</f>
        <v>0</v>
      </c>
      <c r="F751" t="s">
        <v>0</v>
      </c>
      <c r="G751" t="s">
        <v>1</v>
      </c>
      <c r="H751">
        <v>101</v>
      </c>
      <c r="I751">
        <v>9901</v>
      </c>
      <c r="J751" t="s">
        <v>20</v>
      </c>
      <c r="K751" t="s">
        <v>21</v>
      </c>
      <c r="L751">
        <v>24</v>
      </c>
      <c r="M751">
        <v>17</v>
      </c>
      <c r="N751">
        <v>0.33</v>
      </c>
      <c r="O751">
        <v>5139</v>
      </c>
    </row>
    <row r="752" spans="1:15" x14ac:dyDescent="0.2">
      <c r="A752">
        <v>76</v>
      </c>
      <c r="B752" t="str">
        <f>VLOOKUP(Table1[[#This Row],[CountyID]],[1]!Table1[#All],2,FALSE)</f>
        <v>Swift</v>
      </c>
      <c r="C752">
        <f>VLOOKUP(Table1[[#This Row],[CountyID]],[1]!Table1[#All],3,FALSE)</f>
        <v>30</v>
      </c>
      <c r="D752">
        <v>30</v>
      </c>
      <c r="E752">
        <f>Table1[[#This Row],[Number of Counties]]-Table1[[#This Row],[Number of precincts Reporting]]</f>
        <v>0</v>
      </c>
      <c r="F752" t="s">
        <v>0</v>
      </c>
      <c r="G752" t="s">
        <v>1</v>
      </c>
      <c r="H752">
        <v>101</v>
      </c>
      <c r="I752">
        <v>101</v>
      </c>
      <c r="J752" t="s">
        <v>2</v>
      </c>
      <c r="K752" t="s">
        <v>3</v>
      </c>
      <c r="L752">
        <v>30</v>
      </c>
      <c r="M752">
        <v>3340</v>
      </c>
      <c r="N752">
        <v>66.09</v>
      </c>
      <c r="O752">
        <v>5054</v>
      </c>
    </row>
    <row r="753" spans="1:15" x14ac:dyDescent="0.2">
      <c r="A753">
        <v>76</v>
      </c>
      <c r="B753" t="str">
        <f>VLOOKUP(Table1[[#This Row],[CountyID]],[1]!Table1[#All],2,FALSE)</f>
        <v>Swift</v>
      </c>
      <c r="C753">
        <f>VLOOKUP(Table1[[#This Row],[CountyID]],[1]!Table1[#All],3,FALSE)</f>
        <v>30</v>
      </c>
      <c r="D753">
        <v>30</v>
      </c>
      <c r="E753">
        <f>Table1[[#This Row],[Number of Counties]]-Table1[[#This Row],[Number of precincts Reporting]]</f>
        <v>0</v>
      </c>
      <c r="F753" t="s">
        <v>0</v>
      </c>
      <c r="G753" t="s">
        <v>1</v>
      </c>
      <c r="H753">
        <v>101</v>
      </c>
      <c r="I753">
        <v>201</v>
      </c>
      <c r="J753" t="s">
        <v>4</v>
      </c>
      <c r="K753" t="s">
        <v>5</v>
      </c>
      <c r="L753">
        <v>30</v>
      </c>
      <c r="M753">
        <v>1618</v>
      </c>
      <c r="N753">
        <v>32.01</v>
      </c>
      <c r="O753">
        <v>5054</v>
      </c>
    </row>
    <row r="754" spans="1:15" x14ac:dyDescent="0.2">
      <c r="A754">
        <v>76</v>
      </c>
      <c r="B754" t="str">
        <f>VLOOKUP(Table1[[#This Row],[CountyID]],[1]!Table1[#All],2,FALSE)</f>
        <v>Swift</v>
      </c>
      <c r="C754">
        <f>VLOOKUP(Table1[[#This Row],[CountyID]],[1]!Table1[#All],3,FALSE)</f>
        <v>30</v>
      </c>
      <c r="D754">
        <v>30</v>
      </c>
      <c r="E754">
        <f>Table1[[#This Row],[Number of Counties]]-Table1[[#This Row],[Number of precincts Reporting]]</f>
        <v>0</v>
      </c>
      <c r="F754" t="s">
        <v>0</v>
      </c>
      <c r="G754" t="s">
        <v>1</v>
      </c>
      <c r="H754">
        <v>101</v>
      </c>
      <c r="I754">
        <v>301</v>
      </c>
      <c r="J754" t="s">
        <v>6</v>
      </c>
      <c r="K754" t="s">
        <v>7</v>
      </c>
      <c r="L754">
        <v>30</v>
      </c>
      <c r="M754">
        <v>18</v>
      </c>
      <c r="N754">
        <v>0.36</v>
      </c>
      <c r="O754">
        <v>5054</v>
      </c>
    </row>
    <row r="755" spans="1:15" x14ac:dyDescent="0.2">
      <c r="A755">
        <v>76</v>
      </c>
      <c r="B755" t="str">
        <f>VLOOKUP(Table1[[#This Row],[CountyID]],[1]!Table1[#All],2,FALSE)</f>
        <v>Swift</v>
      </c>
      <c r="C755">
        <f>VLOOKUP(Table1[[#This Row],[CountyID]],[1]!Table1[#All],3,FALSE)</f>
        <v>30</v>
      </c>
      <c r="D755">
        <v>30</v>
      </c>
      <c r="E755">
        <f>Table1[[#This Row],[Number of Counties]]-Table1[[#This Row],[Number of precincts Reporting]]</f>
        <v>0</v>
      </c>
      <c r="F755" t="s">
        <v>0</v>
      </c>
      <c r="G755" t="s">
        <v>1</v>
      </c>
      <c r="H755">
        <v>101</v>
      </c>
      <c r="I755">
        <v>401</v>
      </c>
      <c r="J755" t="s">
        <v>8</v>
      </c>
      <c r="K755" t="s">
        <v>9</v>
      </c>
      <c r="L755">
        <v>30</v>
      </c>
      <c r="M755">
        <v>50</v>
      </c>
      <c r="N755">
        <v>0.99</v>
      </c>
      <c r="O755">
        <v>5054</v>
      </c>
    </row>
    <row r="756" spans="1:15" x14ac:dyDescent="0.2">
      <c r="A756">
        <v>76</v>
      </c>
      <c r="B756" t="str">
        <f>VLOOKUP(Table1[[#This Row],[CountyID]],[1]!Table1[#All],2,FALSE)</f>
        <v>Swift</v>
      </c>
      <c r="C756">
        <f>VLOOKUP(Table1[[#This Row],[CountyID]],[1]!Table1[#All],3,FALSE)</f>
        <v>30</v>
      </c>
      <c r="D756">
        <v>30</v>
      </c>
      <c r="E756">
        <f>Table1[[#This Row],[Number of Counties]]-Table1[[#This Row],[Number of precincts Reporting]]</f>
        <v>0</v>
      </c>
      <c r="F756" t="s">
        <v>0</v>
      </c>
      <c r="G756" t="s">
        <v>1</v>
      </c>
      <c r="H756">
        <v>101</v>
      </c>
      <c r="I756">
        <v>501</v>
      </c>
      <c r="J756" t="s">
        <v>10</v>
      </c>
      <c r="K756" t="s">
        <v>11</v>
      </c>
      <c r="L756">
        <v>30</v>
      </c>
      <c r="M756">
        <v>5</v>
      </c>
      <c r="N756">
        <v>0.1</v>
      </c>
      <c r="O756">
        <v>5054</v>
      </c>
    </row>
    <row r="757" spans="1:15" x14ac:dyDescent="0.2">
      <c r="A757">
        <v>76</v>
      </c>
      <c r="B757" t="str">
        <f>VLOOKUP(Table1[[#This Row],[CountyID]],[1]!Table1[#All],2,FALSE)</f>
        <v>Swift</v>
      </c>
      <c r="C757">
        <f>VLOOKUP(Table1[[#This Row],[CountyID]],[1]!Table1[#All],3,FALSE)</f>
        <v>30</v>
      </c>
      <c r="D757">
        <v>30</v>
      </c>
      <c r="E757">
        <f>Table1[[#This Row],[Number of Counties]]-Table1[[#This Row],[Number of precincts Reporting]]</f>
        <v>0</v>
      </c>
      <c r="F757" t="s">
        <v>0</v>
      </c>
      <c r="G757" t="s">
        <v>1</v>
      </c>
      <c r="H757">
        <v>101</v>
      </c>
      <c r="I757">
        <v>601</v>
      </c>
      <c r="J757" t="s">
        <v>12</v>
      </c>
      <c r="K757" t="s">
        <v>13</v>
      </c>
      <c r="L757">
        <v>30</v>
      </c>
      <c r="M757">
        <v>1</v>
      </c>
      <c r="N757">
        <v>0.02</v>
      </c>
      <c r="O757">
        <v>5054</v>
      </c>
    </row>
    <row r="758" spans="1:15" x14ac:dyDescent="0.2">
      <c r="A758">
        <v>76</v>
      </c>
      <c r="B758" t="str">
        <f>VLOOKUP(Table1[[#This Row],[CountyID]],[1]!Table1[#All],2,FALSE)</f>
        <v>Swift</v>
      </c>
      <c r="C758">
        <f>VLOOKUP(Table1[[#This Row],[CountyID]],[1]!Table1[#All],3,FALSE)</f>
        <v>30</v>
      </c>
      <c r="D758">
        <v>30</v>
      </c>
      <c r="E758">
        <f>Table1[[#This Row],[Number of Counties]]-Table1[[#This Row],[Number of precincts Reporting]]</f>
        <v>0</v>
      </c>
      <c r="F758" t="s">
        <v>0</v>
      </c>
      <c r="G758" t="s">
        <v>1</v>
      </c>
      <c r="H758">
        <v>101</v>
      </c>
      <c r="I758">
        <v>701</v>
      </c>
      <c r="J758" t="s">
        <v>14</v>
      </c>
      <c r="K758" t="s">
        <v>15</v>
      </c>
      <c r="L758">
        <v>30</v>
      </c>
      <c r="M758">
        <v>0</v>
      </c>
      <c r="N758">
        <v>0</v>
      </c>
      <c r="O758">
        <v>5054</v>
      </c>
    </row>
    <row r="759" spans="1:15" x14ac:dyDescent="0.2">
      <c r="A759">
        <v>76</v>
      </c>
      <c r="B759" t="str">
        <f>VLOOKUP(Table1[[#This Row],[CountyID]],[1]!Table1[#All],2,FALSE)</f>
        <v>Swift</v>
      </c>
      <c r="C759">
        <f>VLOOKUP(Table1[[#This Row],[CountyID]],[1]!Table1[#All],3,FALSE)</f>
        <v>30</v>
      </c>
      <c r="D759">
        <v>30</v>
      </c>
      <c r="E759">
        <f>Table1[[#This Row],[Number of Counties]]-Table1[[#This Row],[Number of precincts Reporting]]</f>
        <v>0</v>
      </c>
      <c r="F759" t="s">
        <v>0</v>
      </c>
      <c r="G759" t="s">
        <v>1</v>
      </c>
      <c r="H759">
        <v>101</v>
      </c>
      <c r="I759">
        <v>801</v>
      </c>
      <c r="J759" t="s">
        <v>16</v>
      </c>
      <c r="K759" t="s">
        <v>17</v>
      </c>
      <c r="L759">
        <v>30</v>
      </c>
      <c r="M759">
        <v>4</v>
      </c>
      <c r="N759">
        <v>0.08</v>
      </c>
      <c r="O759">
        <v>5054</v>
      </c>
    </row>
    <row r="760" spans="1:15" x14ac:dyDescent="0.2">
      <c r="A760">
        <v>76</v>
      </c>
      <c r="B760" t="str">
        <f>VLOOKUP(Table1[[#This Row],[CountyID]],[1]!Table1[#All],2,FALSE)</f>
        <v>Swift</v>
      </c>
      <c r="C760">
        <f>VLOOKUP(Table1[[#This Row],[CountyID]],[1]!Table1[#All],3,FALSE)</f>
        <v>30</v>
      </c>
      <c r="D760">
        <v>30</v>
      </c>
      <c r="E760">
        <f>Table1[[#This Row],[Number of Counties]]-Table1[[#This Row],[Number of precincts Reporting]]</f>
        <v>0</v>
      </c>
      <c r="F760" t="s">
        <v>0</v>
      </c>
      <c r="G760" t="s">
        <v>1</v>
      </c>
      <c r="H760">
        <v>101</v>
      </c>
      <c r="I760">
        <v>901</v>
      </c>
      <c r="J760" t="s">
        <v>18</v>
      </c>
      <c r="K760" t="s">
        <v>19</v>
      </c>
      <c r="L760">
        <v>30</v>
      </c>
      <c r="M760">
        <v>5</v>
      </c>
      <c r="N760">
        <v>0.1</v>
      </c>
      <c r="O760">
        <v>5054</v>
      </c>
    </row>
    <row r="761" spans="1:15" x14ac:dyDescent="0.2">
      <c r="A761">
        <v>76</v>
      </c>
      <c r="B761" t="str">
        <f>VLOOKUP(Table1[[#This Row],[CountyID]],[1]!Table1[#All],2,FALSE)</f>
        <v>Swift</v>
      </c>
      <c r="C761">
        <f>VLOOKUP(Table1[[#This Row],[CountyID]],[1]!Table1[#All],3,FALSE)</f>
        <v>30</v>
      </c>
      <c r="D761">
        <v>30</v>
      </c>
      <c r="E761">
        <f>Table1[[#This Row],[Number of Counties]]-Table1[[#This Row],[Number of precincts Reporting]]</f>
        <v>0</v>
      </c>
      <c r="F761" t="s">
        <v>0</v>
      </c>
      <c r="G761" t="s">
        <v>1</v>
      </c>
      <c r="H761">
        <v>101</v>
      </c>
      <c r="I761">
        <v>9901</v>
      </c>
      <c r="J761" t="s">
        <v>20</v>
      </c>
      <c r="K761" t="s">
        <v>21</v>
      </c>
      <c r="L761">
        <v>30</v>
      </c>
      <c r="M761">
        <v>13</v>
      </c>
      <c r="N761">
        <v>0.26</v>
      </c>
      <c r="O761">
        <v>5054</v>
      </c>
    </row>
    <row r="762" spans="1:15" x14ac:dyDescent="0.2">
      <c r="A762">
        <v>77</v>
      </c>
      <c r="B762" t="str">
        <f>VLOOKUP(Table1[[#This Row],[CountyID]],[1]!Table1[#All],2,FALSE)</f>
        <v>Todd</v>
      </c>
      <c r="C762">
        <f>VLOOKUP(Table1[[#This Row],[CountyID]],[1]!Table1[#All],3,FALSE)</f>
        <v>40</v>
      </c>
      <c r="D762">
        <v>40</v>
      </c>
      <c r="E762">
        <f>Table1[[#This Row],[Number of Counties]]-Table1[[#This Row],[Number of precincts Reporting]]</f>
        <v>0</v>
      </c>
      <c r="F762" t="s">
        <v>0</v>
      </c>
      <c r="G762" t="s">
        <v>1</v>
      </c>
      <c r="H762">
        <v>101</v>
      </c>
      <c r="I762">
        <v>101</v>
      </c>
      <c r="J762" t="s">
        <v>2</v>
      </c>
      <c r="K762" t="s">
        <v>3</v>
      </c>
      <c r="L762">
        <v>40</v>
      </c>
      <c r="M762">
        <v>10392</v>
      </c>
      <c r="N762">
        <v>75.75</v>
      </c>
      <c r="O762">
        <v>13718</v>
      </c>
    </row>
    <row r="763" spans="1:15" x14ac:dyDescent="0.2">
      <c r="A763">
        <v>77</v>
      </c>
      <c r="B763" t="str">
        <f>VLOOKUP(Table1[[#This Row],[CountyID]],[1]!Table1[#All],2,FALSE)</f>
        <v>Todd</v>
      </c>
      <c r="C763">
        <f>VLOOKUP(Table1[[#This Row],[CountyID]],[1]!Table1[#All],3,FALSE)</f>
        <v>40</v>
      </c>
      <c r="D763">
        <v>40</v>
      </c>
      <c r="E763">
        <f>Table1[[#This Row],[Number of Counties]]-Table1[[#This Row],[Number of precincts Reporting]]</f>
        <v>0</v>
      </c>
      <c r="F763" t="s">
        <v>0</v>
      </c>
      <c r="G763" t="s">
        <v>1</v>
      </c>
      <c r="H763">
        <v>101</v>
      </c>
      <c r="I763">
        <v>201</v>
      </c>
      <c r="J763" t="s">
        <v>4</v>
      </c>
      <c r="K763" t="s">
        <v>5</v>
      </c>
      <c r="L763">
        <v>40</v>
      </c>
      <c r="M763">
        <v>3072</v>
      </c>
      <c r="N763">
        <v>22.39</v>
      </c>
      <c r="O763">
        <v>13718</v>
      </c>
    </row>
    <row r="764" spans="1:15" x14ac:dyDescent="0.2">
      <c r="A764">
        <v>77</v>
      </c>
      <c r="B764" t="str">
        <f>VLOOKUP(Table1[[#This Row],[CountyID]],[1]!Table1[#All],2,FALSE)</f>
        <v>Todd</v>
      </c>
      <c r="C764">
        <f>VLOOKUP(Table1[[#This Row],[CountyID]],[1]!Table1[#All],3,FALSE)</f>
        <v>40</v>
      </c>
      <c r="D764">
        <v>40</v>
      </c>
      <c r="E764">
        <f>Table1[[#This Row],[Number of Counties]]-Table1[[#This Row],[Number of precincts Reporting]]</f>
        <v>0</v>
      </c>
      <c r="F764" t="s">
        <v>0</v>
      </c>
      <c r="G764" t="s">
        <v>1</v>
      </c>
      <c r="H764">
        <v>101</v>
      </c>
      <c r="I764">
        <v>301</v>
      </c>
      <c r="J764" t="s">
        <v>6</v>
      </c>
      <c r="K764" t="s">
        <v>7</v>
      </c>
      <c r="L764">
        <v>40</v>
      </c>
      <c r="M764">
        <v>46</v>
      </c>
      <c r="N764">
        <v>0.34</v>
      </c>
      <c r="O764">
        <v>13718</v>
      </c>
    </row>
    <row r="765" spans="1:15" x14ac:dyDescent="0.2">
      <c r="A765">
        <v>77</v>
      </c>
      <c r="B765" t="str">
        <f>VLOOKUP(Table1[[#This Row],[CountyID]],[1]!Table1[#All],2,FALSE)</f>
        <v>Todd</v>
      </c>
      <c r="C765">
        <f>VLOOKUP(Table1[[#This Row],[CountyID]],[1]!Table1[#All],3,FALSE)</f>
        <v>40</v>
      </c>
      <c r="D765">
        <v>40</v>
      </c>
      <c r="E765">
        <f>Table1[[#This Row],[Number of Counties]]-Table1[[#This Row],[Number of precincts Reporting]]</f>
        <v>0</v>
      </c>
      <c r="F765" t="s">
        <v>0</v>
      </c>
      <c r="G765" t="s">
        <v>1</v>
      </c>
      <c r="H765">
        <v>101</v>
      </c>
      <c r="I765">
        <v>401</v>
      </c>
      <c r="J765" t="s">
        <v>8</v>
      </c>
      <c r="K765" t="s">
        <v>9</v>
      </c>
      <c r="L765">
        <v>40</v>
      </c>
      <c r="M765">
        <v>115</v>
      </c>
      <c r="N765">
        <v>0.84</v>
      </c>
      <c r="O765">
        <v>13718</v>
      </c>
    </row>
    <row r="766" spans="1:15" x14ac:dyDescent="0.2">
      <c r="A766">
        <v>77</v>
      </c>
      <c r="B766" t="str">
        <f>VLOOKUP(Table1[[#This Row],[CountyID]],[1]!Table1[#All],2,FALSE)</f>
        <v>Todd</v>
      </c>
      <c r="C766">
        <f>VLOOKUP(Table1[[#This Row],[CountyID]],[1]!Table1[#All],3,FALSE)</f>
        <v>40</v>
      </c>
      <c r="D766">
        <v>40</v>
      </c>
      <c r="E766">
        <f>Table1[[#This Row],[Number of Counties]]-Table1[[#This Row],[Number of precincts Reporting]]</f>
        <v>0</v>
      </c>
      <c r="F766" t="s">
        <v>0</v>
      </c>
      <c r="G766" t="s">
        <v>1</v>
      </c>
      <c r="H766">
        <v>101</v>
      </c>
      <c r="I766">
        <v>501</v>
      </c>
      <c r="J766" t="s">
        <v>10</v>
      </c>
      <c r="K766" t="s">
        <v>11</v>
      </c>
      <c r="L766">
        <v>40</v>
      </c>
      <c r="M766">
        <v>28</v>
      </c>
      <c r="N766">
        <v>0.2</v>
      </c>
      <c r="O766">
        <v>13718</v>
      </c>
    </row>
    <row r="767" spans="1:15" x14ac:dyDescent="0.2">
      <c r="A767">
        <v>77</v>
      </c>
      <c r="B767" t="str">
        <f>VLOOKUP(Table1[[#This Row],[CountyID]],[1]!Table1[#All],2,FALSE)</f>
        <v>Todd</v>
      </c>
      <c r="C767">
        <f>VLOOKUP(Table1[[#This Row],[CountyID]],[1]!Table1[#All],3,FALSE)</f>
        <v>40</v>
      </c>
      <c r="D767">
        <v>40</v>
      </c>
      <c r="E767">
        <f>Table1[[#This Row],[Number of Counties]]-Table1[[#This Row],[Number of precincts Reporting]]</f>
        <v>0</v>
      </c>
      <c r="F767" t="s">
        <v>0</v>
      </c>
      <c r="G767" t="s">
        <v>1</v>
      </c>
      <c r="H767">
        <v>101</v>
      </c>
      <c r="I767">
        <v>601</v>
      </c>
      <c r="J767" t="s">
        <v>12</v>
      </c>
      <c r="K767" t="s">
        <v>13</v>
      </c>
      <c r="L767">
        <v>40</v>
      </c>
      <c r="M767">
        <v>2</v>
      </c>
      <c r="N767">
        <v>0.01</v>
      </c>
      <c r="O767">
        <v>13718</v>
      </c>
    </row>
    <row r="768" spans="1:15" x14ac:dyDescent="0.2">
      <c r="A768">
        <v>77</v>
      </c>
      <c r="B768" t="str">
        <f>VLOOKUP(Table1[[#This Row],[CountyID]],[1]!Table1[#All],2,FALSE)</f>
        <v>Todd</v>
      </c>
      <c r="C768">
        <f>VLOOKUP(Table1[[#This Row],[CountyID]],[1]!Table1[#All],3,FALSE)</f>
        <v>40</v>
      </c>
      <c r="D768">
        <v>40</v>
      </c>
      <c r="E768">
        <f>Table1[[#This Row],[Number of Counties]]-Table1[[#This Row],[Number of precincts Reporting]]</f>
        <v>0</v>
      </c>
      <c r="F768" t="s">
        <v>0</v>
      </c>
      <c r="G768" t="s">
        <v>1</v>
      </c>
      <c r="H768">
        <v>101</v>
      </c>
      <c r="I768">
        <v>701</v>
      </c>
      <c r="J768" t="s">
        <v>14</v>
      </c>
      <c r="K768" t="s">
        <v>15</v>
      </c>
      <c r="L768">
        <v>40</v>
      </c>
      <c r="M768">
        <v>1</v>
      </c>
      <c r="N768">
        <v>0.01</v>
      </c>
      <c r="O768">
        <v>13718</v>
      </c>
    </row>
    <row r="769" spans="1:15" x14ac:dyDescent="0.2">
      <c r="A769">
        <v>77</v>
      </c>
      <c r="B769" t="str">
        <f>VLOOKUP(Table1[[#This Row],[CountyID]],[1]!Table1[#All],2,FALSE)</f>
        <v>Todd</v>
      </c>
      <c r="C769">
        <f>VLOOKUP(Table1[[#This Row],[CountyID]],[1]!Table1[#All],3,FALSE)</f>
        <v>40</v>
      </c>
      <c r="D769">
        <v>40</v>
      </c>
      <c r="E769">
        <f>Table1[[#This Row],[Number of Counties]]-Table1[[#This Row],[Number of precincts Reporting]]</f>
        <v>0</v>
      </c>
      <c r="F769" t="s">
        <v>0</v>
      </c>
      <c r="G769" t="s">
        <v>1</v>
      </c>
      <c r="H769">
        <v>101</v>
      </c>
      <c r="I769">
        <v>801</v>
      </c>
      <c r="J769" t="s">
        <v>16</v>
      </c>
      <c r="K769" t="s">
        <v>17</v>
      </c>
      <c r="L769">
        <v>40</v>
      </c>
      <c r="M769">
        <v>7</v>
      </c>
      <c r="N769">
        <v>0.05</v>
      </c>
      <c r="O769">
        <v>13718</v>
      </c>
    </row>
    <row r="770" spans="1:15" x14ac:dyDescent="0.2">
      <c r="A770">
        <v>77</v>
      </c>
      <c r="B770" t="str">
        <f>VLOOKUP(Table1[[#This Row],[CountyID]],[1]!Table1[#All],2,FALSE)</f>
        <v>Todd</v>
      </c>
      <c r="C770">
        <f>VLOOKUP(Table1[[#This Row],[CountyID]],[1]!Table1[#All],3,FALSE)</f>
        <v>40</v>
      </c>
      <c r="D770">
        <v>40</v>
      </c>
      <c r="E770">
        <f>Table1[[#This Row],[Number of Counties]]-Table1[[#This Row],[Number of precincts Reporting]]</f>
        <v>0</v>
      </c>
      <c r="F770" t="s">
        <v>0</v>
      </c>
      <c r="G770" t="s">
        <v>1</v>
      </c>
      <c r="H770">
        <v>101</v>
      </c>
      <c r="I770">
        <v>901</v>
      </c>
      <c r="J770" t="s">
        <v>18</v>
      </c>
      <c r="K770" t="s">
        <v>19</v>
      </c>
      <c r="L770">
        <v>40</v>
      </c>
      <c r="M770">
        <v>9</v>
      </c>
      <c r="N770">
        <v>7.0000000000000007E-2</v>
      </c>
      <c r="O770">
        <v>13718</v>
      </c>
    </row>
    <row r="771" spans="1:15" x14ac:dyDescent="0.2">
      <c r="A771">
        <v>77</v>
      </c>
      <c r="B771" t="str">
        <f>VLOOKUP(Table1[[#This Row],[CountyID]],[1]!Table1[#All],2,FALSE)</f>
        <v>Todd</v>
      </c>
      <c r="C771">
        <f>VLOOKUP(Table1[[#This Row],[CountyID]],[1]!Table1[#All],3,FALSE)</f>
        <v>40</v>
      </c>
      <c r="D771">
        <v>40</v>
      </c>
      <c r="E771">
        <f>Table1[[#This Row],[Number of Counties]]-Table1[[#This Row],[Number of precincts Reporting]]</f>
        <v>0</v>
      </c>
      <c r="F771" t="s">
        <v>0</v>
      </c>
      <c r="G771" t="s">
        <v>1</v>
      </c>
      <c r="H771">
        <v>101</v>
      </c>
      <c r="I771">
        <v>9901</v>
      </c>
      <c r="J771" t="s">
        <v>20</v>
      </c>
      <c r="K771" t="s">
        <v>21</v>
      </c>
      <c r="L771">
        <v>40</v>
      </c>
      <c r="M771">
        <v>46</v>
      </c>
      <c r="N771">
        <v>0.34</v>
      </c>
      <c r="O771">
        <v>13718</v>
      </c>
    </row>
    <row r="772" spans="1:15" x14ac:dyDescent="0.2">
      <c r="A772">
        <v>78</v>
      </c>
      <c r="B772" t="str">
        <f>VLOOKUP(Table1[[#This Row],[CountyID]],[1]!Table1[#All],2,FALSE)</f>
        <v>Traverse</v>
      </c>
      <c r="C772">
        <f>VLOOKUP(Table1[[#This Row],[CountyID]],[1]!Table1[#All],3,FALSE)</f>
        <v>20</v>
      </c>
      <c r="D772">
        <v>20</v>
      </c>
      <c r="E772">
        <f>Table1[[#This Row],[Number of Counties]]-Table1[[#This Row],[Number of precincts Reporting]]</f>
        <v>0</v>
      </c>
      <c r="F772" t="s">
        <v>0</v>
      </c>
      <c r="G772" t="s">
        <v>1</v>
      </c>
      <c r="H772">
        <v>101</v>
      </c>
      <c r="I772">
        <v>101</v>
      </c>
      <c r="J772" t="s">
        <v>2</v>
      </c>
      <c r="K772" t="s">
        <v>3</v>
      </c>
      <c r="L772">
        <v>20</v>
      </c>
      <c r="M772">
        <v>1165</v>
      </c>
      <c r="N772">
        <v>64.650000000000006</v>
      </c>
      <c r="O772">
        <v>1802</v>
      </c>
    </row>
    <row r="773" spans="1:15" x14ac:dyDescent="0.2">
      <c r="A773">
        <v>78</v>
      </c>
      <c r="B773" t="str">
        <f>VLOOKUP(Table1[[#This Row],[CountyID]],[1]!Table1[#All],2,FALSE)</f>
        <v>Traverse</v>
      </c>
      <c r="C773">
        <f>VLOOKUP(Table1[[#This Row],[CountyID]],[1]!Table1[#All],3,FALSE)</f>
        <v>20</v>
      </c>
      <c r="D773">
        <v>20</v>
      </c>
      <c r="E773">
        <f>Table1[[#This Row],[Number of Counties]]-Table1[[#This Row],[Number of precincts Reporting]]</f>
        <v>0</v>
      </c>
      <c r="F773" t="s">
        <v>0</v>
      </c>
      <c r="G773" t="s">
        <v>1</v>
      </c>
      <c r="H773">
        <v>101</v>
      </c>
      <c r="I773">
        <v>201</v>
      </c>
      <c r="J773" t="s">
        <v>4</v>
      </c>
      <c r="K773" t="s">
        <v>5</v>
      </c>
      <c r="L773">
        <v>20</v>
      </c>
      <c r="M773">
        <v>597</v>
      </c>
      <c r="N773">
        <v>33.130000000000003</v>
      </c>
      <c r="O773">
        <v>1802</v>
      </c>
    </row>
    <row r="774" spans="1:15" x14ac:dyDescent="0.2">
      <c r="A774">
        <v>78</v>
      </c>
      <c r="B774" t="str">
        <f>VLOOKUP(Table1[[#This Row],[CountyID]],[1]!Table1[#All],2,FALSE)</f>
        <v>Traverse</v>
      </c>
      <c r="C774">
        <f>VLOOKUP(Table1[[#This Row],[CountyID]],[1]!Table1[#All],3,FALSE)</f>
        <v>20</v>
      </c>
      <c r="D774">
        <v>20</v>
      </c>
      <c r="E774">
        <f>Table1[[#This Row],[Number of Counties]]-Table1[[#This Row],[Number of precincts Reporting]]</f>
        <v>0</v>
      </c>
      <c r="F774" t="s">
        <v>0</v>
      </c>
      <c r="G774" t="s">
        <v>1</v>
      </c>
      <c r="H774">
        <v>101</v>
      </c>
      <c r="I774">
        <v>301</v>
      </c>
      <c r="J774" t="s">
        <v>6</v>
      </c>
      <c r="K774" t="s">
        <v>7</v>
      </c>
      <c r="L774">
        <v>20</v>
      </c>
      <c r="M774">
        <v>5</v>
      </c>
      <c r="N774">
        <v>0.28000000000000003</v>
      </c>
      <c r="O774">
        <v>1802</v>
      </c>
    </row>
    <row r="775" spans="1:15" x14ac:dyDescent="0.2">
      <c r="A775">
        <v>78</v>
      </c>
      <c r="B775" t="str">
        <f>VLOOKUP(Table1[[#This Row],[CountyID]],[1]!Table1[#All],2,FALSE)</f>
        <v>Traverse</v>
      </c>
      <c r="C775">
        <f>VLOOKUP(Table1[[#This Row],[CountyID]],[1]!Table1[#All],3,FALSE)</f>
        <v>20</v>
      </c>
      <c r="D775">
        <v>20</v>
      </c>
      <c r="E775">
        <f>Table1[[#This Row],[Number of Counties]]-Table1[[#This Row],[Number of precincts Reporting]]</f>
        <v>0</v>
      </c>
      <c r="F775" t="s">
        <v>0</v>
      </c>
      <c r="G775" t="s">
        <v>1</v>
      </c>
      <c r="H775">
        <v>101</v>
      </c>
      <c r="I775">
        <v>401</v>
      </c>
      <c r="J775" t="s">
        <v>8</v>
      </c>
      <c r="K775" t="s">
        <v>9</v>
      </c>
      <c r="L775">
        <v>20</v>
      </c>
      <c r="M775">
        <v>25</v>
      </c>
      <c r="N775">
        <v>1.39</v>
      </c>
      <c r="O775">
        <v>1802</v>
      </c>
    </row>
    <row r="776" spans="1:15" x14ac:dyDescent="0.2">
      <c r="A776">
        <v>78</v>
      </c>
      <c r="B776" t="str">
        <f>VLOOKUP(Table1[[#This Row],[CountyID]],[1]!Table1[#All],2,FALSE)</f>
        <v>Traverse</v>
      </c>
      <c r="C776">
        <f>VLOOKUP(Table1[[#This Row],[CountyID]],[1]!Table1[#All],3,FALSE)</f>
        <v>20</v>
      </c>
      <c r="D776">
        <v>20</v>
      </c>
      <c r="E776">
        <f>Table1[[#This Row],[Number of Counties]]-Table1[[#This Row],[Number of precincts Reporting]]</f>
        <v>0</v>
      </c>
      <c r="F776" t="s">
        <v>0</v>
      </c>
      <c r="G776" t="s">
        <v>1</v>
      </c>
      <c r="H776">
        <v>101</v>
      </c>
      <c r="I776">
        <v>501</v>
      </c>
      <c r="J776" t="s">
        <v>10</v>
      </c>
      <c r="K776" t="s">
        <v>11</v>
      </c>
      <c r="L776">
        <v>20</v>
      </c>
      <c r="M776">
        <v>4</v>
      </c>
      <c r="N776">
        <v>0.22</v>
      </c>
      <c r="O776">
        <v>1802</v>
      </c>
    </row>
    <row r="777" spans="1:15" x14ac:dyDescent="0.2">
      <c r="A777">
        <v>78</v>
      </c>
      <c r="B777" t="str">
        <f>VLOOKUP(Table1[[#This Row],[CountyID]],[1]!Table1[#All],2,FALSE)</f>
        <v>Traverse</v>
      </c>
      <c r="C777">
        <f>VLOOKUP(Table1[[#This Row],[CountyID]],[1]!Table1[#All],3,FALSE)</f>
        <v>20</v>
      </c>
      <c r="D777">
        <v>20</v>
      </c>
      <c r="E777">
        <f>Table1[[#This Row],[Number of Counties]]-Table1[[#This Row],[Number of precincts Reporting]]</f>
        <v>0</v>
      </c>
      <c r="F777" t="s">
        <v>0</v>
      </c>
      <c r="G777" t="s">
        <v>1</v>
      </c>
      <c r="H777">
        <v>101</v>
      </c>
      <c r="I777">
        <v>601</v>
      </c>
      <c r="J777" t="s">
        <v>12</v>
      </c>
      <c r="K777" t="s">
        <v>13</v>
      </c>
      <c r="L777">
        <v>20</v>
      </c>
      <c r="M777">
        <v>2</v>
      </c>
      <c r="N777">
        <v>0.11</v>
      </c>
      <c r="O777">
        <v>1802</v>
      </c>
    </row>
    <row r="778" spans="1:15" x14ac:dyDescent="0.2">
      <c r="A778">
        <v>78</v>
      </c>
      <c r="B778" t="str">
        <f>VLOOKUP(Table1[[#This Row],[CountyID]],[1]!Table1[#All],2,FALSE)</f>
        <v>Traverse</v>
      </c>
      <c r="C778">
        <f>VLOOKUP(Table1[[#This Row],[CountyID]],[1]!Table1[#All],3,FALSE)</f>
        <v>20</v>
      </c>
      <c r="D778">
        <v>20</v>
      </c>
      <c r="E778">
        <f>Table1[[#This Row],[Number of Counties]]-Table1[[#This Row],[Number of precincts Reporting]]</f>
        <v>0</v>
      </c>
      <c r="F778" t="s">
        <v>0</v>
      </c>
      <c r="G778" t="s">
        <v>1</v>
      </c>
      <c r="H778">
        <v>101</v>
      </c>
      <c r="I778">
        <v>701</v>
      </c>
      <c r="J778" t="s">
        <v>14</v>
      </c>
      <c r="K778" t="s">
        <v>15</v>
      </c>
      <c r="L778">
        <v>20</v>
      </c>
      <c r="M778">
        <v>1</v>
      </c>
      <c r="N778">
        <v>0.06</v>
      </c>
      <c r="O778">
        <v>1802</v>
      </c>
    </row>
    <row r="779" spans="1:15" x14ac:dyDescent="0.2">
      <c r="A779">
        <v>78</v>
      </c>
      <c r="B779" t="str">
        <f>VLOOKUP(Table1[[#This Row],[CountyID]],[1]!Table1[#All],2,FALSE)</f>
        <v>Traverse</v>
      </c>
      <c r="C779">
        <f>VLOOKUP(Table1[[#This Row],[CountyID]],[1]!Table1[#All],3,FALSE)</f>
        <v>20</v>
      </c>
      <c r="D779">
        <v>20</v>
      </c>
      <c r="E779">
        <f>Table1[[#This Row],[Number of Counties]]-Table1[[#This Row],[Number of precincts Reporting]]</f>
        <v>0</v>
      </c>
      <c r="F779" t="s">
        <v>0</v>
      </c>
      <c r="G779" t="s">
        <v>1</v>
      </c>
      <c r="H779">
        <v>101</v>
      </c>
      <c r="I779">
        <v>801</v>
      </c>
      <c r="J779" t="s">
        <v>16</v>
      </c>
      <c r="K779" t="s">
        <v>17</v>
      </c>
      <c r="L779">
        <v>20</v>
      </c>
      <c r="M779">
        <v>0</v>
      </c>
      <c r="N779">
        <v>0</v>
      </c>
      <c r="O779">
        <v>1802</v>
      </c>
    </row>
    <row r="780" spans="1:15" x14ac:dyDescent="0.2">
      <c r="A780">
        <v>78</v>
      </c>
      <c r="B780" t="str">
        <f>VLOOKUP(Table1[[#This Row],[CountyID]],[1]!Table1[#All],2,FALSE)</f>
        <v>Traverse</v>
      </c>
      <c r="C780">
        <f>VLOOKUP(Table1[[#This Row],[CountyID]],[1]!Table1[#All],3,FALSE)</f>
        <v>20</v>
      </c>
      <c r="D780">
        <v>20</v>
      </c>
      <c r="E780">
        <f>Table1[[#This Row],[Number of Counties]]-Table1[[#This Row],[Number of precincts Reporting]]</f>
        <v>0</v>
      </c>
      <c r="F780" t="s">
        <v>0</v>
      </c>
      <c r="G780" t="s">
        <v>1</v>
      </c>
      <c r="H780">
        <v>101</v>
      </c>
      <c r="I780">
        <v>901</v>
      </c>
      <c r="J780" t="s">
        <v>18</v>
      </c>
      <c r="K780" t="s">
        <v>19</v>
      </c>
      <c r="L780">
        <v>20</v>
      </c>
      <c r="M780">
        <v>2</v>
      </c>
      <c r="N780">
        <v>0.11</v>
      </c>
      <c r="O780">
        <v>1802</v>
      </c>
    </row>
    <row r="781" spans="1:15" x14ac:dyDescent="0.2">
      <c r="A781">
        <v>78</v>
      </c>
      <c r="B781" t="str">
        <f>VLOOKUP(Table1[[#This Row],[CountyID]],[1]!Table1[#All],2,FALSE)</f>
        <v>Traverse</v>
      </c>
      <c r="C781">
        <f>VLOOKUP(Table1[[#This Row],[CountyID]],[1]!Table1[#All],3,FALSE)</f>
        <v>20</v>
      </c>
      <c r="D781">
        <v>20</v>
      </c>
      <c r="E781">
        <f>Table1[[#This Row],[Number of Counties]]-Table1[[#This Row],[Number of precincts Reporting]]</f>
        <v>0</v>
      </c>
      <c r="F781" t="s">
        <v>0</v>
      </c>
      <c r="G781" t="s">
        <v>1</v>
      </c>
      <c r="H781">
        <v>101</v>
      </c>
      <c r="I781">
        <v>9901</v>
      </c>
      <c r="J781" t="s">
        <v>20</v>
      </c>
      <c r="K781" t="s">
        <v>21</v>
      </c>
      <c r="L781">
        <v>20</v>
      </c>
      <c r="M781">
        <v>1</v>
      </c>
      <c r="N781">
        <v>0.06</v>
      </c>
      <c r="O781">
        <v>1802</v>
      </c>
    </row>
    <row r="782" spans="1:15" x14ac:dyDescent="0.2">
      <c r="A782">
        <v>79</v>
      </c>
      <c r="B782" t="str">
        <f>VLOOKUP(Table1[[#This Row],[CountyID]],[1]!Table1[#All],2,FALSE)</f>
        <v>Wabasha</v>
      </c>
      <c r="C782">
        <f>VLOOKUP(Table1[[#This Row],[CountyID]],[1]!Table1[#All],3,FALSE)</f>
        <v>33</v>
      </c>
      <c r="D782">
        <v>33</v>
      </c>
      <c r="E782">
        <f>Table1[[#This Row],[Number of Counties]]-Table1[[#This Row],[Number of precincts Reporting]]</f>
        <v>0</v>
      </c>
      <c r="F782" t="s">
        <v>0</v>
      </c>
      <c r="G782" t="s">
        <v>1</v>
      </c>
      <c r="H782">
        <v>101</v>
      </c>
      <c r="I782">
        <v>101</v>
      </c>
      <c r="J782" t="s">
        <v>2</v>
      </c>
      <c r="K782" t="s">
        <v>3</v>
      </c>
      <c r="L782">
        <v>33</v>
      </c>
      <c r="M782">
        <v>8523</v>
      </c>
      <c r="N782">
        <v>63.09</v>
      </c>
      <c r="O782">
        <v>13509</v>
      </c>
    </row>
    <row r="783" spans="1:15" x14ac:dyDescent="0.2">
      <c r="A783">
        <v>79</v>
      </c>
      <c r="B783" t="str">
        <f>VLOOKUP(Table1[[#This Row],[CountyID]],[1]!Table1[#All],2,FALSE)</f>
        <v>Wabasha</v>
      </c>
      <c r="C783">
        <f>VLOOKUP(Table1[[#This Row],[CountyID]],[1]!Table1[#All],3,FALSE)</f>
        <v>33</v>
      </c>
      <c r="D783">
        <v>33</v>
      </c>
      <c r="E783">
        <f>Table1[[#This Row],[Number of Counties]]-Table1[[#This Row],[Number of precincts Reporting]]</f>
        <v>0</v>
      </c>
      <c r="F783" t="s">
        <v>0</v>
      </c>
      <c r="G783" t="s">
        <v>1</v>
      </c>
      <c r="H783">
        <v>101</v>
      </c>
      <c r="I783">
        <v>201</v>
      </c>
      <c r="J783" t="s">
        <v>4</v>
      </c>
      <c r="K783" t="s">
        <v>5</v>
      </c>
      <c r="L783">
        <v>33</v>
      </c>
      <c r="M783">
        <v>4721</v>
      </c>
      <c r="N783">
        <v>34.950000000000003</v>
      </c>
      <c r="O783">
        <v>13509</v>
      </c>
    </row>
    <row r="784" spans="1:15" x14ac:dyDescent="0.2">
      <c r="A784">
        <v>79</v>
      </c>
      <c r="B784" t="str">
        <f>VLOOKUP(Table1[[#This Row],[CountyID]],[1]!Table1[#All],2,FALSE)</f>
        <v>Wabasha</v>
      </c>
      <c r="C784">
        <f>VLOOKUP(Table1[[#This Row],[CountyID]],[1]!Table1[#All],3,FALSE)</f>
        <v>33</v>
      </c>
      <c r="D784">
        <v>33</v>
      </c>
      <c r="E784">
        <f>Table1[[#This Row],[Number of Counties]]-Table1[[#This Row],[Number of precincts Reporting]]</f>
        <v>0</v>
      </c>
      <c r="F784" t="s">
        <v>0</v>
      </c>
      <c r="G784" t="s">
        <v>1</v>
      </c>
      <c r="H784">
        <v>101</v>
      </c>
      <c r="I784">
        <v>301</v>
      </c>
      <c r="J784" t="s">
        <v>6</v>
      </c>
      <c r="K784" t="s">
        <v>7</v>
      </c>
      <c r="L784">
        <v>33</v>
      </c>
      <c r="M784">
        <v>57</v>
      </c>
      <c r="N784">
        <v>0.42</v>
      </c>
      <c r="O784">
        <v>13509</v>
      </c>
    </row>
    <row r="785" spans="1:15" x14ac:dyDescent="0.2">
      <c r="A785">
        <v>79</v>
      </c>
      <c r="B785" t="str">
        <f>VLOOKUP(Table1[[#This Row],[CountyID]],[1]!Table1[#All],2,FALSE)</f>
        <v>Wabasha</v>
      </c>
      <c r="C785">
        <f>VLOOKUP(Table1[[#This Row],[CountyID]],[1]!Table1[#All],3,FALSE)</f>
        <v>33</v>
      </c>
      <c r="D785">
        <v>33</v>
      </c>
      <c r="E785">
        <f>Table1[[#This Row],[Number of Counties]]-Table1[[#This Row],[Number of precincts Reporting]]</f>
        <v>0</v>
      </c>
      <c r="F785" t="s">
        <v>0</v>
      </c>
      <c r="G785" t="s">
        <v>1</v>
      </c>
      <c r="H785">
        <v>101</v>
      </c>
      <c r="I785">
        <v>401</v>
      </c>
      <c r="J785" t="s">
        <v>8</v>
      </c>
      <c r="K785" t="s">
        <v>9</v>
      </c>
      <c r="L785">
        <v>33</v>
      </c>
      <c r="M785">
        <v>128</v>
      </c>
      <c r="N785">
        <v>0.95</v>
      </c>
      <c r="O785">
        <v>13509</v>
      </c>
    </row>
    <row r="786" spans="1:15" x14ac:dyDescent="0.2">
      <c r="A786">
        <v>79</v>
      </c>
      <c r="B786" t="str">
        <f>VLOOKUP(Table1[[#This Row],[CountyID]],[1]!Table1[#All],2,FALSE)</f>
        <v>Wabasha</v>
      </c>
      <c r="C786">
        <f>VLOOKUP(Table1[[#This Row],[CountyID]],[1]!Table1[#All],3,FALSE)</f>
        <v>33</v>
      </c>
      <c r="D786">
        <v>33</v>
      </c>
      <c r="E786">
        <f>Table1[[#This Row],[Number of Counties]]-Table1[[#This Row],[Number of precincts Reporting]]</f>
        <v>0</v>
      </c>
      <c r="F786" t="s">
        <v>0</v>
      </c>
      <c r="G786" t="s">
        <v>1</v>
      </c>
      <c r="H786">
        <v>101</v>
      </c>
      <c r="I786">
        <v>501</v>
      </c>
      <c r="J786" t="s">
        <v>10</v>
      </c>
      <c r="K786" t="s">
        <v>11</v>
      </c>
      <c r="L786">
        <v>33</v>
      </c>
      <c r="M786">
        <v>32</v>
      </c>
      <c r="N786">
        <v>0.24</v>
      </c>
      <c r="O786">
        <v>13509</v>
      </c>
    </row>
    <row r="787" spans="1:15" x14ac:dyDescent="0.2">
      <c r="A787">
        <v>79</v>
      </c>
      <c r="B787" t="str">
        <f>VLOOKUP(Table1[[#This Row],[CountyID]],[1]!Table1[#All],2,FALSE)</f>
        <v>Wabasha</v>
      </c>
      <c r="C787">
        <f>VLOOKUP(Table1[[#This Row],[CountyID]],[1]!Table1[#All],3,FALSE)</f>
        <v>33</v>
      </c>
      <c r="D787">
        <v>33</v>
      </c>
      <c r="E787">
        <f>Table1[[#This Row],[Number of Counties]]-Table1[[#This Row],[Number of precincts Reporting]]</f>
        <v>0</v>
      </c>
      <c r="F787" t="s">
        <v>0</v>
      </c>
      <c r="G787" t="s">
        <v>1</v>
      </c>
      <c r="H787">
        <v>101</v>
      </c>
      <c r="I787">
        <v>601</v>
      </c>
      <c r="J787" t="s">
        <v>12</v>
      </c>
      <c r="K787" t="s">
        <v>13</v>
      </c>
      <c r="L787">
        <v>33</v>
      </c>
      <c r="M787">
        <v>4</v>
      </c>
      <c r="N787">
        <v>0.03</v>
      </c>
      <c r="O787">
        <v>13509</v>
      </c>
    </row>
    <row r="788" spans="1:15" x14ac:dyDescent="0.2">
      <c r="A788">
        <v>79</v>
      </c>
      <c r="B788" t="str">
        <f>VLOOKUP(Table1[[#This Row],[CountyID]],[1]!Table1[#All],2,FALSE)</f>
        <v>Wabasha</v>
      </c>
      <c r="C788">
        <f>VLOOKUP(Table1[[#This Row],[CountyID]],[1]!Table1[#All],3,FALSE)</f>
        <v>33</v>
      </c>
      <c r="D788">
        <v>33</v>
      </c>
      <c r="E788">
        <f>Table1[[#This Row],[Number of Counties]]-Table1[[#This Row],[Number of precincts Reporting]]</f>
        <v>0</v>
      </c>
      <c r="F788" t="s">
        <v>0</v>
      </c>
      <c r="G788" t="s">
        <v>1</v>
      </c>
      <c r="H788">
        <v>101</v>
      </c>
      <c r="I788">
        <v>701</v>
      </c>
      <c r="J788" t="s">
        <v>14</v>
      </c>
      <c r="K788" t="s">
        <v>15</v>
      </c>
      <c r="L788">
        <v>33</v>
      </c>
      <c r="M788">
        <v>0</v>
      </c>
      <c r="N788">
        <v>0</v>
      </c>
      <c r="O788">
        <v>13509</v>
      </c>
    </row>
    <row r="789" spans="1:15" x14ac:dyDescent="0.2">
      <c r="A789">
        <v>79</v>
      </c>
      <c r="B789" t="str">
        <f>VLOOKUP(Table1[[#This Row],[CountyID]],[1]!Table1[#All],2,FALSE)</f>
        <v>Wabasha</v>
      </c>
      <c r="C789">
        <f>VLOOKUP(Table1[[#This Row],[CountyID]],[1]!Table1[#All],3,FALSE)</f>
        <v>33</v>
      </c>
      <c r="D789">
        <v>33</v>
      </c>
      <c r="E789">
        <f>Table1[[#This Row],[Number of Counties]]-Table1[[#This Row],[Number of precincts Reporting]]</f>
        <v>0</v>
      </c>
      <c r="F789" t="s">
        <v>0</v>
      </c>
      <c r="G789" t="s">
        <v>1</v>
      </c>
      <c r="H789">
        <v>101</v>
      </c>
      <c r="I789">
        <v>801</v>
      </c>
      <c r="J789" t="s">
        <v>16</v>
      </c>
      <c r="K789" t="s">
        <v>17</v>
      </c>
      <c r="L789">
        <v>33</v>
      </c>
      <c r="M789">
        <v>3</v>
      </c>
      <c r="N789">
        <v>0.02</v>
      </c>
      <c r="O789">
        <v>13509</v>
      </c>
    </row>
    <row r="790" spans="1:15" x14ac:dyDescent="0.2">
      <c r="A790">
        <v>79</v>
      </c>
      <c r="B790" t="str">
        <f>VLOOKUP(Table1[[#This Row],[CountyID]],[1]!Table1[#All],2,FALSE)</f>
        <v>Wabasha</v>
      </c>
      <c r="C790">
        <f>VLOOKUP(Table1[[#This Row],[CountyID]],[1]!Table1[#All],3,FALSE)</f>
        <v>33</v>
      </c>
      <c r="D790">
        <v>33</v>
      </c>
      <c r="E790">
        <f>Table1[[#This Row],[Number of Counties]]-Table1[[#This Row],[Number of precincts Reporting]]</f>
        <v>0</v>
      </c>
      <c r="F790" t="s">
        <v>0</v>
      </c>
      <c r="G790" t="s">
        <v>1</v>
      </c>
      <c r="H790">
        <v>101</v>
      </c>
      <c r="I790">
        <v>901</v>
      </c>
      <c r="J790" t="s">
        <v>18</v>
      </c>
      <c r="K790" t="s">
        <v>19</v>
      </c>
      <c r="L790">
        <v>33</v>
      </c>
      <c r="M790">
        <v>13</v>
      </c>
      <c r="N790">
        <v>0.1</v>
      </c>
      <c r="O790">
        <v>13509</v>
      </c>
    </row>
    <row r="791" spans="1:15" x14ac:dyDescent="0.2">
      <c r="A791">
        <v>79</v>
      </c>
      <c r="B791" t="str">
        <f>VLOOKUP(Table1[[#This Row],[CountyID]],[1]!Table1[#All],2,FALSE)</f>
        <v>Wabasha</v>
      </c>
      <c r="C791">
        <f>VLOOKUP(Table1[[#This Row],[CountyID]],[1]!Table1[#All],3,FALSE)</f>
        <v>33</v>
      </c>
      <c r="D791">
        <v>33</v>
      </c>
      <c r="E791">
        <f>Table1[[#This Row],[Number of Counties]]-Table1[[#This Row],[Number of precincts Reporting]]</f>
        <v>0</v>
      </c>
      <c r="F791" t="s">
        <v>0</v>
      </c>
      <c r="G791" t="s">
        <v>1</v>
      </c>
      <c r="H791">
        <v>101</v>
      </c>
      <c r="I791">
        <v>9901</v>
      </c>
      <c r="J791" t="s">
        <v>20</v>
      </c>
      <c r="K791" t="s">
        <v>21</v>
      </c>
      <c r="L791">
        <v>33</v>
      </c>
      <c r="M791">
        <v>28</v>
      </c>
      <c r="N791">
        <v>0.21</v>
      </c>
      <c r="O791">
        <v>13509</v>
      </c>
    </row>
    <row r="792" spans="1:15" x14ac:dyDescent="0.2">
      <c r="A792">
        <v>80</v>
      </c>
      <c r="B792" t="str">
        <f>VLOOKUP(Table1[[#This Row],[CountyID]],[1]!Table1[#All],2,FALSE)</f>
        <v>Wadena</v>
      </c>
      <c r="C792">
        <f>VLOOKUP(Table1[[#This Row],[CountyID]],[1]!Table1[#All],3,FALSE)</f>
        <v>24</v>
      </c>
      <c r="D792">
        <v>24</v>
      </c>
      <c r="E792">
        <f>Table1[[#This Row],[Number of Counties]]-Table1[[#This Row],[Number of precincts Reporting]]</f>
        <v>0</v>
      </c>
      <c r="F792" t="s">
        <v>0</v>
      </c>
      <c r="G792" t="s">
        <v>1</v>
      </c>
      <c r="H792">
        <v>101</v>
      </c>
      <c r="I792">
        <v>101</v>
      </c>
      <c r="J792" t="s">
        <v>2</v>
      </c>
      <c r="K792" t="s">
        <v>3</v>
      </c>
      <c r="L792">
        <v>24</v>
      </c>
      <c r="M792">
        <v>6028</v>
      </c>
      <c r="N792">
        <v>74.91</v>
      </c>
      <c r="O792">
        <v>8047</v>
      </c>
    </row>
    <row r="793" spans="1:15" x14ac:dyDescent="0.2">
      <c r="A793">
        <v>80</v>
      </c>
      <c r="B793" t="str">
        <f>VLOOKUP(Table1[[#This Row],[CountyID]],[1]!Table1[#All],2,FALSE)</f>
        <v>Wadena</v>
      </c>
      <c r="C793">
        <f>VLOOKUP(Table1[[#This Row],[CountyID]],[1]!Table1[#All],3,FALSE)</f>
        <v>24</v>
      </c>
      <c r="D793">
        <v>24</v>
      </c>
      <c r="E793">
        <f>Table1[[#This Row],[Number of Counties]]-Table1[[#This Row],[Number of precincts Reporting]]</f>
        <v>0</v>
      </c>
      <c r="F793" t="s">
        <v>0</v>
      </c>
      <c r="G793" t="s">
        <v>1</v>
      </c>
      <c r="H793">
        <v>101</v>
      </c>
      <c r="I793">
        <v>201</v>
      </c>
      <c r="J793" t="s">
        <v>4</v>
      </c>
      <c r="K793" t="s">
        <v>5</v>
      </c>
      <c r="L793">
        <v>24</v>
      </c>
      <c r="M793">
        <v>1898</v>
      </c>
      <c r="N793">
        <v>23.59</v>
      </c>
      <c r="O793">
        <v>8047</v>
      </c>
    </row>
    <row r="794" spans="1:15" x14ac:dyDescent="0.2">
      <c r="A794">
        <v>80</v>
      </c>
      <c r="B794" t="str">
        <f>VLOOKUP(Table1[[#This Row],[CountyID]],[1]!Table1[#All],2,FALSE)</f>
        <v>Wadena</v>
      </c>
      <c r="C794">
        <f>VLOOKUP(Table1[[#This Row],[CountyID]],[1]!Table1[#All],3,FALSE)</f>
        <v>24</v>
      </c>
      <c r="D794">
        <v>24</v>
      </c>
      <c r="E794">
        <f>Table1[[#This Row],[Number of Counties]]-Table1[[#This Row],[Number of precincts Reporting]]</f>
        <v>0</v>
      </c>
      <c r="F794" t="s">
        <v>0</v>
      </c>
      <c r="G794" t="s">
        <v>1</v>
      </c>
      <c r="H794">
        <v>101</v>
      </c>
      <c r="I794">
        <v>301</v>
      </c>
      <c r="J794" t="s">
        <v>6</v>
      </c>
      <c r="K794" t="s">
        <v>7</v>
      </c>
      <c r="L794">
        <v>24</v>
      </c>
      <c r="M794">
        <v>11</v>
      </c>
      <c r="N794">
        <v>0.14000000000000001</v>
      </c>
      <c r="O794">
        <v>8047</v>
      </c>
    </row>
    <row r="795" spans="1:15" x14ac:dyDescent="0.2">
      <c r="A795">
        <v>80</v>
      </c>
      <c r="B795" t="str">
        <f>VLOOKUP(Table1[[#This Row],[CountyID]],[1]!Table1[#All],2,FALSE)</f>
        <v>Wadena</v>
      </c>
      <c r="C795">
        <f>VLOOKUP(Table1[[#This Row],[CountyID]],[1]!Table1[#All],3,FALSE)</f>
        <v>24</v>
      </c>
      <c r="D795">
        <v>24</v>
      </c>
      <c r="E795">
        <f>Table1[[#This Row],[Number of Counties]]-Table1[[#This Row],[Number of precincts Reporting]]</f>
        <v>0</v>
      </c>
      <c r="F795" t="s">
        <v>0</v>
      </c>
      <c r="G795" t="s">
        <v>1</v>
      </c>
      <c r="H795">
        <v>101</v>
      </c>
      <c r="I795">
        <v>401</v>
      </c>
      <c r="J795" t="s">
        <v>8</v>
      </c>
      <c r="K795" t="s">
        <v>9</v>
      </c>
      <c r="L795">
        <v>24</v>
      </c>
      <c r="M795">
        <v>65</v>
      </c>
      <c r="N795">
        <v>0.81</v>
      </c>
      <c r="O795">
        <v>8047</v>
      </c>
    </row>
    <row r="796" spans="1:15" x14ac:dyDescent="0.2">
      <c r="A796">
        <v>80</v>
      </c>
      <c r="B796" t="str">
        <f>VLOOKUP(Table1[[#This Row],[CountyID]],[1]!Table1[#All],2,FALSE)</f>
        <v>Wadena</v>
      </c>
      <c r="C796">
        <f>VLOOKUP(Table1[[#This Row],[CountyID]],[1]!Table1[#All],3,FALSE)</f>
        <v>24</v>
      </c>
      <c r="D796">
        <v>24</v>
      </c>
      <c r="E796">
        <f>Table1[[#This Row],[Number of Counties]]-Table1[[#This Row],[Number of precincts Reporting]]</f>
        <v>0</v>
      </c>
      <c r="F796" t="s">
        <v>0</v>
      </c>
      <c r="G796" t="s">
        <v>1</v>
      </c>
      <c r="H796">
        <v>101</v>
      </c>
      <c r="I796">
        <v>501</v>
      </c>
      <c r="J796" t="s">
        <v>10</v>
      </c>
      <c r="K796" t="s">
        <v>11</v>
      </c>
      <c r="L796">
        <v>24</v>
      </c>
      <c r="M796">
        <v>8</v>
      </c>
      <c r="N796">
        <v>0.1</v>
      </c>
      <c r="O796">
        <v>8047</v>
      </c>
    </row>
    <row r="797" spans="1:15" x14ac:dyDescent="0.2">
      <c r="A797">
        <v>80</v>
      </c>
      <c r="B797" t="str">
        <f>VLOOKUP(Table1[[#This Row],[CountyID]],[1]!Table1[#All],2,FALSE)</f>
        <v>Wadena</v>
      </c>
      <c r="C797">
        <f>VLOOKUP(Table1[[#This Row],[CountyID]],[1]!Table1[#All],3,FALSE)</f>
        <v>24</v>
      </c>
      <c r="D797">
        <v>24</v>
      </c>
      <c r="E797">
        <f>Table1[[#This Row],[Number of Counties]]-Table1[[#This Row],[Number of precincts Reporting]]</f>
        <v>0</v>
      </c>
      <c r="F797" t="s">
        <v>0</v>
      </c>
      <c r="G797" t="s">
        <v>1</v>
      </c>
      <c r="H797">
        <v>101</v>
      </c>
      <c r="I797">
        <v>601</v>
      </c>
      <c r="J797" t="s">
        <v>12</v>
      </c>
      <c r="K797" t="s">
        <v>13</v>
      </c>
      <c r="L797">
        <v>24</v>
      </c>
      <c r="M797">
        <v>1</v>
      </c>
      <c r="N797">
        <v>0.01</v>
      </c>
      <c r="O797">
        <v>8047</v>
      </c>
    </row>
    <row r="798" spans="1:15" x14ac:dyDescent="0.2">
      <c r="A798">
        <v>80</v>
      </c>
      <c r="B798" t="str">
        <f>VLOOKUP(Table1[[#This Row],[CountyID]],[1]!Table1[#All],2,FALSE)</f>
        <v>Wadena</v>
      </c>
      <c r="C798">
        <f>VLOOKUP(Table1[[#This Row],[CountyID]],[1]!Table1[#All],3,FALSE)</f>
        <v>24</v>
      </c>
      <c r="D798">
        <v>24</v>
      </c>
      <c r="E798">
        <f>Table1[[#This Row],[Number of Counties]]-Table1[[#This Row],[Number of precincts Reporting]]</f>
        <v>0</v>
      </c>
      <c r="F798" t="s">
        <v>0</v>
      </c>
      <c r="G798" t="s">
        <v>1</v>
      </c>
      <c r="H798">
        <v>101</v>
      </c>
      <c r="I798">
        <v>701</v>
      </c>
      <c r="J798" t="s">
        <v>14</v>
      </c>
      <c r="K798" t="s">
        <v>15</v>
      </c>
      <c r="L798">
        <v>24</v>
      </c>
      <c r="M798">
        <v>1</v>
      </c>
      <c r="N798">
        <v>0.01</v>
      </c>
      <c r="O798">
        <v>8047</v>
      </c>
    </row>
    <row r="799" spans="1:15" x14ac:dyDescent="0.2">
      <c r="A799">
        <v>80</v>
      </c>
      <c r="B799" t="str">
        <f>VLOOKUP(Table1[[#This Row],[CountyID]],[1]!Table1[#All],2,FALSE)</f>
        <v>Wadena</v>
      </c>
      <c r="C799">
        <f>VLOOKUP(Table1[[#This Row],[CountyID]],[1]!Table1[#All],3,FALSE)</f>
        <v>24</v>
      </c>
      <c r="D799">
        <v>24</v>
      </c>
      <c r="E799">
        <f>Table1[[#This Row],[Number of Counties]]-Table1[[#This Row],[Number of precincts Reporting]]</f>
        <v>0</v>
      </c>
      <c r="F799" t="s">
        <v>0</v>
      </c>
      <c r="G799" t="s">
        <v>1</v>
      </c>
      <c r="H799">
        <v>101</v>
      </c>
      <c r="I799">
        <v>801</v>
      </c>
      <c r="J799" t="s">
        <v>16</v>
      </c>
      <c r="K799" t="s">
        <v>17</v>
      </c>
      <c r="L799">
        <v>24</v>
      </c>
      <c r="M799">
        <v>4</v>
      </c>
      <c r="N799">
        <v>0.05</v>
      </c>
      <c r="O799">
        <v>8047</v>
      </c>
    </row>
    <row r="800" spans="1:15" x14ac:dyDescent="0.2">
      <c r="A800">
        <v>80</v>
      </c>
      <c r="B800" t="str">
        <f>VLOOKUP(Table1[[#This Row],[CountyID]],[1]!Table1[#All],2,FALSE)</f>
        <v>Wadena</v>
      </c>
      <c r="C800">
        <f>VLOOKUP(Table1[[#This Row],[CountyID]],[1]!Table1[#All],3,FALSE)</f>
        <v>24</v>
      </c>
      <c r="D800">
        <v>24</v>
      </c>
      <c r="E800">
        <f>Table1[[#This Row],[Number of Counties]]-Table1[[#This Row],[Number of precincts Reporting]]</f>
        <v>0</v>
      </c>
      <c r="F800" t="s">
        <v>0</v>
      </c>
      <c r="G800" t="s">
        <v>1</v>
      </c>
      <c r="H800">
        <v>101</v>
      </c>
      <c r="I800">
        <v>901</v>
      </c>
      <c r="J800" t="s">
        <v>18</v>
      </c>
      <c r="K800" t="s">
        <v>19</v>
      </c>
      <c r="L800">
        <v>24</v>
      </c>
      <c r="M800">
        <v>8</v>
      </c>
      <c r="N800">
        <v>0.1</v>
      </c>
      <c r="O800">
        <v>8047</v>
      </c>
    </row>
    <row r="801" spans="1:15" x14ac:dyDescent="0.2">
      <c r="A801">
        <v>80</v>
      </c>
      <c r="B801" t="str">
        <f>VLOOKUP(Table1[[#This Row],[CountyID]],[1]!Table1[#All],2,FALSE)</f>
        <v>Wadena</v>
      </c>
      <c r="C801">
        <f>VLOOKUP(Table1[[#This Row],[CountyID]],[1]!Table1[#All],3,FALSE)</f>
        <v>24</v>
      </c>
      <c r="D801">
        <v>24</v>
      </c>
      <c r="E801">
        <f>Table1[[#This Row],[Number of Counties]]-Table1[[#This Row],[Number of precincts Reporting]]</f>
        <v>0</v>
      </c>
      <c r="F801" t="s">
        <v>0</v>
      </c>
      <c r="G801" t="s">
        <v>1</v>
      </c>
      <c r="H801">
        <v>101</v>
      </c>
      <c r="I801">
        <v>9901</v>
      </c>
      <c r="J801" t="s">
        <v>20</v>
      </c>
      <c r="K801" t="s">
        <v>21</v>
      </c>
      <c r="L801">
        <v>24</v>
      </c>
      <c r="M801">
        <v>23</v>
      </c>
      <c r="N801">
        <v>0.28999999999999998</v>
      </c>
      <c r="O801">
        <v>8047</v>
      </c>
    </row>
    <row r="802" spans="1:15" x14ac:dyDescent="0.2">
      <c r="A802">
        <v>81</v>
      </c>
      <c r="B802" t="str">
        <f>VLOOKUP(Table1[[#This Row],[CountyID]],[1]!Table1[#All],2,FALSE)</f>
        <v>Waseca</v>
      </c>
      <c r="C802">
        <f>VLOOKUP(Table1[[#This Row],[CountyID]],[1]!Table1[#All],3,FALSE)</f>
        <v>23</v>
      </c>
      <c r="D802">
        <v>23</v>
      </c>
      <c r="E802">
        <f>Table1[[#This Row],[Number of Counties]]-Table1[[#This Row],[Number of precincts Reporting]]</f>
        <v>0</v>
      </c>
      <c r="F802" t="s">
        <v>0</v>
      </c>
      <c r="G802" t="s">
        <v>1</v>
      </c>
      <c r="H802">
        <v>101</v>
      </c>
      <c r="I802">
        <v>101</v>
      </c>
      <c r="J802" t="s">
        <v>2</v>
      </c>
      <c r="K802" t="s">
        <v>3</v>
      </c>
      <c r="L802">
        <v>23</v>
      </c>
      <c r="M802">
        <v>6770</v>
      </c>
      <c r="N802">
        <v>65.180000000000007</v>
      </c>
      <c r="O802">
        <v>10387</v>
      </c>
    </row>
    <row r="803" spans="1:15" x14ac:dyDescent="0.2">
      <c r="A803">
        <v>81</v>
      </c>
      <c r="B803" t="str">
        <f>VLOOKUP(Table1[[#This Row],[CountyID]],[1]!Table1[#All],2,FALSE)</f>
        <v>Waseca</v>
      </c>
      <c r="C803">
        <f>VLOOKUP(Table1[[#This Row],[CountyID]],[1]!Table1[#All],3,FALSE)</f>
        <v>23</v>
      </c>
      <c r="D803">
        <v>23</v>
      </c>
      <c r="E803">
        <f>Table1[[#This Row],[Number of Counties]]-Table1[[#This Row],[Number of precincts Reporting]]</f>
        <v>0</v>
      </c>
      <c r="F803" t="s">
        <v>0</v>
      </c>
      <c r="G803" t="s">
        <v>1</v>
      </c>
      <c r="H803">
        <v>101</v>
      </c>
      <c r="I803">
        <v>201</v>
      </c>
      <c r="J803" t="s">
        <v>4</v>
      </c>
      <c r="K803" t="s">
        <v>5</v>
      </c>
      <c r="L803">
        <v>23</v>
      </c>
      <c r="M803">
        <v>3402</v>
      </c>
      <c r="N803">
        <v>32.75</v>
      </c>
      <c r="O803">
        <v>10387</v>
      </c>
    </row>
    <row r="804" spans="1:15" x14ac:dyDescent="0.2">
      <c r="A804">
        <v>81</v>
      </c>
      <c r="B804" t="str">
        <f>VLOOKUP(Table1[[#This Row],[CountyID]],[1]!Table1[#All],2,FALSE)</f>
        <v>Waseca</v>
      </c>
      <c r="C804">
        <f>VLOOKUP(Table1[[#This Row],[CountyID]],[1]!Table1[#All],3,FALSE)</f>
        <v>23</v>
      </c>
      <c r="D804">
        <v>23</v>
      </c>
      <c r="E804">
        <f>Table1[[#This Row],[Number of Counties]]-Table1[[#This Row],[Number of precincts Reporting]]</f>
        <v>0</v>
      </c>
      <c r="F804" t="s">
        <v>0</v>
      </c>
      <c r="G804" t="s">
        <v>1</v>
      </c>
      <c r="H804">
        <v>101</v>
      </c>
      <c r="I804">
        <v>301</v>
      </c>
      <c r="J804" t="s">
        <v>6</v>
      </c>
      <c r="K804" t="s">
        <v>7</v>
      </c>
      <c r="L804">
        <v>23</v>
      </c>
      <c r="M804">
        <v>52</v>
      </c>
      <c r="N804">
        <v>0.5</v>
      </c>
      <c r="O804">
        <v>10387</v>
      </c>
    </row>
    <row r="805" spans="1:15" x14ac:dyDescent="0.2">
      <c r="A805">
        <v>81</v>
      </c>
      <c r="B805" t="str">
        <f>VLOOKUP(Table1[[#This Row],[CountyID]],[1]!Table1[#All],2,FALSE)</f>
        <v>Waseca</v>
      </c>
      <c r="C805">
        <f>VLOOKUP(Table1[[#This Row],[CountyID]],[1]!Table1[#All],3,FALSE)</f>
        <v>23</v>
      </c>
      <c r="D805">
        <v>23</v>
      </c>
      <c r="E805">
        <f>Table1[[#This Row],[Number of Counties]]-Table1[[#This Row],[Number of precincts Reporting]]</f>
        <v>0</v>
      </c>
      <c r="F805" t="s">
        <v>0</v>
      </c>
      <c r="G805" t="s">
        <v>1</v>
      </c>
      <c r="H805">
        <v>101</v>
      </c>
      <c r="I805">
        <v>401</v>
      </c>
      <c r="J805" t="s">
        <v>8</v>
      </c>
      <c r="K805" t="s">
        <v>9</v>
      </c>
      <c r="L805">
        <v>23</v>
      </c>
      <c r="M805">
        <v>93</v>
      </c>
      <c r="N805">
        <v>0.9</v>
      </c>
      <c r="O805">
        <v>10387</v>
      </c>
    </row>
    <row r="806" spans="1:15" x14ac:dyDescent="0.2">
      <c r="A806">
        <v>81</v>
      </c>
      <c r="B806" t="str">
        <f>VLOOKUP(Table1[[#This Row],[CountyID]],[1]!Table1[#All],2,FALSE)</f>
        <v>Waseca</v>
      </c>
      <c r="C806">
        <f>VLOOKUP(Table1[[#This Row],[CountyID]],[1]!Table1[#All],3,FALSE)</f>
        <v>23</v>
      </c>
      <c r="D806">
        <v>23</v>
      </c>
      <c r="E806">
        <f>Table1[[#This Row],[Number of Counties]]-Table1[[#This Row],[Number of precincts Reporting]]</f>
        <v>0</v>
      </c>
      <c r="F806" t="s">
        <v>0</v>
      </c>
      <c r="G806" t="s">
        <v>1</v>
      </c>
      <c r="H806">
        <v>101</v>
      </c>
      <c r="I806">
        <v>501</v>
      </c>
      <c r="J806" t="s">
        <v>10</v>
      </c>
      <c r="K806" t="s">
        <v>11</v>
      </c>
      <c r="L806">
        <v>23</v>
      </c>
      <c r="M806">
        <v>28</v>
      </c>
      <c r="N806">
        <v>0.27</v>
      </c>
      <c r="O806">
        <v>10387</v>
      </c>
    </row>
    <row r="807" spans="1:15" x14ac:dyDescent="0.2">
      <c r="A807">
        <v>81</v>
      </c>
      <c r="B807" t="str">
        <f>VLOOKUP(Table1[[#This Row],[CountyID]],[1]!Table1[#All],2,FALSE)</f>
        <v>Waseca</v>
      </c>
      <c r="C807">
        <f>VLOOKUP(Table1[[#This Row],[CountyID]],[1]!Table1[#All],3,FALSE)</f>
        <v>23</v>
      </c>
      <c r="D807">
        <v>23</v>
      </c>
      <c r="E807">
        <f>Table1[[#This Row],[Number of Counties]]-Table1[[#This Row],[Number of precincts Reporting]]</f>
        <v>0</v>
      </c>
      <c r="F807" t="s">
        <v>0</v>
      </c>
      <c r="G807" t="s">
        <v>1</v>
      </c>
      <c r="H807">
        <v>101</v>
      </c>
      <c r="I807">
        <v>601</v>
      </c>
      <c r="J807" t="s">
        <v>12</v>
      </c>
      <c r="K807" t="s">
        <v>13</v>
      </c>
      <c r="L807">
        <v>23</v>
      </c>
      <c r="M807">
        <v>4</v>
      </c>
      <c r="N807">
        <v>0.04</v>
      </c>
      <c r="O807">
        <v>10387</v>
      </c>
    </row>
    <row r="808" spans="1:15" x14ac:dyDescent="0.2">
      <c r="A808">
        <v>81</v>
      </c>
      <c r="B808" t="str">
        <f>VLOOKUP(Table1[[#This Row],[CountyID]],[1]!Table1[#All],2,FALSE)</f>
        <v>Waseca</v>
      </c>
      <c r="C808">
        <f>VLOOKUP(Table1[[#This Row],[CountyID]],[1]!Table1[#All],3,FALSE)</f>
        <v>23</v>
      </c>
      <c r="D808">
        <v>23</v>
      </c>
      <c r="E808">
        <f>Table1[[#This Row],[Number of Counties]]-Table1[[#This Row],[Number of precincts Reporting]]</f>
        <v>0</v>
      </c>
      <c r="F808" t="s">
        <v>0</v>
      </c>
      <c r="G808" t="s">
        <v>1</v>
      </c>
      <c r="H808">
        <v>101</v>
      </c>
      <c r="I808">
        <v>701</v>
      </c>
      <c r="J808" t="s">
        <v>14</v>
      </c>
      <c r="K808" t="s">
        <v>15</v>
      </c>
      <c r="L808">
        <v>23</v>
      </c>
      <c r="M808">
        <v>0</v>
      </c>
      <c r="N808">
        <v>0</v>
      </c>
      <c r="O808">
        <v>10387</v>
      </c>
    </row>
    <row r="809" spans="1:15" x14ac:dyDescent="0.2">
      <c r="A809">
        <v>81</v>
      </c>
      <c r="B809" t="str">
        <f>VLOOKUP(Table1[[#This Row],[CountyID]],[1]!Table1[#All],2,FALSE)</f>
        <v>Waseca</v>
      </c>
      <c r="C809">
        <f>VLOOKUP(Table1[[#This Row],[CountyID]],[1]!Table1[#All],3,FALSE)</f>
        <v>23</v>
      </c>
      <c r="D809">
        <v>23</v>
      </c>
      <c r="E809">
        <f>Table1[[#This Row],[Number of Counties]]-Table1[[#This Row],[Number of precincts Reporting]]</f>
        <v>0</v>
      </c>
      <c r="F809" t="s">
        <v>0</v>
      </c>
      <c r="G809" t="s">
        <v>1</v>
      </c>
      <c r="H809">
        <v>101</v>
      </c>
      <c r="I809">
        <v>801</v>
      </c>
      <c r="J809" t="s">
        <v>16</v>
      </c>
      <c r="K809" t="s">
        <v>17</v>
      </c>
      <c r="L809">
        <v>23</v>
      </c>
      <c r="M809">
        <v>3</v>
      </c>
      <c r="N809">
        <v>0.03</v>
      </c>
      <c r="O809">
        <v>10387</v>
      </c>
    </row>
    <row r="810" spans="1:15" x14ac:dyDescent="0.2">
      <c r="A810">
        <v>81</v>
      </c>
      <c r="B810" t="str">
        <f>VLOOKUP(Table1[[#This Row],[CountyID]],[1]!Table1[#All],2,FALSE)</f>
        <v>Waseca</v>
      </c>
      <c r="C810">
        <f>VLOOKUP(Table1[[#This Row],[CountyID]],[1]!Table1[#All],3,FALSE)</f>
        <v>23</v>
      </c>
      <c r="D810">
        <v>23</v>
      </c>
      <c r="E810">
        <f>Table1[[#This Row],[Number of Counties]]-Table1[[#This Row],[Number of precincts Reporting]]</f>
        <v>0</v>
      </c>
      <c r="F810" t="s">
        <v>0</v>
      </c>
      <c r="G810" t="s">
        <v>1</v>
      </c>
      <c r="H810">
        <v>101</v>
      </c>
      <c r="I810">
        <v>901</v>
      </c>
      <c r="J810" t="s">
        <v>18</v>
      </c>
      <c r="K810" t="s">
        <v>19</v>
      </c>
      <c r="L810">
        <v>23</v>
      </c>
      <c r="M810">
        <v>9</v>
      </c>
      <c r="N810">
        <v>0.09</v>
      </c>
      <c r="O810">
        <v>10387</v>
      </c>
    </row>
    <row r="811" spans="1:15" x14ac:dyDescent="0.2">
      <c r="A811">
        <v>81</v>
      </c>
      <c r="B811" t="str">
        <f>VLOOKUP(Table1[[#This Row],[CountyID]],[1]!Table1[#All],2,FALSE)</f>
        <v>Waseca</v>
      </c>
      <c r="C811">
        <f>VLOOKUP(Table1[[#This Row],[CountyID]],[1]!Table1[#All],3,FALSE)</f>
        <v>23</v>
      </c>
      <c r="D811">
        <v>23</v>
      </c>
      <c r="E811">
        <f>Table1[[#This Row],[Number of Counties]]-Table1[[#This Row],[Number of precincts Reporting]]</f>
        <v>0</v>
      </c>
      <c r="F811" t="s">
        <v>0</v>
      </c>
      <c r="G811" t="s">
        <v>1</v>
      </c>
      <c r="H811">
        <v>101</v>
      </c>
      <c r="I811">
        <v>9901</v>
      </c>
      <c r="J811" t="s">
        <v>20</v>
      </c>
      <c r="K811" t="s">
        <v>21</v>
      </c>
      <c r="L811">
        <v>23</v>
      </c>
      <c r="M811">
        <v>26</v>
      </c>
      <c r="N811">
        <v>0.25</v>
      </c>
      <c r="O811">
        <v>10387</v>
      </c>
    </row>
    <row r="812" spans="1:15" x14ac:dyDescent="0.2">
      <c r="A812">
        <v>82</v>
      </c>
      <c r="B812" t="str">
        <f>VLOOKUP(Table1[[#This Row],[CountyID]],[1]!Table1[#All],2,FALSE)</f>
        <v>Washington</v>
      </c>
      <c r="C812">
        <f>VLOOKUP(Table1[[#This Row],[CountyID]],[1]!Table1[#All],3,FALSE)</f>
        <v>84</v>
      </c>
      <c r="D812">
        <v>84</v>
      </c>
      <c r="E812">
        <f>Table1[[#This Row],[Number of Counties]]-Table1[[#This Row],[Number of precincts Reporting]]</f>
        <v>0</v>
      </c>
      <c r="F812" t="s">
        <v>0</v>
      </c>
      <c r="G812" t="s">
        <v>1</v>
      </c>
      <c r="H812">
        <v>101</v>
      </c>
      <c r="I812">
        <v>101</v>
      </c>
      <c r="J812" t="s">
        <v>2</v>
      </c>
      <c r="K812" t="s">
        <v>3</v>
      </c>
      <c r="L812">
        <v>84</v>
      </c>
      <c r="M812">
        <v>75271</v>
      </c>
      <c r="N812">
        <v>44.4</v>
      </c>
      <c r="O812">
        <v>169536</v>
      </c>
    </row>
    <row r="813" spans="1:15" x14ac:dyDescent="0.2">
      <c r="A813">
        <v>82</v>
      </c>
      <c r="B813" t="str">
        <f>VLOOKUP(Table1[[#This Row],[CountyID]],[1]!Table1[#All],2,FALSE)</f>
        <v>Washington</v>
      </c>
      <c r="C813">
        <f>VLOOKUP(Table1[[#This Row],[CountyID]],[1]!Table1[#All],3,FALSE)</f>
        <v>84</v>
      </c>
      <c r="D813">
        <v>84</v>
      </c>
      <c r="E813">
        <f>Table1[[#This Row],[Number of Counties]]-Table1[[#This Row],[Number of precincts Reporting]]</f>
        <v>0</v>
      </c>
      <c r="F813" t="s">
        <v>0</v>
      </c>
      <c r="G813" t="s">
        <v>1</v>
      </c>
      <c r="H813">
        <v>101</v>
      </c>
      <c r="I813">
        <v>201</v>
      </c>
      <c r="J813" t="s">
        <v>4</v>
      </c>
      <c r="K813" t="s">
        <v>5</v>
      </c>
      <c r="L813">
        <v>84</v>
      </c>
      <c r="M813">
        <v>90324</v>
      </c>
      <c r="N813">
        <v>53.28</v>
      </c>
      <c r="O813">
        <v>169536</v>
      </c>
    </row>
    <row r="814" spans="1:15" x14ac:dyDescent="0.2">
      <c r="A814">
        <v>82</v>
      </c>
      <c r="B814" t="str">
        <f>VLOOKUP(Table1[[#This Row],[CountyID]],[1]!Table1[#All],2,FALSE)</f>
        <v>Washington</v>
      </c>
      <c r="C814">
        <f>VLOOKUP(Table1[[#This Row],[CountyID]],[1]!Table1[#All],3,FALSE)</f>
        <v>84</v>
      </c>
      <c r="D814">
        <v>84</v>
      </c>
      <c r="E814">
        <f>Table1[[#This Row],[Number of Counties]]-Table1[[#This Row],[Number of precincts Reporting]]</f>
        <v>0</v>
      </c>
      <c r="F814" t="s">
        <v>0</v>
      </c>
      <c r="G814" t="s">
        <v>1</v>
      </c>
      <c r="H814">
        <v>101</v>
      </c>
      <c r="I814">
        <v>301</v>
      </c>
      <c r="J814" t="s">
        <v>6</v>
      </c>
      <c r="K814" t="s">
        <v>7</v>
      </c>
      <c r="L814">
        <v>84</v>
      </c>
      <c r="M814">
        <v>894</v>
      </c>
      <c r="N814">
        <v>0.53</v>
      </c>
      <c r="O814">
        <v>169536</v>
      </c>
    </row>
    <row r="815" spans="1:15" x14ac:dyDescent="0.2">
      <c r="A815">
        <v>82</v>
      </c>
      <c r="B815" t="str">
        <f>VLOOKUP(Table1[[#This Row],[CountyID]],[1]!Table1[#All],2,FALSE)</f>
        <v>Washington</v>
      </c>
      <c r="C815">
        <f>VLOOKUP(Table1[[#This Row],[CountyID]],[1]!Table1[#All],3,FALSE)</f>
        <v>84</v>
      </c>
      <c r="D815">
        <v>84</v>
      </c>
      <c r="E815">
        <f>Table1[[#This Row],[Number of Counties]]-Table1[[#This Row],[Number of precincts Reporting]]</f>
        <v>0</v>
      </c>
      <c r="F815" t="s">
        <v>0</v>
      </c>
      <c r="G815" t="s">
        <v>1</v>
      </c>
      <c r="H815">
        <v>101</v>
      </c>
      <c r="I815">
        <v>401</v>
      </c>
      <c r="J815" t="s">
        <v>8</v>
      </c>
      <c r="K815" t="s">
        <v>9</v>
      </c>
      <c r="L815">
        <v>84</v>
      </c>
      <c r="M815">
        <v>1134</v>
      </c>
      <c r="N815">
        <v>0.67</v>
      </c>
      <c r="O815">
        <v>169536</v>
      </c>
    </row>
    <row r="816" spans="1:15" x14ac:dyDescent="0.2">
      <c r="A816">
        <v>82</v>
      </c>
      <c r="B816" t="str">
        <f>VLOOKUP(Table1[[#This Row],[CountyID]],[1]!Table1[#All],2,FALSE)</f>
        <v>Washington</v>
      </c>
      <c r="C816">
        <f>VLOOKUP(Table1[[#This Row],[CountyID]],[1]!Table1[#All],3,FALSE)</f>
        <v>84</v>
      </c>
      <c r="D816">
        <v>84</v>
      </c>
      <c r="E816">
        <f>Table1[[#This Row],[Number of Counties]]-Table1[[#This Row],[Number of precincts Reporting]]</f>
        <v>0</v>
      </c>
      <c r="F816" t="s">
        <v>0</v>
      </c>
      <c r="G816" t="s">
        <v>1</v>
      </c>
      <c r="H816">
        <v>101</v>
      </c>
      <c r="I816">
        <v>501</v>
      </c>
      <c r="J816" t="s">
        <v>10</v>
      </c>
      <c r="K816" t="s">
        <v>11</v>
      </c>
      <c r="L816">
        <v>84</v>
      </c>
      <c r="M816">
        <v>753</v>
      </c>
      <c r="N816">
        <v>0.44</v>
      </c>
      <c r="O816">
        <v>169536</v>
      </c>
    </row>
    <row r="817" spans="1:15" x14ac:dyDescent="0.2">
      <c r="A817">
        <v>82</v>
      </c>
      <c r="B817" t="str">
        <f>VLOOKUP(Table1[[#This Row],[CountyID]],[1]!Table1[#All],2,FALSE)</f>
        <v>Washington</v>
      </c>
      <c r="C817">
        <f>VLOOKUP(Table1[[#This Row],[CountyID]],[1]!Table1[#All],3,FALSE)</f>
        <v>84</v>
      </c>
      <c r="D817">
        <v>84</v>
      </c>
      <c r="E817">
        <f>Table1[[#This Row],[Number of Counties]]-Table1[[#This Row],[Number of precincts Reporting]]</f>
        <v>0</v>
      </c>
      <c r="F817" t="s">
        <v>0</v>
      </c>
      <c r="G817" t="s">
        <v>1</v>
      </c>
      <c r="H817">
        <v>101</v>
      </c>
      <c r="I817">
        <v>601</v>
      </c>
      <c r="J817" t="s">
        <v>12</v>
      </c>
      <c r="K817" t="s">
        <v>13</v>
      </c>
      <c r="L817">
        <v>84</v>
      </c>
      <c r="M817">
        <v>78</v>
      </c>
      <c r="N817">
        <v>0.05</v>
      </c>
      <c r="O817">
        <v>169536</v>
      </c>
    </row>
    <row r="818" spans="1:15" x14ac:dyDescent="0.2">
      <c r="A818">
        <v>82</v>
      </c>
      <c r="B818" t="str">
        <f>VLOOKUP(Table1[[#This Row],[CountyID]],[1]!Table1[#All],2,FALSE)</f>
        <v>Washington</v>
      </c>
      <c r="C818">
        <f>VLOOKUP(Table1[[#This Row],[CountyID]],[1]!Table1[#All],3,FALSE)</f>
        <v>84</v>
      </c>
      <c r="D818">
        <v>84</v>
      </c>
      <c r="E818">
        <f>Table1[[#This Row],[Number of Counties]]-Table1[[#This Row],[Number of precincts Reporting]]</f>
        <v>0</v>
      </c>
      <c r="F818" t="s">
        <v>0</v>
      </c>
      <c r="G818" t="s">
        <v>1</v>
      </c>
      <c r="H818">
        <v>101</v>
      </c>
      <c r="I818">
        <v>701</v>
      </c>
      <c r="J818" t="s">
        <v>14</v>
      </c>
      <c r="K818" t="s">
        <v>15</v>
      </c>
      <c r="L818">
        <v>84</v>
      </c>
      <c r="M818">
        <v>12</v>
      </c>
      <c r="N818">
        <v>0.01</v>
      </c>
      <c r="O818">
        <v>169536</v>
      </c>
    </row>
    <row r="819" spans="1:15" x14ac:dyDescent="0.2">
      <c r="A819">
        <v>82</v>
      </c>
      <c r="B819" t="str">
        <f>VLOOKUP(Table1[[#This Row],[CountyID]],[1]!Table1[#All],2,FALSE)</f>
        <v>Washington</v>
      </c>
      <c r="C819">
        <f>VLOOKUP(Table1[[#This Row],[CountyID]],[1]!Table1[#All],3,FALSE)</f>
        <v>84</v>
      </c>
      <c r="D819">
        <v>84</v>
      </c>
      <c r="E819">
        <f>Table1[[#This Row],[Number of Counties]]-Table1[[#This Row],[Number of precincts Reporting]]</f>
        <v>0</v>
      </c>
      <c r="F819" t="s">
        <v>0</v>
      </c>
      <c r="G819" t="s">
        <v>1</v>
      </c>
      <c r="H819">
        <v>101</v>
      </c>
      <c r="I819">
        <v>801</v>
      </c>
      <c r="J819" t="s">
        <v>16</v>
      </c>
      <c r="K819" t="s">
        <v>17</v>
      </c>
      <c r="L819">
        <v>84</v>
      </c>
      <c r="M819">
        <v>112</v>
      </c>
      <c r="N819">
        <v>7.0000000000000007E-2</v>
      </c>
      <c r="O819">
        <v>169536</v>
      </c>
    </row>
    <row r="820" spans="1:15" x14ac:dyDescent="0.2">
      <c r="A820">
        <v>82</v>
      </c>
      <c r="B820" t="str">
        <f>VLOOKUP(Table1[[#This Row],[CountyID]],[1]!Table1[#All],2,FALSE)</f>
        <v>Washington</v>
      </c>
      <c r="C820">
        <f>VLOOKUP(Table1[[#This Row],[CountyID]],[1]!Table1[#All],3,FALSE)</f>
        <v>84</v>
      </c>
      <c r="D820">
        <v>84</v>
      </c>
      <c r="E820">
        <f>Table1[[#This Row],[Number of Counties]]-Table1[[#This Row],[Number of precincts Reporting]]</f>
        <v>0</v>
      </c>
      <c r="F820" t="s">
        <v>0</v>
      </c>
      <c r="G820" t="s">
        <v>1</v>
      </c>
      <c r="H820">
        <v>101</v>
      </c>
      <c r="I820">
        <v>901</v>
      </c>
      <c r="J820" t="s">
        <v>18</v>
      </c>
      <c r="K820" t="s">
        <v>19</v>
      </c>
      <c r="L820">
        <v>84</v>
      </c>
      <c r="M820">
        <v>165</v>
      </c>
      <c r="N820">
        <v>0.1</v>
      </c>
      <c r="O820">
        <v>169536</v>
      </c>
    </row>
    <row r="821" spans="1:15" x14ac:dyDescent="0.2">
      <c r="A821">
        <v>82</v>
      </c>
      <c r="B821" t="str">
        <f>VLOOKUP(Table1[[#This Row],[CountyID]],[1]!Table1[#All],2,FALSE)</f>
        <v>Washington</v>
      </c>
      <c r="C821">
        <f>VLOOKUP(Table1[[#This Row],[CountyID]],[1]!Table1[#All],3,FALSE)</f>
        <v>84</v>
      </c>
      <c r="D821">
        <v>84</v>
      </c>
      <c r="E821">
        <f>Table1[[#This Row],[Number of Counties]]-Table1[[#This Row],[Number of precincts Reporting]]</f>
        <v>0</v>
      </c>
      <c r="F821" t="s">
        <v>0</v>
      </c>
      <c r="G821" t="s">
        <v>1</v>
      </c>
      <c r="H821">
        <v>101</v>
      </c>
      <c r="I821">
        <v>9901</v>
      </c>
      <c r="J821" t="s">
        <v>20</v>
      </c>
      <c r="K821" t="s">
        <v>21</v>
      </c>
      <c r="L821">
        <v>84</v>
      </c>
      <c r="M821">
        <v>793</v>
      </c>
      <c r="N821">
        <v>0.47</v>
      </c>
      <c r="O821">
        <v>169536</v>
      </c>
    </row>
    <row r="822" spans="1:15" x14ac:dyDescent="0.2">
      <c r="A822">
        <v>83</v>
      </c>
      <c r="B822" t="str">
        <f>VLOOKUP(Table1[[#This Row],[CountyID]],[1]!Table1[#All],2,FALSE)</f>
        <v>Watonwan</v>
      </c>
      <c r="C822">
        <f>VLOOKUP(Table1[[#This Row],[CountyID]],[1]!Table1[#All],3,FALSE)</f>
        <v>21</v>
      </c>
      <c r="D822">
        <v>21</v>
      </c>
      <c r="E822">
        <f>Table1[[#This Row],[Number of Counties]]-Table1[[#This Row],[Number of precincts Reporting]]</f>
        <v>0</v>
      </c>
      <c r="F822" t="s">
        <v>0</v>
      </c>
      <c r="G822" t="s">
        <v>1</v>
      </c>
      <c r="H822">
        <v>101</v>
      </c>
      <c r="I822">
        <v>101</v>
      </c>
      <c r="J822" t="s">
        <v>2</v>
      </c>
      <c r="K822" t="s">
        <v>3</v>
      </c>
      <c r="L822">
        <v>21</v>
      </c>
      <c r="M822">
        <v>3087</v>
      </c>
      <c r="N822">
        <v>62.58</v>
      </c>
      <c r="O822">
        <v>4933</v>
      </c>
    </row>
    <row r="823" spans="1:15" x14ac:dyDescent="0.2">
      <c r="A823">
        <v>83</v>
      </c>
      <c r="B823" t="str">
        <f>VLOOKUP(Table1[[#This Row],[CountyID]],[1]!Table1[#All],2,FALSE)</f>
        <v>Watonwan</v>
      </c>
      <c r="C823">
        <f>VLOOKUP(Table1[[#This Row],[CountyID]],[1]!Table1[#All],3,FALSE)</f>
        <v>21</v>
      </c>
      <c r="D823">
        <v>21</v>
      </c>
      <c r="E823">
        <f>Table1[[#This Row],[Number of Counties]]-Table1[[#This Row],[Number of precincts Reporting]]</f>
        <v>0</v>
      </c>
      <c r="F823" t="s">
        <v>0</v>
      </c>
      <c r="G823" t="s">
        <v>1</v>
      </c>
      <c r="H823">
        <v>101</v>
      </c>
      <c r="I823">
        <v>201</v>
      </c>
      <c r="J823" t="s">
        <v>4</v>
      </c>
      <c r="K823" t="s">
        <v>5</v>
      </c>
      <c r="L823">
        <v>21</v>
      </c>
      <c r="M823">
        <v>1723</v>
      </c>
      <c r="N823">
        <v>34.93</v>
      </c>
      <c r="O823">
        <v>4933</v>
      </c>
    </row>
    <row r="824" spans="1:15" x14ac:dyDescent="0.2">
      <c r="A824">
        <v>83</v>
      </c>
      <c r="B824" t="str">
        <f>VLOOKUP(Table1[[#This Row],[CountyID]],[1]!Table1[#All],2,FALSE)</f>
        <v>Watonwan</v>
      </c>
      <c r="C824">
        <f>VLOOKUP(Table1[[#This Row],[CountyID]],[1]!Table1[#All],3,FALSE)</f>
        <v>21</v>
      </c>
      <c r="D824">
        <v>21</v>
      </c>
      <c r="E824">
        <f>Table1[[#This Row],[Number of Counties]]-Table1[[#This Row],[Number of precincts Reporting]]</f>
        <v>0</v>
      </c>
      <c r="F824" t="s">
        <v>0</v>
      </c>
      <c r="G824" t="s">
        <v>1</v>
      </c>
      <c r="H824">
        <v>101</v>
      </c>
      <c r="I824">
        <v>301</v>
      </c>
      <c r="J824" t="s">
        <v>6</v>
      </c>
      <c r="K824" t="s">
        <v>7</v>
      </c>
      <c r="L824">
        <v>21</v>
      </c>
      <c r="M824">
        <v>21</v>
      </c>
      <c r="N824">
        <v>0.43</v>
      </c>
      <c r="O824">
        <v>4933</v>
      </c>
    </row>
    <row r="825" spans="1:15" x14ac:dyDescent="0.2">
      <c r="A825">
        <v>83</v>
      </c>
      <c r="B825" t="str">
        <f>VLOOKUP(Table1[[#This Row],[CountyID]],[1]!Table1[#All],2,FALSE)</f>
        <v>Watonwan</v>
      </c>
      <c r="C825">
        <f>VLOOKUP(Table1[[#This Row],[CountyID]],[1]!Table1[#All],3,FALSE)</f>
        <v>21</v>
      </c>
      <c r="D825">
        <v>21</v>
      </c>
      <c r="E825">
        <f>Table1[[#This Row],[Number of Counties]]-Table1[[#This Row],[Number of precincts Reporting]]</f>
        <v>0</v>
      </c>
      <c r="F825" t="s">
        <v>0</v>
      </c>
      <c r="G825" t="s">
        <v>1</v>
      </c>
      <c r="H825">
        <v>101</v>
      </c>
      <c r="I825">
        <v>401</v>
      </c>
      <c r="J825" t="s">
        <v>8</v>
      </c>
      <c r="K825" t="s">
        <v>9</v>
      </c>
      <c r="L825">
        <v>21</v>
      </c>
      <c r="M825">
        <v>57</v>
      </c>
      <c r="N825">
        <v>1.1599999999999999</v>
      </c>
      <c r="O825">
        <v>4933</v>
      </c>
    </row>
    <row r="826" spans="1:15" x14ac:dyDescent="0.2">
      <c r="A826">
        <v>83</v>
      </c>
      <c r="B826" t="str">
        <f>VLOOKUP(Table1[[#This Row],[CountyID]],[1]!Table1[#All],2,FALSE)</f>
        <v>Watonwan</v>
      </c>
      <c r="C826">
        <f>VLOOKUP(Table1[[#This Row],[CountyID]],[1]!Table1[#All],3,FALSE)</f>
        <v>21</v>
      </c>
      <c r="D826">
        <v>21</v>
      </c>
      <c r="E826">
        <f>Table1[[#This Row],[Number of Counties]]-Table1[[#This Row],[Number of precincts Reporting]]</f>
        <v>0</v>
      </c>
      <c r="F826" t="s">
        <v>0</v>
      </c>
      <c r="G826" t="s">
        <v>1</v>
      </c>
      <c r="H826">
        <v>101</v>
      </c>
      <c r="I826">
        <v>501</v>
      </c>
      <c r="J826" t="s">
        <v>10</v>
      </c>
      <c r="K826" t="s">
        <v>11</v>
      </c>
      <c r="L826">
        <v>21</v>
      </c>
      <c r="M826">
        <v>13</v>
      </c>
      <c r="N826">
        <v>0.26</v>
      </c>
      <c r="O826">
        <v>4933</v>
      </c>
    </row>
    <row r="827" spans="1:15" x14ac:dyDescent="0.2">
      <c r="A827">
        <v>83</v>
      </c>
      <c r="B827" t="str">
        <f>VLOOKUP(Table1[[#This Row],[CountyID]],[1]!Table1[#All],2,FALSE)</f>
        <v>Watonwan</v>
      </c>
      <c r="C827">
        <f>VLOOKUP(Table1[[#This Row],[CountyID]],[1]!Table1[#All],3,FALSE)</f>
        <v>21</v>
      </c>
      <c r="D827">
        <v>21</v>
      </c>
      <c r="E827">
        <f>Table1[[#This Row],[Number of Counties]]-Table1[[#This Row],[Number of precincts Reporting]]</f>
        <v>0</v>
      </c>
      <c r="F827" t="s">
        <v>0</v>
      </c>
      <c r="G827" t="s">
        <v>1</v>
      </c>
      <c r="H827">
        <v>101</v>
      </c>
      <c r="I827">
        <v>601</v>
      </c>
      <c r="J827" t="s">
        <v>12</v>
      </c>
      <c r="K827" t="s">
        <v>13</v>
      </c>
      <c r="L827">
        <v>21</v>
      </c>
      <c r="M827">
        <v>2</v>
      </c>
      <c r="N827">
        <v>0.04</v>
      </c>
      <c r="O827">
        <v>4933</v>
      </c>
    </row>
    <row r="828" spans="1:15" x14ac:dyDescent="0.2">
      <c r="A828">
        <v>83</v>
      </c>
      <c r="B828" t="str">
        <f>VLOOKUP(Table1[[#This Row],[CountyID]],[1]!Table1[#All],2,FALSE)</f>
        <v>Watonwan</v>
      </c>
      <c r="C828">
        <f>VLOOKUP(Table1[[#This Row],[CountyID]],[1]!Table1[#All],3,FALSE)</f>
        <v>21</v>
      </c>
      <c r="D828">
        <v>21</v>
      </c>
      <c r="E828">
        <f>Table1[[#This Row],[Number of Counties]]-Table1[[#This Row],[Number of precincts Reporting]]</f>
        <v>0</v>
      </c>
      <c r="F828" t="s">
        <v>0</v>
      </c>
      <c r="G828" t="s">
        <v>1</v>
      </c>
      <c r="H828">
        <v>101</v>
      </c>
      <c r="I828">
        <v>701</v>
      </c>
      <c r="J828" t="s">
        <v>14</v>
      </c>
      <c r="K828" t="s">
        <v>15</v>
      </c>
      <c r="L828">
        <v>21</v>
      </c>
      <c r="M828">
        <v>0</v>
      </c>
      <c r="N828">
        <v>0</v>
      </c>
      <c r="O828">
        <v>4933</v>
      </c>
    </row>
    <row r="829" spans="1:15" x14ac:dyDescent="0.2">
      <c r="A829">
        <v>83</v>
      </c>
      <c r="B829" t="str">
        <f>VLOOKUP(Table1[[#This Row],[CountyID]],[1]!Table1[#All],2,FALSE)</f>
        <v>Watonwan</v>
      </c>
      <c r="C829">
        <f>VLOOKUP(Table1[[#This Row],[CountyID]],[1]!Table1[#All],3,FALSE)</f>
        <v>21</v>
      </c>
      <c r="D829">
        <v>21</v>
      </c>
      <c r="E829">
        <f>Table1[[#This Row],[Number of Counties]]-Table1[[#This Row],[Number of precincts Reporting]]</f>
        <v>0</v>
      </c>
      <c r="F829" t="s">
        <v>0</v>
      </c>
      <c r="G829" t="s">
        <v>1</v>
      </c>
      <c r="H829">
        <v>101</v>
      </c>
      <c r="I829">
        <v>801</v>
      </c>
      <c r="J829" t="s">
        <v>16</v>
      </c>
      <c r="K829" t="s">
        <v>17</v>
      </c>
      <c r="L829">
        <v>21</v>
      </c>
      <c r="M829">
        <v>0</v>
      </c>
      <c r="N829">
        <v>0</v>
      </c>
      <c r="O829">
        <v>4933</v>
      </c>
    </row>
    <row r="830" spans="1:15" x14ac:dyDescent="0.2">
      <c r="A830">
        <v>83</v>
      </c>
      <c r="B830" t="str">
        <f>VLOOKUP(Table1[[#This Row],[CountyID]],[1]!Table1[#All],2,FALSE)</f>
        <v>Watonwan</v>
      </c>
      <c r="C830">
        <f>VLOOKUP(Table1[[#This Row],[CountyID]],[1]!Table1[#All],3,FALSE)</f>
        <v>21</v>
      </c>
      <c r="D830">
        <v>21</v>
      </c>
      <c r="E830">
        <f>Table1[[#This Row],[Number of Counties]]-Table1[[#This Row],[Number of precincts Reporting]]</f>
        <v>0</v>
      </c>
      <c r="F830" t="s">
        <v>0</v>
      </c>
      <c r="G830" t="s">
        <v>1</v>
      </c>
      <c r="H830">
        <v>101</v>
      </c>
      <c r="I830">
        <v>901</v>
      </c>
      <c r="J830" t="s">
        <v>18</v>
      </c>
      <c r="K830" t="s">
        <v>19</v>
      </c>
      <c r="L830">
        <v>21</v>
      </c>
      <c r="M830">
        <v>7</v>
      </c>
      <c r="N830">
        <v>0.14000000000000001</v>
      </c>
      <c r="O830">
        <v>4933</v>
      </c>
    </row>
    <row r="831" spans="1:15" x14ac:dyDescent="0.2">
      <c r="A831">
        <v>83</v>
      </c>
      <c r="B831" t="str">
        <f>VLOOKUP(Table1[[#This Row],[CountyID]],[1]!Table1[#All],2,FALSE)</f>
        <v>Watonwan</v>
      </c>
      <c r="C831">
        <f>VLOOKUP(Table1[[#This Row],[CountyID]],[1]!Table1[#All],3,FALSE)</f>
        <v>21</v>
      </c>
      <c r="D831">
        <v>21</v>
      </c>
      <c r="E831">
        <f>Table1[[#This Row],[Number of Counties]]-Table1[[#This Row],[Number of precincts Reporting]]</f>
        <v>0</v>
      </c>
      <c r="F831" t="s">
        <v>0</v>
      </c>
      <c r="G831" t="s">
        <v>1</v>
      </c>
      <c r="H831">
        <v>101</v>
      </c>
      <c r="I831">
        <v>9901</v>
      </c>
      <c r="J831" t="s">
        <v>20</v>
      </c>
      <c r="K831" t="s">
        <v>21</v>
      </c>
      <c r="L831">
        <v>21</v>
      </c>
      <c r="M831">
        <v>23</v>
      </c>
      <c r="N831">
        <v>0.47</v>
      </c>
      <c r="O831">
        <v>4933</v>
      </c>
    </row>
    <row r="832" spans="1:15" x14ac:dyDescent="0.2">
      <c r="A832">
        <v>84</v>
      </c>
      <c r="B832" t="str">
        <f>VLOOKUP(Table1[[#This Row],[CountyID]],[1]!Table1[#All],2,FALSE)</f>
        <v>Wilkin</v>
      </c>
      <c r="C832">
        <f>VLOOKUP(Table1[[#This Row],[CountyID]],[1]!Table1[#All],3,FALSE)</f>
        <v>32</v>
      </c>
      <c r="D832">
        <v>32</v>
      </c>
      <c r="E832">
        <f>Table1[[#This Row],[Number of Counties]]-Table1[[#This Row],[Number of precincts Reporting]]</f>
        <v>0</v>
      </c>
      <c r="F832" t="s">
        <v>0</v>
      </c>
      <c r="G832" t="s">
        <v>1</v>
      </c>
      <c r="H832">
        <v>101</v>
      </c>
      <c r="I832">
        <v>101</v>
      </c>
      <c r="J832" t="s">
        <v>2</v>
      </c>
      <c r="K832" t="s">
        <v>3</v>
      </c>
      <c r="L832">
        <v>32</v>
      </c>
      <c r="M832">
        <v>2290</v>
      </c>
      <c r="N832">
        <v>68.3</v>
      </c>
      <c r="O832">
        <v>3353</v>
      </c>
    </row>
    <row r="833" spans="1:15" x14ac:dyDescent="0.2">
      <c r="A833">
        <v>84</v>
      </c>
      <c r="B833" t="str">
        <f>VLOOKUP(Table1[[#This Row],[CountyID]],[1]!Table1[#All],2,FALSE)</f>
        <v>Wilkin</v>
      </c>
      <c r="C833">
        <f>VLOOKUP(Table1[[#This Row],[CountyID]],[1]!Table1[#All],3,FALSE)</f>
        <v>32</v>
      </c>
      <c r="D833">
        <v>32</v>
      </c>
      <c r="E833">
        <f>Table1[[#This Row],[Number of Counties]]-Table1[[#This Row],[Number of precincts Reporting]]</f>
        <v>0</v>
      </c>
      <c r="F833" t="s">
        <v>0</v>
      </c>
      <c r="G833" t="s">
        <v>1</v>
      </c>
      <c r="H833">
        <v>101</v>
      </c>
      <c r="I833">
        <v>201</v>
      </c>
      <c r="J833" t="s">
        <v>4</v>
      </c>
      <c r="K833" t="s">
        <v>5</v>
      </c>
      <c r="L833">
        <v>32</v>
      </c>
      <c r="M833">
        <v>986</v>
      </c>
      <c r="N833">
        <v>29.41</v>
      </c>
      <c r="O833">
        <v>3353</v>
      </c>
    </row>
    <row r="834" spans="1:15" x14ac:dyDescent="0.2">
      <c r="A834">
        <v>84</v>
      </c>
      <c r="B834" t="str">
        <f>VLOOKUP(Table1[[#This Row],[CountyID]],[1]!Table1[#All],2,FALSE)</f>
        <v>Wilkin</v>
      </c>
      <c r="C834">
        <f>VLOOKUP(Table1[[#This Row],[CountyID]],[1]!Table1[#All],3,FALSE)</f>
        <v>32</v>
      </c>
      <c r="D834">
        <v>32</v>
      </c>
      <c r="E834">
        <f>Table1[[#This Row],[Number of Counties]]-Table1[[#This Row],[Number of precincts Reporting]]</f>
        <v>0</v>
      </c>
      <c r="F834" t="s">
        <v>0</v>
      </c>
      <c r="G834" t="s">
        <v>1</v>
      </c>
      <c r="H834">
        <v>101</v>
      </c>
      <c r="I834">
        <v>301</v>
      </c>
      <c r="J834" t="s">
        <v>6</v>
      </c>
      <c r="K834" t="s">
        <v>7</v>
      </c>
      <c r="L834">
        <v>32</v>
      </c>
      <c r="M834">
        <v>15</v>
      </c>
      <c r="N834">
        <v>0.45</v>
      </c>
      <c r="O834">
        <v>3353</v>
      </c>
    </row>
    <row r="835" spans="1:15" x14ac:dyDescent="0.2">
      <c r="A835">
        <v>84</v>
      </c>
      <c r="B835" t="str">
        <f>VLOOKUP(Table1[[#This Row],[CountyID]],[1]!Table1[#All],2,FALSE)</f>
        <v>Wilkin</v>
      </c>
      <c r="C835">
        <f>VLOOKUP(Table1[[#This Row],[CountyID]],[1]!Table1[#All],3,FALSE)</f>
        <v>32</v>
      </c>
      <c r="D835">
        <v>32</v>
      </c>
      <c r="E835">
        <f>Table1[[#This Row],[Number of Counties]]-Table1[[#This Row],[Number of precincts Reporting]]</f>
        <v>0</v>
      </c>
      <c r="F835" t="s">
        <v>0</v>
      </c>
      <c r="G835" t="s">
        <v>1</v>
      </c>
      <c r="H835">
        <v>101</v>
      </c>
      <c r="I835">
        <v>401</v>
      </c>
      <c r="J835" t="s">
        <v>8</v>
      </c>
      <c r="K835" t="s">
        <v>9</v>
      </c>
      <c r="L835">
        <v>32</v>
      </c>
      <c r="M835">
        <v>38</v>
      </c>
      <c r="N835">
        <v>1.1299999999999999</v>
      </c>
      <c r="O835">
        <v>3353</v>
      </c>
    </row>
    <row r="836" spans="1:15" x14ac:dyDescent="0.2">
      <c r="A836">
        <v>84</v>
      </c>
      <c r="B836" t="str">
        <f>VLOOKUP(Table1[[#This Row],[CountyID]],[1]!Table1[#All],2,FALSE)</f>
        <v>Wilkin</v>
      </c>
      <c r="C836">
        <f>VLOOKUP(Table1[[#This Row],[CountyID]],[1]!Table1[#All],3,FALSE)</f>
        <v>32</v>
      </c>
      <c r="D836">
        <v>32</v>
      </c>
      <c r="E836">
        <f>Table1[[#This Row],[Number of Counties]]-Table1[[#This Row],[Number of precincts Reporting]]</f>
        <v>0</v>
      </c>
      <c r="F836" t="s">
        <v>0</v>
      </c>
      <c r="G836" t="s">
        <v>1</v>
      </c>
      <c r="H836">
        <v>101</v>
      </c>
      <c r="I836">
        <v>501</v>
      </c>
      <c r="J836" t="s">
        <v>10</v>
      </c>
      <c r="K836" t="s">
        <v>11</v>
      </c>
      <c r="L836">
        <v>32</v>
      </c>
      <c r="M836">
        <v>2</v>
      </c>
      <c r="N836">
        <v>0.06</v>
      </c>
      <c r="O836">
        <v>3353</v>
      </c>
    </row>
    <row r="837" spans="1:15" x14ac:dyDescent="0.2">
      <c r="A837">
        <v>84</v>
      </c>
      <c r="B837" t="str">
        <f>VLOOKUP(Table1[[#This Row],[CountyID]],[1]!Table1[#All],2,FALSE)</f>
        <v>Wilkin</v>
      </c>
      <c r="C837">
        <f>VLOOKUP(Table1[[#This Row],[CountyID]],[1]!Table1[#All],3,FALSE)</f>
        <v>32</v>
      </c>
      <c r="D837">
        <v>32</v>
      </c>
      <c r="E837">
        <f>Table1[[#This Row],[Number of Counties]]-Table1[[#This Row],[Number of precincts Reporting]]</f>
        <v>0</v>
      </c>
      <c r="F837" t="s">
        <v>0</v>
      </c>
      <c r="G837" t="s">
        <v>1</v>
      </c>
      <c r="H837">
        <v>101</v>
      </c>
      <c r="I837">
        <v>601</v>
      </c>
      <c r="J837" t="s">
        <v>12</v>
      </c>
      <c r="K837" t="s">
        <v>13</v>
      </c>
      <c r="L837">
        <v>32</v>
      </c>
      <c r="M837">
        <v>3</v>
      </c>
      <c r="N837">
        <v>0.09</v>
      </c>
      <c r="O837">
        <v>3353</v>
      </c>
    </row>
    <row r="838" spans="1:15" x14ac:dyDescent="0.2">
      <c r="A838">
        <v>84</v>
      </c>
      <c r="B838" t="str">
        <f>VLOOKUP(Table1[[#This Row],[CountyID]],[1]!Table1[#All],2,FALSE)</f>
        <v>Wilkin</v>
      </c>
      <c r="C838">
        <f>VLOOKUP(Table1[[#This Row],[CountyID]],[1]!Table1[#All],3,FALSE)</f>
        <v>32</v>
      </c>
      <c r="D838">
        <v>32</v>
      </c>
      <c r="E838">
        <f>Table1[[#This Row],[Number of Counties]]-Table1[[#This Row],[Number of precincts Reporting]]</f>
        <v>0</v>
      </c>
      <c r="F838" t="s">
        <v>0</v>
      </c>
      <c r="G838" t="s">
        <v>1</v>
      </c>
      <c r="H838">
        <v>101</v>
      </c>
      <c r="I838">
        <v>701</v>
      </c>
      <c r="J838" t="s">
        <v>14</v>
      </c>
      <c r="K838" t="s">
        <v>15</v>
      </c>
      <c r="L838">
        <v>32</v>
      </c>
      <c r="M838">
        <v>0</v>
      </c>
      <c r="N838">
        <v>0</v>
      </c>
      <c r="O838">
        <v>3353</v>
      </c>
    </row>
    <row r="839" spans="1:15" x14ac:dyDescent="0.2">
      <c r="A839">
        <v>84</v>
      </c>
      <c r="B839" t="str">
        <f>VLOOKUP(Table1[[#This Row],[CountyID]],[1]!Table1[#All],2,FALSE)</f>
        <v>Wilkin</v>
      </c>
      <c r="C839">
        <f>VLOOKUP(Table1[[#This Row],[CountyID]],[1]!Table1[#All],3,FALSE)</f>
        <v>32</v>
      </c>
      <c r="D839">
        <v>32</v>
      </c>
      <c r="E839">
        <f>Table1[[#This Row],[Number of Counties]]-Table1[[#This Row],[Number of precincts Reporting]]</f>
        <v>0</v>
      </c>
      <c r="F839" t="s">
        <v>0</v>
      </c>
      <c r="G839" t="s">
        <v>1</v>
      </c>
      <c r="H839">
        <v>101</v>
      </c>
      <c r="I839">
        <v>801</v>
      </c>
      <c r="J839" t="s">
        <v>16</v>
      </c>
      <c r="K839" t="s">
        <v>17</v>
      </c>
      <c r="L839">
        <v>32</v>
      </c>
      <c r="M839">
        <v>1</v>
      </c>
      <c r="N839">
        <v>0.03</v>
      </c>
      <c r="O839">
        <v>3353</v>
      </c>
    </row>
    <row r="840" spans="1:15" x14ac:dyDescent="0.2">
      <c r="A840">
        <v>84</v>
      </c>
      <c r="B840" t="str">
        <f>VLOOKUP(Table1[[#This Row],[CountyID]],[1]!Table1[#All],2,FALSE)</f>
        <v>Wilkin</v>
      </c>
      <c r="C840">
        <f>VLOOKUP(Table1[[#This Row],[CountyID]],[1]!Table1[#All],3,FALSE)</f>
        <v>32</v>
      </c>
      <c r="D840">
        <v>32</v>
      </c>
      <c r="E840">
        <f>Table1[[#This Row],[Number of Counties]]-Table1[[#This Row],[Number of precincts Reporting]]</f>
        <v>0</v>
      </c>
      <c r="F840" t="s">
        <v>0</v>
      </c>
      <c r="G840" t="s">
        <v>1</v>
      </c>
      <c r="H840">
        <v>101</v>
      </c>
      <c r="I840">
        <v>901</v>
      </c>
      <c r="J840" t="s">
        <v>18</v>
      </c>
      <c r="K840" t="s">
        <v>19</v>
      </c>
      <c r="L840">
        <v>32</v>
      </c>
      <c r="M840">
        <v>8</v>
      </c>
      <c r="N840">
        <v>0.24</v>
      </c>
      <c r="O840">
        <v>3353</v>
      </c>
    </row>
    <row r="841" spans="1:15" x14ac:dyDescent="0.2">
      <c r="A841">
        <v>84</v>
      </c>
      <c r="B841" t="str">
        <f>VLOOKUP(Table1[[#This Row],[CountyID]],[1]!Table1[#All],2,FALSE)</f>
        <v>Wilkin</v>
      </c>
      <c r="C841">
        <f>VLOOKUP(Table1[[#This Row],[CountyID]],[1]!Table1[#All],3,FALSE)</f>
        <v>32</v>
      </c>
      <c r="D841">
        <v>32</v>
      </c>
      <c r="E841">
        <f>Table1[[#This Row],[Number of Counties]]-Table1[[#This Row],[Number of precincts Reporting]]</f>
        <v>0</v>
      </c>
      <c r="F841" t="s">
        <v>0</v>
      </c>
      <c r="G841" t="s">
        <v>1</v>
      </c>
      <c r="H841">
        <v>101</v>
      </c>
      <c r="I841">
        <v>9901</v>
      </c>
      <c r="J841" t="s">
        <v>20</v>
      </c>
      <c r="K841" t="s">
        <v>21</v>
      </c>
      <c r="L841">
        <v>32</v>
      </c>
      <c r="M841">
        <v>10</v>
      </c>
      <c r="N841">
        <v>0.3</v>
      </c>
      <c r="O841">
        <v>3353</v>
      </c>
    </row>
    <row r="842" spans="1:15" x14ac:dyDescent="0.2">
      <c r="A842">
        <v>85</v>
      </c>
      <c r="B842" t="str">
        <f>VLOOKUP(Table1[[#This Row],[CountyID]],[1]!Table1[#All],2,FALSE)</f>
        <v>Winona</v>
      </c>
      <c r="C842">
        <f>VLOOKUP(Table1[[#This Row],[CountyID]],[1]!Table1[#All],3,FALSE)</f>
        <v>49</v>
      </c>
      <c r="D842">
        <v>49</v>
      </c>
      <c r="E842">
        <f>Table1[[#This Row],[Number of Counties]]-Table1[[#This Row],[Number of precincts Reporting]]</f>
        <v>0</v>
      </c>
      <c r="F842" t="s">
        <v>0</v>
      </c>
      <c r="G842" t="s">
        <v>1</v>
      </c>
      <c r="H842">
        <v>101</v>
      </c>
      <c r="I842">
        <v>101</v>
      </c>
      <c r="J842" t="s">
        <v>2</v>
      </c>
      <c r="K842" t="s">
        <v>3</v>
      </c>
      <c r="L842">
        <v>49</v>
      </c>
      <c r="M842">
        <v>14288</v>
      </c>
      <c r="N842">
        <v>51.4</v>
      </c>
      <c r="O842">
        <v>27797</v>
      </c>
    </row>
    <row r="843" spans="1:15" x14ac:dyDescent="0.2">
      <c r="A843">
        <v>85</v>
      </c>
      <c r="B843" t="str">
        <f>VLOOKUP(Table1[[#This Row],[CountyID]],[1]!Table1[#All],2,FALSE)</f>
        <v>Winona</v>
      </c>
      <c r="C843">
        <f>VLOOKUP(Table1[[#This Row],[CountyID]],[1]!Table1[#All],3,FALSE)</f>
        <v>49</v>
      </c>
      <c r="D843">
        <v>49</v>
      </c>
      <c r="E843">
        <f>Table1[[#This Row],[Number of Counties]]-Table1[[#This Row],[Number of precincts Reporting]]</f>
        <v>0</v>
      </c>
      <c r="F843" t="s">
        <v>0</v>
      </c>
      <c r="G843" t="s">
        <v>1</v>
      </c>
      <c r="H843">
        <v>101</v>
      </c>
      <c r="I843">
        <v>201</v>
      </c>
      <c r="J843" t="s">
        <v>4</v>
      </c>
      <c r="K843" t="s">
        <v>5</v>
      </c>
      <c r="L843">
        <v>49</v>
      </c>
      <c r="M843">
        <v>12929</v>
      </c>
      <c r="N843">
        <v>46.51</v>
      </c>
      <c r="O843">
        <v>27797</v>
      </c>
    </row>
    <row r="844" spans="1:15" x14ac:dyDescent="0.2">
      <c r="A844">
        <v>85</v>
      </c>
      <c r="B844" t="str">
        <f>VLOOKUP(Table1[[#This Row],[CountyID]],[1]!Table1[#All],2,FALSE)</f>
        <v>Winona</v>
      </c>
      <c r="C844">
        <f>VLOOKUP(Table1[[#This Row],[CountyID]],[1]!Table1[#All],3,FALSE)</f>
        <v>49</v>
      </c>
      <c r="D844">
        <v>49</v>
      </c>
      <c r="E844">
        <f>Table1[[#This Row],[Number of Counties]]-Table1[[#This Row],[Number of precincts Reporting]]</f>
        <v>0</v>
      </c>
      <c r="F844" t="s">
        <v>0</v>
      </c>
      <c r="G844" t="s">
        <v>1</v>
      </c>
      <c r="H844">
        <v>101</v>
      </c>
      <c r="I844">
        <v>301</v>
      </c>
      <c r="J844" t="s">
        <v>6</v>
      </c>
      <c r="K844" t="s">
        <v>7</v>
      </c>
      <c r="L844">
        <v>49</v>
      </c>
      <c r="M844">
        <v>93</v>
      </c>
      <c r="N844">
        <v>0.33</v>
      </c>
      <c r="O844">
        <v>27797</v>
      </c>
    </row>
    <row r="845" spans="1:15" x14ac:dyDescent="0.2">
      <c r="A845">
        <v>85</v>
      </c>
      <c r="B845" t="str">
        <f>VLOOKUP(Table1[[#This Row],[CountyID]],[1]!Table1[#All],2,FALSE)</f>
        <v>Winona</v>
      </c>
      <c r="C845">
        <f>VLOOKUP(Table1[[#This Row],[CountyID]],[1]!Table1[#All],3,FALSE)</f>
        <v>49</v>
      </c>
      <c r="D845">
        <v>49</v>
      </c>
      <c r="E845">
        <f>Table1[[#This Row],[Number of Counties]]-Table1[[#This Row],[Number of precincts Reporting]]</f>
        <v>0</v>
      </c>
      <c r="F845" t="s">
        <v>0</v>
      </c>
      <c r="G845" t="s">
        <v>1</v>
      </c>
      <c r="H845">
        <v>101</v>
      </c>
      <c r="I845">
        <v>401</v>
      </c>
      <c r="J845" t="s">
        <v>8</v>
      </c>
      <c r="K845" t="s">
        <v>9</v>
      </c>
      <c r="L845">
        <v>49</v>
      </c>
      <c r="M845">
        <v>246</v>
      </c>
      <c r="N845">
        <v>0.88</v>
      </c>
      <c r="O845">
        <v>27797</v>
      </c>
    </row>
    <row r="846" spans="1:15" x14ac:dyDescent="0.2">
      <c r="A846">
        <v>85</v>
      </c>
      <c r="B846" t="str">
        <f>VLOOKUP(Table1[[#This Row],[CountyID]],[1]!Table1[#All],2,FALSE)</f>
        <v>Winona</v>
      </c>
      <c r="C846">
        <f>VLOOKUP(Table1[[#This Row],[CountyID]],[1]!Table1[#All],3,FALSE)</f>
        <v>49</v>
      </c>
      <c r="D846">
        <v>49</v>
      </c>
      <c r="E846">
        <f>Table1[[#This Row],[Number of Counties]]-Table1[[#This Row],[Number of precincts Reporting]]</f>
        <v>0</v>
      </c>
      <c r="F846" t="s">
        <v>0</v>
      </c>
      <c r="G846" t="s">
        <v>1</v>
      </c>
      <c r="H846">
        <v>101</v>
      </c>
      <c r="I846">
        <v>501</v>
      </c>
      <c r="J846" t="s">
        <v>10</v>
      </c>
      <c r="K846" t="s">
        <v>11</v>
      </c>
      <c r="L846">
        <v>49</v>
      </c>
      <c r="M846">
        <v>95</v>
      </c>
      <c r="N846">
        <v>0.34</v>
      </c>
      <c r="O846">
        <v>27797</v>
      </c>
    </row>
    <row r="847" spans="1:15" x14ac:dyDescent="0.2">
      <c r="A847">
        <v>85</v>
      </c>
      <c r="B847" t="str">
        <f>VLOOKUP(Table1[[#This Row],[CountyID]],[1]!Table1[#All],2,FALSE)</f>
        <v>Winona</v>
      </c>
      <c r="C847">
        <f>VLOOKUP(Table1[[#This Row],[CountyID]],[1]!Table1[#All],3,FALSE)</f>
        <v>49</v>
      </c>
      <c r="D847">
        <v>49</v>
      </c>
      <c r="E847">
        <f>Table1[[#This Row],[Number of Counties]]-Table1[[#This Row],[Number of precincts Reporting]]</f>
        <v>0</v>
      </c>
      <c r="F847" t="s">
        <v>0</v>
      </c>
      <c r="G847" t="s">
        <v>1</v>
      </c>
      <c r="H847">
        <v>101</v>
      </c>
      <c r="I847">
        <v>601</v>
      </c>
      <c r="J847" t="s">
        <v>12</v>
      </c>
      <c r="K847" t="s">
        <v>13</v>
      </c>
      <c r="L847">
        <v>49</v>
      </c>
      <c r="M847">
        <v>26</v>
      </c>
      <c r="N847">
        <v>0.09</v>
      </c>
      <c r="O847">
        <v>27797</v>
      </c>
    </row>
    <row r="848" spans="1:15" x14ac:dyDescent="0.2">
      <c r="A848">
        <v>85</v>
      </c>
      <c r="B848" t="str">
        <f>VLOOKUP(Table1[[#This Row],[CountyID]],[1]!Table1[#All],2,FALSE)</f>
        <v>Winona</v>
      </c>
      <c r="C848">
        <f>VLOOKUP(Table1[[#This Row],[CountyID]],[1]!Table1[#All],3,FALSE)</f>
        <v>49</v>
      </c>
      <c r="D848">
        <v>49</v>
      </c>
      <c r="E848">
        <f>Table1[[#This Row],[Number of Counties]]-Table1[[#This Row],[Number of precincts Reporting]]</f>
        <v>0</v>
      </c>
      <c r="F848" t="s">
        <v>0</v>
      </c>
      <c r="G848" t="s">
        <v>1</v>
      </c>
      <c r="H848">
        <v>101</v>
      </c>
      <c r="I848">
        <v>701</v>
      </c>
      <c r="J848" t="s">
        <v>14</v>
      </c>
      <c r="K848" t="s">
        <v>15</v>
      </c>
      <c r="L848">
        <v>49</v>
      </c>
      <c r="M848">
        <v>0</v>
      </c>
      <c r="N848">
        <v>0</v>
      </c>
      <c r="O848">
        <v>27797</v>
      </c>
    </row>
    <row r="849" spans="1:15" x14ac:dyDescent="0.2">
      <c r="A849">
        <v>85</v>
      </c>
      <c r="B849" t="str">
        <f>VLOOKUP(Table1[[#This Row],[CountyID]],[1]!Table1[#All],2,FALSE)</f>
        <v>Winona</v>
      </c>
      <c r="C849">
        <f>VLOOKUP(Table1[[#This Row],[CountyID]],[1]!Table1[#All],3,FALSE)</f>
        <v>49</v>
      </c>
      <c r="D849">
        <v>49</v>
      </c>
      <c r="E849">
        <f>Table1[[#This Row],[Number of Counties]]-Table1[[#This Row],[Number of precincts Reporting]]</f>
        <v>0</v>
      </c>
      <c r="F849" t="s">
        <v>0</v>
      </c>
      <c r="G849" t="s">
        <v>1</v>
      </c>
      <c r="H849">
        <v>101</v>
      </c>
      <c r="I849">
        <v>801</v>
      </c>
      <c r="J849" t="s">
        <v>16</v>
      </c>
      <c r="K849" t="s">
        <v>17</v>
      </c>
      <c r="L849">
        <v>49</v>
      </c>
      <c r="M849">
        <v>13</v>
      </c>
      <c r="N849">
        <v>0.05</v>
      </c>
      <c r="O849">
        <v>27797</v>
      </c>
    </row>
    <row r="850" spans="1:15" x14ac:dyDescent="0.2">
      <c r="A850">
        <v>85</v>
      </c>
      <c r="B850" t="str">
        <f>VLOOKUP(Table1[[#This Row],[CountyID]],[1]!Table1[#All],2,FALSE)</f>
        <v>Winona</v>
      </c>
      <c r="C850">
        <f>VLOOKUP(Table1[[#This Row],[CountyID]],[1]!Table1[#All],3,FALSE)</f>
        <v>49</v>
      </c>
      <c r="D850">
        <v>49</v>
      </c>
      <c r="E850">
        <f>Table1[[#This Row],[Number of Counties]]-Table1[[#This Row],[Number of precincts Reporting]]</f>
        <v>0</v>
      </c>
      <c r="F850" t="s">
        <v>0</v>
      </c>
      <c r="G850" t="s">
        <v>1</v>
      </c>
      <c r="H850">
        <v>101</v>
      </c>
      <c r="I850">
        <v>901</v>
      </c>
      <c r="J850" t="s">
        <v>18</v>
      </c>
      <c r="K850" t="s">
        <v>19</v>
      </c>
      <c r="L850">
        <v>49</v>
      </c>
      <c r="M850">
        <v>31</v>
      </c>
      <c r="N850">
        <v>0.11</v>
      </c>
      <c r="O850">
        <v>27797</v>
      </c>
    </row>
    <row r="851" spans="1:15" x14ac:dyDescent="0.2">
      <c r="A851">
        <v>85</v>
      </c>
      <c r="B851" t="str">
        <f>VLOOKUP(Table1[[#This Row],[CountyID]],[1]!Table1[#All],2,FALSE)</f>
        <v>Winona</v>
      </c>
      <c r="C851">
        <f>VLOOKUP(Table1[[#This Row],[CountyID]],[1]!Table1[#All],3,FALSE)</f>
        <v>49</v>
      </c>
      <c r="D851">
        <v>49</v>
      </c>
      <c r="E851">
        <f>Table1[[#This Row],[Number of Counties]]-Table1[[#This Row],[Number of precincts Reporting]]</f>
        <v>0</v>
      </c>
      <c r="F851" t="s">
        <v>0</v>
      </c>
      <c r="G851" t="s">
        <v>1</v>
      </c>
      <c r="H851">
        <v>101</v>
      </c>
      <c r="I851">
        <v>9901</v>
      </c>
      <c r="J851" t="s">
        <v>20</v>
      </c>
      <c r="K851" t="s">
        <v>21</v>
      </c>
      <c r="L851">
        <v>49</v>
      </c>
      <c r="M851">
        <v>76</v>
      </c>
      <c r="N851">
        <v>0.27</v>
      </c>
      <c r="O851">
        <v>27797</v>
      </c>
    </row>
    <row r="852" spans="1:15" x14ac:dyDescent="0.2">
      <c r="A852">
        <v>86</v>
      </c>
      <c r="B852" t="str">
        <f>VLOOKUP(Table1[[#This Row],[CountyID]],[1]!Table1[#All],2,FALSE)</f>
        <v>Wright</v>
      </c>
      <c r="C852">
        <f>VLOOKUP(Table1[[#This Row],[CountyID]],[1]!Table1[#All],3,FALSE)</f>
        <v>51</v>
      </c>
      <c r="D852">
        <v>51</v>
      </c>
      <c r="E852">
        <f>Table1[[#This Row],[Number of Counties]]-Table1[[#This Row],[Number of precincts Reporting]]</f>
        <v>0</v>
      </c>
      <c r="F852" t="s">
        <v>0</v>
      </c>
      <c r="G852" t="s">
        <v>1</v>
      </c>
      <c r="H852">
        <v>101</v>
      </c>
      <c r="I852">
        <v>101</v>
      </c>
      <c r="J852" t="s">
        <v>2</v>
      </c>
      <c r="K852" t="s">
        <v>3</v>
      </c>
      <c r="L852">
        <v>51</v>
      </c>
      <c r="M852">
        <v>57211</v>
      </c>
      <c r="N852">
        <v>63.54</v>
      </c>
      <c r="O852">
        <v>90041</v>
      </c>
    </row>
    <row r="853" spans="1:15" x14ac:dyDescent="0.2">
      <c r="A853">
        <v>86</v>
      </c>
      <c r="B853" t="str">
        <f>VLOOKUP(Table1[[#This Row],[CountyID]],[1]!Table1[#All],2,FALSE)</f>
        <v>Wright</v>
      </c>
      <c r="C853">
        <f>VLOOKUP(Table1[[#This Row],[CountyID]],[1]!Table1[#All],3,FALSE)</f>
        <v>51</v>
      </c>
      <c r="D853">
        <v>51</v>
      </c>
      <c r="E853">
        <f>Table1[[#This Row],[Number of Counties]]-Table1[[#This Row],[Number of precincts Reporting]]</f>
        <v>0</v>
      </c>
      <c r="F853" t="s">
        <v>0</v>
      </c>
      <c r="G853" t="s">
        <v>1</v>
      </c>
      <c r="H853">
        <v>101</v>
      </c>
      <c r="I853">
        <v>201</v>
      </c>
      <c r="J853" t="s">
        <v>4</v>
      </c>
      <c r="K853" t="s">
        <v>5</v>
      </c>
      <c r="L853">
        <v>51</v>
      </c>
      <c r="M853">
        <v>30883</v>
      </c>
      <c r="N853">
        <v>34.299999999999997</v>
      </c>
      <c r="O853">
        <v>90041</v>
      </c>
    </row>
    <row r="854" spans="1:15" x14ac:dyDescent="0.2">
      <c r="A854">
        <v>86</v>
      </c>
      <c r="B854" t="str">
        <f>VLOOKUP(Table1[[#This Row],[CountyID]],[1]!Table1[#All],2,FALSE)</f>
        <v>Wright</v>
      </c>
      <c r="C854">
        <f>VLOOKUP(Table1[[#This Row],[CountyID]],[1]!Table1[#All],3,FALSE)</f>
        <v>51</v>
      </c>
      <c r="D854">
        <v>51</v>
      </c>
      <c r="E854">
        <f>Table1[[#This Row],[Number of Counties]]-Table1[[#This Row],[Number of precincts Reporting]]</f>
        <v>0</v>
      </c>
      <c r="F854" t="s">
        <v>0</v>
      </c>
      <c r="G854" t="s">
        <v>1</v>
      </c>
      <c r="H854">
        <v>101</v>
      </c>
      <c r="I854">
        <v>301</v>
      </c>
      <c r="J854" t="s">
        <v>6</v>
      </c>
      <c r="K854" t="s">
        <v>7</v>
      </c>
      <c r="L854">
        <v>51</v>
      </c>
      <c r="M854">
        <v>474</v>
      </c>
      <c r="N854">
        <v>0.53</v>
      </c>
      <c r="O854">
        <v>90041</v>
      </c>
    </row>
    <row r="855" spans="1:15" x14ac:dyDescent="0.2">
      <c r="A855">
        <v>86</v>
      </c>
      <c r="B855" t="str">
        <f>VLOOKUP(Table1[[#This Row],[CountyID]],[1]!Table1[#All],2,FALSE)</f>
        <v>Wright</v>
      </c>
      <c r="C855">
        <f>VLOOKUP(Table1[[#This Row],[CountyID]],[1]!Table1[#All],3,FALSE)</f>
        <v>51</v>
      </c>
      <c r="D855">
        <v>51</v>
      </c>
      <c r="E855">
        <f>Table1[[#This Row],[Number of Counties]]-Table1[[#This Row],[Number of precincts Reporting]]</f>
        <v>0</v>
      </c>
      <c r="F855" t="s">
        <v>0</v>
      </c>
      <c r="G855" t="s">
        <v>1</v>
      </c>
      <c r="H855">
        <v>101</v>
      </c>
      <c r="I855">
        <v>401</v>
      </c>
      <c r="J855" t="s">
        <v>8</v>
      </c>
      <c r="K855" t="s">
        <v>9</v>
      </c>
      <c r="L855">
        <v>51</v>
      </c>
      <c r="M855">
        <v>768</v>
      </c>
      <c r="N855">
        <v>0.85</v>
      </c>
      <c r="O855">
        <v>90041</v>
      </c>
    </row>
    <row r="856" spans="1:15" x14ac:dyDescent="0.2">
      <c r="A856">
        <v>86</v>
      </c>
      <c r="B856" t="str">
        <f>VLOOKUP(Table1[[#This Row],[CountyID]],[1]!Table1[#All],2,FALSE)</f>
        <v>Wright</v>
      </c>
      <c r="C856">
        <f>VLOOKUP(Table1[[#This Row],[CountyID]],[1]!Table1[#All],3,FALSE)</f>
        <v>51</v>
      </c>
      <c r="D856">
        <v>51</v>
      </c>
      <c r="E856">
        <f>Table1[[#This Row],[Number of Counties]]-Table1[[#This Row],[Number of precincts Reporting]]</f>
        <v>0</v>
      </c>
      <c r="F856" t="s">
        <v>0</v>
      </c>
      <c r="G856" t="s">
        <v>1</v>
      </c>
      <c r="H856">
        <v>101</v>
      </c>
      <c r="I856">
        <v>501</v>
      </c>
      <c r="J856" t="s">
        <v>10</v>
      </c>
      <c r="K856" t="s">
        <v>11</v>
      </c>
      <c r="L856">
        <v>51</v>
      </c>
      <c r="M856">
        <v>224</v>
      </c>
      <c r="N856">
        <v>0.25</v>
      </c>
      <c r="O856">
        <v>90041</v>
      </c>
    </row>
    <row r="857" spans="1:15" x14ac:dyDescent="0.2">
      <c r="A857">
        <v>86</v>
      </c>
      <c r="B857" t="str">
        <f>VLOOKUP(Table1[[#This Row],[CountyID]],[1]!Table1[#All],2,FALSE)</f>
        <v>Wright</v>
      </c>
      <c r="C857">
        <f>VLOOKUP(Table1[[#This Row],[CountyID]],[1]!Table1[#All],3,FALSE)</f>
        <v>51</v>
      </c>
      <c r="D857">
        <v>51</v>
      </c>
      <c r="E857">
        <f>Table1[[#This Row],[Number of Counties]]-Table1[[#This Row],[Number of precincts Reporting]]</f>
        <v>0</v>
      </c>
      <c r="F857" t="s">
        <v>0</v>
      </c>
      <c r="G857" t="s">
        <v>1</v>
      </c>
      <c r="H857">
        <v>101</v>
      </c>
      <c r="I857">
        <v>601</v>
      </c>
      <c r="J857" t="s">
        <v>12</v>
      </c>
      <c r="K857" t="s">
        <v>13</v>
      </c>
      <c r="L857">
        <v>51</v>
      </c>
      <c r="M857">
        <v>27</v>
      </c>
      <c r="N857">
        <v>0.03</v>
      </c>
      <c r="O857">
        <v>90041</v>
      </c>
    </row>
    <row r="858" spans="1:15" x14ac:dyDescent="0.2">
      <c r="A858">
        <v>86</v>
      </c>
      <c r="B858" t="str">
        <f>VLOOKUP(Table1[[#This Row],[CountyID]],[1]!Table1[#All],2,FALSE)</f>
        <v>Wright</v>
      </c>
      <c r="C858">
        <f>VLOOKUP(Table1[[#This Row],[CountyID]],[1]!Table1[#All],3,FALSE)</f>
        <v>51</v>
      </c>
      <c r="D858">
        <v>51</v>
      </c>
      <c r="E858">
        <f>Table1[[#This Row],[Number of Counties]]-Table1[[#This Row],[Number of precincts Reporting]]</f>
        <v>0</v>
      </c>
      <c r="F858" t="s">
        <v>0</v>
      </c>
      <c r="G858" t="s">
        <v>1</v>
      </c>
      <c r="H858">
        <v>101</v>
      </c>
      <c r="I858">
        <v>701</v>
      </c>
      <c r="J858" t="s">
        <v>14</v>
      </c>
      <c r="K858" t="s">
        <v>15</v>
      </c>
      <c r="L858">
        <v>51</v>
      </c>
      <c r="M858">
        <v>5</v>
      </c>
      <c r="N858">
        <v>0.01</v>
      </c>
      <c r="O858">
        <v>90041</v>
      </c>
    </row>
    <row r="859" spans="1:15" x14ac:dyDescent="0.2">
      <c r="A859">
        <v>86</v>
      </c>
      <c r="B859" t="str">
        <f>VLOOKUP(Table1[[#This Row],[CountyID]],[1]!Table1[#All],2,FALSE)</f>
        <v>Wright</v>
      </c>
      <c r="C859">
        <f>VLOOKUP(Table1[[#This Row],[CountyID]],[1]!Table1[#All],3,FALSE)</f>
        <v>51</v>
      </c>
      <c r="D859">
        <v>51</v>
      </c>
      <c r="E859">
        <f>Table1[[#This Row],[Number of Counties]]-Table1[[#This Row],[Number of precincts Reporting]]</f>
        <v>0</v>
      </c>
      <c r="F859" t="s">
        <v>0</v>
      </c>
      <c r="G859" t="s">
        <v>1</v>
      </c>
      <c r="H859">
        <v>101</v>
      </c>
      <c r="I859">
        <v>801</v>
      </c>
      <c r="J859" t="s">
        <v>16</v>
      </c>
      <c r="K859" t="s">
        <v>17</v>
      </c>
      <c r="L859">
        <v>51</v>
      </c>
      <c r="M859">
        <v>28</v>
      </c>
      <c r="N859">
        <v>0.03</v>
      </c>
      <c r="O859">
        <v>90041</v>
      </c>
    </row>
    <row r="860" spans="1:15" x14ac:dyDescent="0.2">
      <c r="A860">
        <v>86</v>
      </c>
      <c r="B860" t="str">
        <f>VLOOKUP(Table1[[#This Row],[CountyID]],[1]!Table1[#All],2,FALSE)</f>
        <v>Wright</v>
      </c>
      <c r="C860">
        <f>VLOOKUP(Table1[[#This Row],[CountyID]],[1]!Table1[#All],3,FALSE)</f>
        <v>51</v>
      </c>
      <c r="D860">
        <v>51</v>
      </c>
      <c r="E860">
        <f>Table1[[#This Row],[Number of Counties]]-Table1[[#This Row],[Number of precincts Reporting]]</f>
        <v>0</v>
      </c>
      <c r="F860" t="s">
        <v>0</v>
      </c>
      <c r="G860" t="s">
        <v>1</v>
      </c>
      <c r="H860">
        <v>101</v>
      </c>
      <c r="I860">
        <v>901</v>
      </c>
      <c r="J860" t="s">
        <v>18</v>
      </c>
      <c r="K860" t="s">
        <v>19</v>
      </c>
      <c r="L860">
        <v>51</v>
      </c>
      <c r="M860">
        <v>80</v>
      </c>
      <c r="N860">
        <v>0.09</v>
      </c>
      <c r="O860">
        <v>90041</v>
      </c>
    </row>
    <row r="861" spans="1:15" x14ac:dyDescent="0.2">
      <c r="A861">
        <v>86</v>
      </c>
      <c r="B861" t="str">
        <f>VLOOKUP(Table1[[#This Row],[CountyID]],[1]!Table1[#All],2,FALSE)</f>
        <v>Wright</v>
      </c>
      <c r="C861">
        <f>VLOOKUP(Table1[[#This Row],[CountyID]],[1]!Table1[#All],3,FALSE)</f>
        <v>51</v>
      </c>
      <c r="D861">
        <v>51</v>
      </c>
      <c r="E861">
        <f>Table1[[#This Row],[Number of Counties]]-Table1[[#This Row],[Number of precincts Reporting]]</f>
        <v>0</v>
      </c>
      <c r="F861" t="s">
        <v>0</v>
      </c>
      <c r="G861" t="s">
        <v>1</v>
      </c>
      <c r="H861">
        <v>101</v>
      </c>
      <c r="I861">
        <v>9901</v>
      </c>
      <c r="J861" t="s">
        <v>20</v>
      </c>
      <c r="K861" t="s">
        <v>21</v>
      </c>
      <c r="L861">
        <v>51</v>
      </c>
      <c r="M861">
        <v>341</v>
      </c>
      <c r="N861">
        <v>0.38</v>
      </c>
      <c r="O861">
        <v>90041</v>
      </c>
    </row>
    <row r="862" spans="1:15" x14ac:dyDescent="0.2">
      <c r="A862">
        <v>87</v>
      </c>
      <c r="B862" t="str">
        <f>VLOOKUP(Table1[[#This Row],[CountyID]],[1]!Table1[#All],2,FALSE)</f>
        <v>Yellow Medicine</v>
      </c>
      <c r="C862">
        <f>VLOOKUP(Table1[[#This Row],[CountyID]],[1]!Table1[#All],3,FALSE)</f>
        <v>30</v>
      </c>
      <c r="D862">
        <v>30</v>
      </c>
      <c r="E862">
        <f>Table1[[#This Row],[Number of Counties]]-Table1[[#This Row],[Number of precincts Reporting]]</f>
        <v>0</v>
      </c>
      <c r="F862" t="s">
        <v>0</v>
      </c>
      <c r="G862" t="s">
        <v>1</v>
      </c>
      <c r="H862">
        <v>101</v>
      </c>
      <c r="I862">
        <v>101</v>
      </c>
      <c r="J862" t="s">
        <v>2</v>
      </c>
      <c r="K862" t="s">
        <v>3</v>
      </c>
      <c r="L862">
        <v>30</v>
      </c>
      <c r="M862">
        <v>3738</v>
      </c>
      <c r="N862">
        <v>69.09</v>
      </c>
      <c r="O862">
        <v>5410</v>
      </c>
    </row>
    <row r="863" spans="1:15" x14ac:dyDescent="0.2">
      <c r="A863">
        <v>87</v>
      </c>
      <c r="B863" t="str">
        <f>VLOOKUP(Table1[[#This Row],[CountyID]],[1]!Table1[#All],2,FALSE)</f>
        <v>Yellow Medicine</v>
      </c>
      <c r="C863">
        <f>VLOOKUP(Table1[[#This Row],[CountyID]],[1]!Table1[#All],3,FALSE)</f>
        <v>30</v>
      </c>
      <c r="D863">
        <v>30</v>
      </c>
      <c r="E863">
        <f>Table1[[#This Row],[Number of Counties]]-Table1[[#This Row],[Number of precincts Reporting]]</f>
        <v>0</v>
      </c>
      <c r="F863" t="s">
        <v>0</v>
      </c>
      <c r="G863" t="s">
        <v>1</v>
      </c>
      <c r="H863">
        <v>101</v>
      </c>
      <c r="I863">
        <v>201</v>
      </c>
      <c r="J863" t="s">
        <v>4</v>
      </c>
      <c r="K863" t="s">
        <v>5</v>
      </c>
      <c r="L863">
        <v>30</v>
      </c>
      <c r="M863">
        <v>1548</v>
      </c>
      <c r="N863">
        <v>28.61</v>
      </c>
      <c r="O863">
        <v>5410</v>
      </c>
    </row>
    <row r="864" spans="1:15" x14ac:dyDescent="0.2">
      <c r="A864">
        <v>87</v>
      </c>
      <c r="B864" t="str">
        <f>VLOOKUP(Table1[[#This Row],[CountyID]],[1]!Table1[#All],2,FALSE)</f>
        <v>Yellow Medicine</v>
      </c>
      <c r="C864">
        <f>VLOOKUP(Table1[[#This Row],[CountyID]],[1]!Table1[#All],3,FALSE)</f>
        <v>30</v>
      </c>
      <c r="D864">
        <v>30</v>
      </c>
      <c r="E864">
        <f>Table1[[#This Row],[Number of Counties]]-Table1[[#This Row],[Number of precincts Reporting]]</f>
        <v>0</v>
      </c>
      <c r="F864" t="s">
        <v>0</v>
      </c>
      <c r="G864" t="s">
        <v>1</v>
      </c>
      <c r="H864">
        <v>101</v>
      </c>
      <c r="I864">
        <v>301</v>
      </c>
      <c r="J864" t="s">
        <v>6</v>
      </c>
      <c r="K864" t="s">
        <v>7</v>
      </c>
      <c r="L864">
        <v>30</v>
      </c>
      <c r="M864">
        <v>24</v>
      </c>
      <c r="N864">
        <v>0.44</v>
      </c>
      <c r="O864">
        <v>5410</v>
      </c>
    </row>
    <row r="865" spans="1:15" x14ac:dyDescent="0.2">
      <c r="A865">
        <v>87</v>
      </c>
      <c r="B865" t="str">
        <f>VLOOKUP(Table1[[#This Row],[CountyID]],[1]!Table1[#All],2,FALSE)</f>
        <v>Yellow Medicine</v>
      </c>
      <c r="C865">
        <f>VLOOKUP(Table1[[#This Row],[CountyID]],[1]!Table1[#All],3,FALSE)</f>
        <v>30</v>
      </c>
      <c r="D865">
        <v>30</v>
      </c>
      <c r="E865">
        <f>Table1[[#This Row],[Number of Counties]]-Table1[[#This Row],[Number of precincts Reporting]]</f>
        <v>0</v>
      </c>
      <c r="F865" t="s">
        <v>0</v>
      </c>
      <c r="G865" t="s">
        <v>1</v>
      </c>
      <c r="H865">
        <v>101</v>
      </c>
      <c r="I865">
        <v>401</v>
      </c>
      <c r="J865" t="s">
        <v>8</v>
      </c>
      <c r="K865" t="s">
        <v>9</v>
      </c>
      <c r="L865">
        <v>30</v>
      </c>
      <c r="M865">
        <v>63</v>
      </c>
      <c r="N865">
        <v>1.1599999999999999</v>
      </c>
      <c r="O865">
        <v>5410</v>
      </c>
    </row>
    <row r="866" spans="1:15" x14ac:dyDescent="0.2">
      <c r="A866">
        <v>87</v>
      </c>
      <c r="B866" t="str">
        <f>VLOOKUP(Table1[[#This Row],[CountyID]],[1]!Table1[#All],2,FALSE)</f>
        <v>Yellow Medicine</v>
      </c>
      <c r="C866">
        <f>VLOOKUP(Table1[[#This Row],[CountyID]],[1]!Table1[#All],3,FALSE)</f>
        <v>30</v>
      </c>
      <c r="D866">
        <v>30</v>
      </c>
      <c r="E866">
        <f>Table1[[#This Row],[Number of Counties]]-Table1[[#This Row],[Number of precincts Reporting]]</f>
        <v>0</v>
      </c>
      <c r="F866" t="s">
        <v>0</v>
      </c>
      <c r="G866" t="s">
        <v>1</v>
      </c>
      <c r="H866">
        <v>101</v>
      </c>
      <c r="I866">
        <v>501</v>
      </c>
      <c r="J866" t="s">
        <v>10</v>
      </c>
      <c r="K866" t="s">
        <v>11</v>
      </c>
      <c r="L866">
        <v>30</v>
      </c>
      <c r="M866">
        <v>9</v>
      </c>
      <c r="N866">
        <v>0.17</v>
      </c>
      <c r="O866">
        <v>5410</v>
      </c>
    </row>
    <row r="867" spans="1:15" x14ac:dyDescent="0.2">
      <c r="A867">
        <v>87</v>
      </c>
      <c r="B867" t="str">
        <f>VLOOKUP(Table1[[#This Row],[CountyID]],[1]!Table1[#All],2,FALSE)</f>
        <v>Yellow Medicine</v>
      </c>
      <c r="C867">
        <f>VLOOKUP(Table1[[#This Row],[CountyID]],[1]!Table1[#All],3,FALSE)</f>
        <v>30</v>
      </c>
      <c r="D867">
        <v>30</v>
      </c>
      <c r="E867">
        <f>Table1[[#This Row],[Number of Counties]]-Table1[[#This Row],[Number of precincts Reporting]]</f>
        <v>0</v>
      </c>
      <c r="F867" t="s">
        <v>0</v>
      </c>
      <c r="G867" t="s">
        <v>1</v>
      </c>
      <c r="H867">
        <v>101</v>
      </c>
      <c r="I867">
        <v>601</v>
      </c>
      <c r="J867" t="s">
        <v>12</v>
      </c>
      <c r="K867" t="s">
        <v>13</v>
      </c>
      <c r="L867">
        <v>30</v>
      </c>
      <c r="M867">
        <v>0</v>
      </c>
      <c r="N867">
        <v>0</v>
      </c>
      <c r="O867">
        <v>5410</v>
      </c>
    </row>
    <row r="868" spans="1:15" x14ac:dyDescent="0.2">
      <c r="A868">
        <v>87</v>
      </c>
      <c r="B868" t="str">
        <f>VLOOKUP(Table1[[#This Row],[CountyID]],[1]!Table1[#All],2,FALSE)</f>
        <v>Yellow Medicine</v>
      </c>
      <c r="C868">
        <f>VLOOKUP(Table1[[#This Row],[CountyID]],[1]!Table1[#All],3,FALSE)</f>
        <v>30</v>
      </c>
      <c r="D868">
        <v>30</v>
      </c>
      <c r="E868">
        <f>Table1[[#This Row],[Number of Counties]]-Table1[[#This Row],[Number of precincts Reporting]]</f>
        <v>0</v>
      </c>
      <c r="F868" t="s">
        <v>0</v>
      </c>
      <c r="G868" t="s">
        <v>1</v>
      </c>
      <c r="H868">
        <v>101</v>
      </c>
      <c r="I868">
        <v>701</v>
      </c>
      <c r="J868" t="s">
        <v>14</v>
      </c>
      <c r="K868" t="s">
        <v>15</v>
      </c>
      <c r="L868">
        <v>30</v>
      </c>
      <c r="M868">
        <v>0</v>
      </c>
      <c r="N868">
        <v>0</v>
      </c>
      <c r="O868">
        <v>5410</v>
      </c>
    </row>
    <row r="869" spans="1:15" x14ac:dyDescent="0.2">
      <c r="A869">
        <v>87</v>
      </c>
      <c r="B869" t="str">
        <f>VLOOKUP(Table1[[#This Row],[CountyID]],[1]!Table1[#All],2,FALSE)</f>
        <v>Yellow Medicine</v>
      </c>
      <c r="C869">
        <f>VLOOKUP(Table1[[#This Row],[CountyID]],[1]!Table1[#All],3,FALSE)</f>
        <v>30</v>
      </c>
      <c r="D869">
        <v>30</v>
      </c>
      <c r="E869">
        <f>Table1[[#This Row],[Number of Counties]]-Table1[[#This Row],[Number of precincts Reporting]]</f>
        <v>0</v>
      </c>
      <c r="F869" t="s">
        <v>0</v>
      </c>
      <c r="G869" t="s">
        <v>1</v>
      </c>
      <c r="H869">
        <v>101</v>
      </c>
      <c r="I869">
        <v>801</v>
      </c>
      <c r="J869" t="s">
        <v>16</v>
      </c>
      <c r="K869" t="s">
        <v>17</v>
      </c>
      <c r="L869">
        <v>30</v>
      </c>
      <c r="M869">
        <v>3</v>
      </c>
      <c r="N869">
        <v>0.06</v>
      </c>
      <c r="O869">
        <v>5410</v>
      </c>
    </row>
    <row r="870" spans="1:15" x14ac:dyDescent="0.2">
      <c r="A870">
        <v>87</v>
      </c>
      <c r="B870" t="str">
        <f>VLOOKUP(Table1[[#This Row],[CountyID]],[1]!Table1[#All],2,FALSE)</f>
        <v>Yellow Medicine</v>
      </c>
      <c r="C870">
        <f>VLOOKUP(Table1[[#This Row],[CountyID]],[1]!Table1[#All],3,FALSE)</f>
        <v>30</v>
      </c>
      <c r="D870">
        <v>30</v>
      </c>
      <c r="E870">
        <f>Table1[[#This Row],[Number of Counties]]-Table1[[#This Row],[Number of precincts Reporting]]</f>
        <v>0</v>
      </c>
      <c r="F870" t="s">
        <v>0</v>
      </c>
      <c r="G870" t="s">
        <v>1</v>
      </c>
      <c r="H870">
        <v>101</v>
      </c>
      <c r="I870">
        <v>901</v>
      </c>
      <c r="J870" t="s">
        <v>18</v>
      </c>
      <c r="K870" t="s">
        <v>19</v>
      </c>
      <c r="L870">
        <v>30</v>
      </c>
      <c r="M870">
        <v>6</v>
      </c>
      <c r="N870">
        <v>0.11</v>
      </c>
      <c r="O870">
        <v>5410</v>
      </c>
    </row>
    <row r="871" spans="1:15" x14ac:dyDescent="0.2">
      <c r="A871">
        <v>87</v>
      </c>
      <c r="B871" t="str">
        <f>VLOOKUP(Table1[[#This Row],[CountyID]],[1]!Table1[#All],2,FALSE)</f>
        <v>Yellow Medicine</v>
      </c>
      <c r="C871">
        <f>VLOOKUP(Table1[[#This Row],[CountyID]],[1]!Table1[#All],3,FALSE)</f>
        <v>30</v>
      </c>
      <c r="D871">
        <v>30</v>
      </c>
      <c r="E871">
        <f>Table1[[#This Row],[Number of Counties]]-Table1[[#This Row],[Number of precincts Reporting]]</f>
        <v>0</v>
      </c>
      <c r="F871" t="s">
        <v>0</v>
      </c>
      <c r="G871" t="s">
        <v>1</v>
      </c>
      <c r="H871">
        <v>101</v>
      </c>
      <c r="I871">
        <v>9901</v>
      </c>
      <c r="J871" t="s">
        <v>20</v>
      </c>
      <c r="K871" t="s">
        <v>21</v>
      </c>
      <c r="L871">
        <v>30</v>
      </c>
      <c r="M871">
        <v>19</v>
      </c>
      <c r="N871">
        <v>0.35</v>
      </c>
      <c r="O871">
        <v>5410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9D91-29C4-5748-9A70-0D79AA9CCEF1}">
  <dimension ref="A1:A7"/>
  <sheetViews>
    <sheetView workbookViewId="0">
      <selection activeCell="A7" sqref="A7"/>
    </sheetView>
  </sheetViews>
  <sheetFormatPr baseColWidth="10" defaultRowHeight="15" x14ac:dyDescent="0.2"/>
  <sheetData>
    <row r="1" spans="1:1" x14ac:dyDescent="0.2">
      <c r="A1" t="s">
        <v>38</v>
      </c>
    </row>
    <row r="2" spans="1:1" x14ac:dyDescent="0.2">
      <c r="A2" t="s">
        <v>135</v>
      </c>
    </row>
    <row r="3" spans="1:1" x14ac:dyDescent="0.2">
      <c r="A3" t="s">
        <v>136</v>
      </c>
    </row>
    <row r="4" spans="1:1" x14ac:dyDescent="0.2">
      <c r="A4" t="s">
        <v>137</v>
      </c>
    </row>
    <row r="5" spans="1:1" x14ac:dyDescent="0.2">
      <c r="A5" t="s">
        <v>142</v>
      </c>
    </row>
    <row r="6" spans="1:1" x14ac:dyDescent="0.2">
      <c r="A6" t="s">
        <v>143</v>
      </c>
    </row>
    <row r="7" spans="1:1" x14ac:dyDescent="0.2">
      <c r="A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newResults</vt:lpstr>
      <vt:lpstr>Minnesota_2024 Election Results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Noah A Thomas</cp:lastModifiedBy>
  <dcterms:created xsi:type="dcterms:W3CDTF">2025-02-27T15:34:01Z</dcterms:created>
  <dcterms:modified xsi:type="dcterms:W3CDTF">2025-02-27T16:41:44Z</dcterms:modified>
</cp:coreProperties>
</file>