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6D9990FE-1BF1-644F-A1D8-E4678999B14B}" xr6:coauthVersionLast="47" xr6:coauthVersionMax="47" xr10:uidLastSave="{00000000-0000-0000-0000-000000000000}"/>
  <bookViews>
    <workbookView xWindow="780" yWindow="1000" windowWidth="27640" windowHeight="15840" xr2:uid="{EB7DFCA8-14D5-DC43-B7CE-17BE5845201E}"/>
  </bookViews>
  <sheets>
    <sheet name="Statewide Candidates" sheetId="1" r:id="rId1"/>
    <sheet name="Cleaning Log" sheetId="2" r:id="rId2"/>
  </sheets>
  <externalReferences>
    <externalReference r:id="rId3"/>
  </externalReferences>
  <definedNames>
    <definedName name="BSSAlbany">#REF!</definedName>
    <definedName name="BSSBigHorn">#REF!</definedName>
    <definedName name="BSSCampbell">#REF!</definedName>
    <definedName name="BSSCarbon">#REF!</definedName>
    <definedName name="BSSConverse">#REF!</definedName>
    <definedName name="BSSCrook">#REF!</definedName>
    <definedName name="BSSFremont">#REF!</definedName>
    <definedName name="BSSGoshen">#REF!</definedName>
    <definedName name="BSSHotSprings">#REF!</definedName>
    <definedName name="BSSJohnson">#REF!</definedName>
    <definedName name="BSSLaramie">#REF!</definedName>
    <definedName name="BSSLincoln">#REF!</definedName>
    <definedName name="BSSNatrona">#REF!</definedName>
    <definedName name="BSSNiobrara">#REF!</definedName>
    <definedName name="BSSPark">#REF!</definedName>
    <definedName name="BSSPlatte">#REF!</definedName>
    <definedName name="BSSSheridan">#REF!</definedName>
    <definedName name="BSSSublette">#REF!</definedName>
    <definedName name="BSSSweetwater">#REF!</definedName>
    <definedName name="BSSTeton">#REF!</definedName>
    <definedName name="BSSUinta">#REF!</definedName>
    <definedName name="BSSWashakie">#REF!</definedName>
    <definedName name="BSSWeston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5" i="1"/>
</calcChain>
</file>

<file path=xl/sharedStrings.xml><?xml version="1.0" encoding="utf-8"?>
<sst xmlns="http://schemas.openxmlformats.org/spreadsheetml/2006/main" count="53" uniqueCount="47">
  <si>
    <t>United States President</t>
  </si>
  <si>
    <t>United States Senator</t>
  </si>
  <si>
    <t>United States Representative</t>
  </si>
  <si>
    <t>Donald J. Trump and
JD Vance (R)</t>
  </si>
  <si>
    <t>Kamala D. Harris and
Tim Walz (D)</t>
  </si>
  <si>
    <t>Chase Oliver and 
Mike ter Maat (L)</t>
  </si>
  <si>
    <t>Write-Ins</t>
  </si>
  <si>
    <t>Overvotes</t>
  </si>
  <si>
    <t>Undervotes</t>
  </si>
  <si>
    <t>John
Barrasso (R)</t>
  </si>
  <si>
    <t>Scott D
Morrow (D)</t>
  </si>
  <si>
    <t>Harriet
Hageman (R)</t>
  </si>
  <si>
    <t>Kyle G.
Cameron (D)</t>
  </si>
  <si>
    <t>Richard
Brubaker (L)</t>
  </si>
  <si>
    <t>Jeffrey
Haggit (C)</t>
  </si>
  <si>
    <t>Albany</t>
  </si>
  <si>
    <t>Big Horn</t>
  </si>
  <si>
    <t>Campbell</t>
  </si>
  <si>
    <t>Carbon</t>
  </si>
  <si>
    <t>Converse</t>
  </si>
  <si>
    <t>Crook</t>
  </si>
  <si>
    <t>Fremont</t>
  </si>
  <si>
    <t>Goshen</t>
  </si>
  <si>
    <t>Hot Springs</t>
  </si>
  <si>
    <t>Johnson</t>
  </si>
  <si>
    <t>Laramie</t>
  </si>
  <si>
    <t>Lincoln</t>
  </si>
  <si>
    <t>Natrona</t>
  </si>
  <si>
    <t>Niobrara</t>
  </si>
  <si>
    <t>Park</t>
  </si>
  <si>
    <t>Platte</t>
  </si>
  <si>
    <t>Sheridan</t>
  </si>
  <si>
    <t>Sublette</t>
  </si>
  <si>
    <t>Sweetwater</t>
  </si>
  <si>
    <t>Teton</t>
  </si>
  <si>
    <t>Uinta</t>
  </si>
  <si>
    <t>Washakie</t>
  </si>
  <si>
    <t>Weston</t>
  </si>
  <si>
    <t>Total</t>
  </si>
  <si>
    <t>1. Deleted Row 1 and hid row 2</t>
  </si>
  <si>
    <t>Totals</t>
  </si>
  <si>
    <t>Trump / Vance Percent</t>
  </si>
  <si>
    <t>Harris / Walz Percent</t>
  </si>
  <si>
    <t>3. Hid columns D - S</t>
  </si>
  <si>
    <t>2. Calculated presidential votes totals using formulas (only used candidates and write - in columns)</t>
  </si>
  <si>
    <t>4. Calculated percents using formulas</t>
  </si>
  <si>
    <t>5. Copy and pasted numerical values over the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</si>
</sst>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&quot;/&quot;d&quot;/&quot;yy&quot; &quot;hh&quot;:&quot;mm&quot;:&quot;ss&quot; MDT&quot;"/>
    <numFmt numFmtId="169" formatCode="0.0000"/>
  </numFmts>
  <fonts count="8" x14ac:knownFonts="1">
    <font>
      <sz val="10"/>
      <color rgb="FF000000"/>
      <name val="Aptos Narrow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3" fontId="1" fillId="0" borderId="6" xfId="0" applyNumberFormat="1" applyFont="1" applyBorder="1"/>
    <xf numFmtId="3" fontId="1" fillId="0" borderId="7" xfId="0" applyNumberFormat="1" applyFont="1" applyBorder="1"/>
    <xf numFmtId="3" fontId="1" fillId="0" borderId="5" xfId="0" applyNumberFormat="1" applyFont="1" applyBorder="1"/>
    <xf numFmtId="3" fontId="1" fillId="0" borderId="8" xfId="0" applyNumberFormat="1" applyFont="1" applyBorder="1"/>
    <xf numFmtId="3" fontId="1" fillId="0" borderId="0" xfId="0" applyNumberFormat="1" applyFont="1"/>
    <xf numFmtId="3" fontId="1" fillId="0" borderId="9" xfId="0" applyNumberFormat="1" applyFont="1" applyBorder="1"/>
    <xf numFmtId="3" fontId="1" fillId="0" borderId="10" xfId="0" applyNumberFormat="1" applyFont="1" applyBorder="1"/>
    <xf numFmtId="3" fontId="1" fillId="0" borderId="11" xfId="0" applyNumberFormat="1" applyFont="1" applyBorder="1"/>
    <xf numFmtId="3" fontId="1" fillId="0" borderId="12" xfId="0" applyNumberFormat="1" applyFont="1" applyBorder="1"/>
    <xf numFmtId="0" fontId="5" fillId="0" borderId="9" xfId="0" applyFont="1" applyBorder="1" applyAlignment="1">
      <alignment vertical="center"/>
    </xf>
    <xf numFmtId="3" fontId="6" fillId="0" borderId="8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9" xfId="0" applyNumberFormat="1" applyFont="1" applyBorder="1" applyAlignment="1">
      <alignment horizontal="right"/>
    </xf>
    <xf numFmtId="3" fontId="6" fillId="0" borderId="0" xfId="0" applyNumberFormat="1" applyFont="1" applyAlignment="1">
      <alignment horizontal="right"/>
    </xf>
    <xf numFmtId="0" fontId="1" fillId="0" borderId="0" xfId="0" applyFont="1"/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3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oahthomas/Downloads/Wyoming_2024%20Election%20Results.xlsx" TargetMode="External"/><Relationship Id="rId1" Type="http://schemas.openxmlformats.org/officeDocument/2006/relationships/externalLinkPath" Target="/Users/noahthomas/Downloads/Wyoming_2024%20Election%20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ewide Senate Odd"/>
      <sheetName val="Statewide Total Ballots Cast"/>
      <sheetName val="Statewide Candidates"/>
      <sheetName val="Statewide Senate Even"/>
      <sheetName val="Statewide House"/>
      <sheetName val="BLANKSS"/>
      <sheetName val="BLANKSH"/>
      <sheetName val="Statewide Judicial"/>
      <sheetName val="Statewide Ballot Issue"/>
      <sheetName val="BLANKJR"/>
      <sheetName val="BLANKSB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5B11-FF62-B746-A227-91539A4424E2}">
  <sheetPr>
    <outlinePr summaryBelow="0" summaryRight="0"/>
  </sheetPr>
  <dimension ref="A1:V1001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V34" sqref="V34"/>
    </sheetView>
  </sheetViews>
  <sheetFormatPr baseColWidth="10" defaultColWidth="15" defaultRowHeight="15.75" customHeight="1" x14ac:dyDescent="0.2"/>
  <cols>
    <col min="1" max="1" width="22.19921875" customWidth="1"/>
    <col min="2" max="3" width="21" customWidth="1"/>
    <col min="4" max="4" width="21" hidden="1" customWidth="1"/>
    <col min="5" max="19" width="18.59765625" hidden="1" customWidth="1"/>
  </cols>
  <sheetData>
    <row r="1" spans="1:22" s="4" customFormat="1" ht="60" hidden="1" customHeight="1" x14ac:dyDescent="0.2">
      <c r="A1" s="1"/>
      <c r="B1" s="2"/>
      <c r="C1" s="3"/>
      <c r="D1" s="3"/>
      <c r="E1" s="3"/>
      <c r="F1" s="3"/>
      <c r="G1" s="3"/>
      <c r="H1" s="2"/>
      <c r="I1" s="3"/>
      <c r="J1" s="3"/>
      <c r="K1" s="3"/>
      <c r="L1" s="3"/>
      <c r="M1" s="2"/>
      <c r="N1" s="3"/>
      <c r="O1" s="3"/>
      <c r="P1" s="3"/>
      <c r="Q1" s="3"/>
      <c r="R1" s="3"/>
      <c r="S1" s="3"/>
    </row>
    <row r="2" spans="1:22" ht="15" hidden="1" customHeight="1" x14ac:dyDescent="0.2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2" ht="24.75" customHeight="1" x14ac:dyDescent="0.2">
      <c r="A3" s="6"/>
      <c r="B3" s="7" t="s">
        <v>0</v>
      </c>
      <c r="C3" s="8"/>
      <c r="D3" s="8"/>
      <c r="E3" s="8"/>
      <c r="F3" s="8"/>
      <c r="G3" s="9"/>
      <c r="H3" s="10" t="s">
        <v>1</v>
      </c>
      <c r="I3" s="8"/>
      <c r="J3" s="8"/>
      <c r="K3" s="8"/>
      <c r="L3" s="9"/>
      <c r="M3" s="7" t="s">
        <v>2</v>
      </c>
      <c r="N3" s="8"/>
      <c r="O3" s="8"/>
      <c r="P3" s="8"/>
      <c r="Q3" s="8"/>
      <c r="R3" s="8"/>
      <c r="S3" s="9"/>
    </row>
    <row r="4" spans="1:22" s="4" customFormat="1" ht="42" x14ac:dyDescent="0.2">
      <c r="A4" s="11"/>
      <c r="B4" s="12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6</v>
      </c>
      <c r="K4" s="13" t="s">
        <v>7</v>
      </c>
      <c r="L4" s="13" t="s">
        <v>8</v>
      </c>
      <c r="M4" s="13" t="s">
        <v>11</v>
      </c>
      <c r="N4" s="13" t="s">
        <v>12</v>
      </c>
      <c r="O4" s="13" t="s">
        <v>13</v>
      </c>
      <c r="P4" s="13" t="s">
        <v>14</v>
      </c>
      <c r="Q4" s="13" t="s">
        <v>6</v>
      </c>
      <c r="R4" s="13" t="s">
        <v>7</v>
      </c>
      <c r="S4" s="13" t="s">
        <v>8</v>
      </c>
      <c r="T4" s="4" t="s">
        <v>40</v>
      </c>
      <c r="U4" s="4" t="s">
        <v>41</v>
      </c>
      <c r="V4" s="4" t="s">
        <v>42</v>
      </c>
    </row>
    <row r="5" spans="1:22" ht="14" x14ac:dyDescent="0.2">
      <c r="A5" s="5" t="s">
        <v>15</v>
      </c>
      <c r="B5" s="14">
        <v>8930</v>
      </c>
      <c r="C5" s="15">
        <v>8371</v>
      </c>
      <c r="D5" s="15">
        <v>338</v>
      </c>
      <c r="E5" s="15">
        <v>238</v>
      </c>
      <c r="F5" s="15">
        <v>7</v>
      </c>
      <c r="G5" s="16">
        <v>109</v>
      </c>
      <c r="H5" s="14">
        <v>9737</v>
      </c>
      <c r="I5" s="15">
        <v>7745</v>
      </c>
      <c r="J5" s="15">
        <v>114</v>
      </c>
      <c r="K5" s="15">
        <v>3</v>
      </c>
      <c r="L5" s="16">
        <v>394</v>
      </c>
      <c r="M5" s="14">
        <v>8559</v>
      </c>
      <c r="N5" s="15">
        <v>7674</v>
      </c>
      <c r="O5" s="15">
        <v>742</v>
      </c>
      <c r="P5" s="15">
        <v>254</v>
      </c>
      <c r="Q5" s="15">
        <v>113</v>
      </c>
      <c r="R5" s="15">
        <v>96</v>
      </c>
      <c r="S5" s="16">
        <v>555</v>
      </c>
      <c r="T5" s="32">
        <f>B5+C5+D5+E5</f>
        <v>17877</v>
      </c>
      <c r="U5" s="33">
        <v>0.49952452872405884</v>
      </c>
      <c r="V5" s="33">
        <v>0.4682553001062818</v>
      </c>
    </row>
    <row r="6" spans="1:22" ht="14" x14ac:dyDescent="0.2">
      <c r="A6" s="5" t="s">
        <v>16</v>
      </c>
      <c r="B6" s="17">
        <v>4867</v>
      </c>
      <c r="C6" s="18">
        <v>742</v>
      </c>
      <c r="D6" s="18">
        <v>82</v>
      </c>
      <c r="E6" s="18">
        <v>44</v>
      </c>
      <c r="F6" s="18">
        <v>2</v>
      </c>
      <c r="G6" s="19">
        <v>51</v>
      </c>
      <c r="H6" s="17">
        <v>4922</v>
      </c>
      <c r="I6" s="18">
        <v>703</v>
      </c>
      <c r="J6" s="18">
        <v>39</v>
      </c>
      <c r="K6" s="18">
        <v>3</v>
      </c>
      <c r="L6" s="19">
        <v>121</v>
      </c>
      <c r="M6" s="17">
        <v>4644</v>
      </c>
      <c r="N6" s="18">
        <v>647</v>
      </c>
      <c r="O6" s="18">
        <v>162</v>
      </c>
      <c r="P6" s="18">
        <v>161</v>
      </c>
      <c r="Q6" s="18">
        <v>16</v>
      </c>
      <c r="R6" s="18">
        <v>44</v>
      </c>
      <c r="S6" s="19">
        <v>114</v>
      </c>
      <c r="T6" s="32">
        <f t="shared" ref="T6:T27" si="0">B6+C6+D6+E6</f>
        <v>5735</v>
      </c>
      <c r="U6" s="33">
        <v>0.84864864864864864</v>
      </c>
      <c r="V6" s="33">
        <v>0.12938099389712293</v>
      </c>
    </row>
    <row r="7" spans="1:22" ht="14" x14ac:dyDescent="0.2">
      <c r="A7" s="5" t="s">
        <v>17</v>
      </c>
      <c r="B7" s="17">
        <v>16006</v>
      </c>
      <c r="C7" s="18">
        <v>2004</v>
      </c>
      <c r="D7" s="18">
        <v>226</v>
      </c>
      <c r="E7" s="18">
        <v>106</v>
      </c>
      <c r="F7" s="18">
        <v>8</v>
      </c>
      <c r="G7" s="19">
        <v>100</v>
      </c>
      <c r="H7" s="17">
        <v>15774</v>
      </c>
      <c r="I7" s="18">
        <v>1877</v>
      </c>
      <c r="J7" s="18">
        <v>137</v>
      </c>
      <c r="K7" s="18">
        <v>11</v>
      </c>
      <c r="L7" s="19">
        <v>651</v>
      </c>
      <c r="M7" s="17">
        <v>15058</v>
      </c>
      <c r="N7" s="18">
        <v>1700</v>
      </c>
      <c r="O7" s="18">
        <v>500</v>
      </c>
      <c r="P7" s="18">
        <v>356</v>
      </c>
      <c r="Q7" s="18">
        <v>44</v>
      </c>
      <c r="R7" s="18">
        <v>82</v>
      </c>
      <c r="S7" s="19">
        <v>710</v>
      </c>
      <c r="T7" s="32">
        <f t="shared" si="0"/>
        <v>18342</v>
      </c>
      <c r="U7" s="33">
        <v>0.8726420237705812</v>
      </c>
      <c r="V7" s="33">
        <v>0.10925744193653909</v>
      </c>
    </row>
    <row r="8" spans="1:22" ht="14" x14ac:dyDescent="0.2">
      <c r="A8" s="5" t="s">
        <v>18</v>
      </c>
      <c r="B8" s="17">
        <v>4952</v>
      </c>
      <c r="C8" s="18">
        <v>1274</v>
      </c>
      <c r="D8" s="18">
        <v>101</v>
      </c>
      <c r="E8" s="18">
        <v>60</v>
      </c>
      <c r="F8" s="18">
        <v>1</v>
      </c>
      <c r="G8" s="19">
        <v>58</v>
      </c>
      <c r="H8" s="17">
        <v>5028</v>
      </c>
      <c r="I8" s="18">
        <v>1216</v>
      </c>
      <c r="J8" s="18">
        <v>40</v>
      </c>
      <c r="K8" s="18">
        <v>4</v>
      </c>
      <c r="L8" s="19">
        <v>158</v>
      </c>
      <c r="M8" s="17">
        <v>4703</v>
      </c>
      <c r="N8" s="18">
        <v>1088</v>
      </c>
      <c r="O8" s="18">
        <v>244</v>
      </c>
      <c r="P8" s="18">
        <v>147</v>
      </c>
      <c r="Q8" s="18">
        <v>18</v>
      </c>
      <c r="R8" s="18">
        <v>62</v>
      </c>
      <c r="S8" s="19">
        <v>184</v>
      </c>
      <c r="T8" s="32">
        <f t="shared" si="0"/>
        <v>6387</v>
      </c>
      <c r="U8" s="33">
        <v>0.77532487865977773</v>
      </c>
      <c r="V8" s="33">
        <v>0.19946766870205104</v>
      </c>
    </row>
    <row r="9" spans="1:22" ht="14" x14ac:dyDescent="0.2">
      <c r="A9" s="5" t="s">
        <v>19</v>
      </c>
      <c r="B9" s="17">
        <v>5756</v>
      </c>
      <c r="C9" s="18">
        <v>845</v>
      </c>
      <c r="D9" s="18">
        <v>77</v>
      </c>
      <c r="E9" s="18">
        <v>61</v>
      </c>
      <c r="F9" s="18">
        <v>2</v>
      </c>
      <c r="G9" s="19">
        <v>39</v>
      </c>
      <c r="H9" s="17">
        <v>5699</v>
      </c>
      <c r="I9" s="18">
        <v>802</v>
      </c>
      <c r="J9" s="18">
        <v>52</v>
      </c>
      <c r="K9" s="18">
        <v>3</v>
      </c>
      <c r="L9" s="19">
        <v>224</v>
      </c>
      <c r="M9" s="17">
        <v>5436</v>
      </c>
      <c r="N9" s="18">
        <v>691</v>
      </c>
      <c r="O9" s="18">
        <v>236</v>
      </c>
      <c r="P9" s="18">
        <v>169</v>
      </c>
      <c r="Q9" s="18">
        <v>25</v>
      </c>
      <c r="R9" s="18">
        <v>28</v>
      </c>
      <c r="S9" s="19">
        <v>195</v>
      </c>
      <c r="T9" s="32">
        <f t="shared" si="0"/>
        <v>6739</v>
      </c>
      <c r="U9" s="33">
        <v>0.85413266063214122</v>
      </c>
      <c r="V9" s="33">
        <v>0.12538952366820003</v>
      </c>
    </row>
    <row r="10" spans="1:22" ht="14" x14ac:dyDescent="0.2">
      <c r="A10" s="5" t="s">
        <v>20</v>
      </c>
      <c r="B10" s="17">
        <v>3805</v>
      </c>
      <c r="C10" s="18">
        <v>443</v>
      </c>
      <c r="D10" s="18">
        <v>63</v>
      </c>
      <c r="E10" s="18">
        <v>33</v>
      </c>
      <c r="F10" s="18">
        <v>2</v>
      </c>
      <c r="G10" s="19">
        <v>22</v>
      </c>
      <c r="H10" s="17">
        <v>3817</v>
      </c>
      <c r="I10" s="18">
        <v>393</v>
      </c>
      <c r="J10" s="18">
        <v>34</v>
      </c>
      <c r="K10" s="18">
        <v>5</v>
      </c>
      <c r="L10" s="19">
        <v>119</v>
      </c>
      <c r="M10" s="17">
        <v>3689</v>
      </c>
      <c r="N10" s="18">
        <v>357</v>
      </c>
      <c r="O10" s="18">
        <v>101</v>
      </c>
      <c r="P10" s="18">
        <v>84</v>
      </c>
      <c r="Q10" s="18">
        <v>10</v>
      </c>
      <c r="R10" s="18">
        <v>30</v>
      </c>
      <c r="S10" s="19">
        <v>97</v>
      </c>
      <c r="T10" s="32">
        <f t="shared" si="0"/>
        <v>4344</v>
      </c>
      <c r="U10" s="33">
        <v>0.87592081031307556</v>
      </c>
      <c r="V10" s="33">
        <v>0.10197974217311234</v>
      </c>
    </row>
    <row r="11" spans="1:22" ht="14" x14ac:dyDescent="0.2">
      <c r="A11" s="5" t="s">
        <v>21</v>
      </c>
      <c r="B11" s="17">
        <v>11552</v>
      </c>
      <c r="C11" s="18">
        <v>5179</v>
      </c>
      <c r="D11" s="18">
        <v>329</v>
      </c>
      <c r="E11" s="18">
        <v>196</v>
      </c>
      <c r="F11" s="18">
        <v>5</v>
      </c>
      <c r="G11" s="19">
        <v>135</v>
      </c>
      <c r="H11" s="17">
        <v>11930</v>
      </c>
      <c r="I11" s="18">
        <v>4823</v>
      </c>
      <c r="J11" s="18">
        <v>117</v>
      </c>
      <c r="K11" s="18">
        <v>5</v>
      </c>
      <c r="L11" s="19">
        <v>521</v>
      </c>
      <c r="M11" s="17">
        <v>11258</v>
      </c>
      <c r="N11" s="18">
        <v>4369</v>
      </c>
      <c r="O11" s="18">
        <v>660</v>
      </c>
      <c r="P11" s="18">
        <v>269</v>
      </c>
      <c r="Q11" s="18">
        <v>108</v>
      </c>
      <c r="R11" s="18">
        <v>108</v>
      </c>
      <c r="S11" s="19">
        <v>624</v>
      </c>
      <c r="T11" s="32">
        <f t="shared" si="0"/>
        <v>17256</v>
      </c>
      <c r="U11" s="33">
        <v>0.6694483078349559</v>
      </c>
      <c r="V11" s="33">
        <v>0.30012749188687993</v>
      </c>
    </row>
    <row r="12" spans="1:22" ht="14" x14ac:dyDescent="0.2">
      <c r="A12" s="5" t="s">
        <v>22</v>
      </c>
      <c r="B12" s="17">
        <v>4893</v>
      </c>
      <c r="C12" s="18">
        <v>1156</v>
      </c>
      <c r="D12" s="18">
        <v>85</v>
      </c>
      <c r="E12" s="18">
        <v>40</v>
      </c>
      <c r="F12" s="18">
        <v>4</v>
      </c>
      <c r="G12" s="19">
        <v>36</v>
      </c>
      <c r="H12" s="17">
        <v>5066</v>
      </c>
      <c r="I12" s="18">
        <v>1011</v>
      </c>
      <c r="J12" s="18">
        <v>26</v>
      </c>
      <c r="K12" s="18">
        <v>2</v>
      </c>
      <c r="L12" s="19">
        <v>109</v>
      </c>
      <c r="M12" s="17">
        <v>4876</v>
      </c>
      <c r="N12" s="18">
        <v>938</v>
      </c>
      <c r="O12" s="18">
        <v>133</v>
      </c>
      <c r="P12" s="18">
        <v>98</v>
      </c>
      <c r="Q12" s="18">
        <v>40</v>
      </c>
      <c r="R12" s="18">
        <v>20</v>
      </c>
      <c r="S12" s="19">
        <v>109</v>
      </c>
      <c r="T12" s="32">
        <f t="shared" si="0"/>
        <v>6174</v>
      </c>
      <c r="U12" s="33">
        <v>0.79251700680272108</v>
      </c>
      <c r="V12" s="33">
        <v>0.18723679948169744</v>
      </c>
    </row>
    <row r="13" spans="1:22" ht="14" x14ac:dyDescent="0.2">
      <c r="A13" s="5" t="s">
        <v>23</v>
      </c>
      <c r="B13" s="17">
        <v>2082</v>
      </c>
      <c r="C13" s="18">
        <v>488</v>
      </c>
      <c r="D13" s="18">
        <v>34</v>
      </c>
      <c r="E13" s="18">
        <v>16</v>
      </c>
      <c r="F13" s="18">
        <v>2</v>
      </c>
      <c r="G13" s="19">
        <v>21</v>
      </c>
      <c r="H13" s="17">
        <v>2140</v>
      </c>
      <c r="I13" s="18">
        <v>436</v>
      </c>
      <c r="J13" s="18">
        <v>13</v>
      </c>
      <c r="K13" s="18">
        <v>0</v>
      </c>
      <c r="L13" s="19">
        <v>54</v>
      </c>
      <c r="M13" s="17">
        <v>2022</v>
      </c>
      <c r="N13" s="18">
        <v>400</v>
      </c>
      <c r="O13" s="18">
        <v>71</v>
      </c>
      <c r="P13" s="18">
        <v>59</v>
      </c>
      <c r="Q13" s="18">
        <v>9</v>
      </c>
      <c r="R13" s="18">
        <v>16</v>
      </c>
      <c r="S13" s="19">
        <v>66</v>
      </c>
      <c r="T13" s="32">
        <f t="shared" si="0"/>
        <v>2620</v>
      </c>
      <c r="U13" s="33">
        <v>0.79465648854961835</v>
      </c>
      <c r="V13" s="33">
        <v>0.18625954198473282</v>
      </c>
    </row>
    <row r="14" spans="1:22" ht="14" x14ac:dyDescent="0.2">
      <c r="A14" s="5" t="s">
        <v>24</v>
      </c>
      <c r="B14" s="17">
        <v>3936</v>
      </c>
      <c r="C14" s="18">
        <v>847</v>
      </c>
      <c r="D14" s="18">
        <v>68</v>
      </c>
      <c r="E14" s="18">
        <v>47</v>
      </c>
      <c r="F14" s="18">
        <v>1</v>
      </c>
      <c r="G14" s="19">
        <v>56</v>
      </c>
      <c r="H14" s="17">
        <v>4063</v>
      </c>
      <c r="I14" s="18">
        <v>727</v>
      </c>
      <c r="J14" s="18">
        <v>38</v>
      </c>
      <c r="K14" s="18">
        <v>2</v>
      </c>
      <c r="L14" s="19">
        <v>125</v>
      </c>
      <c r="M14" s="17">
        <v>3835</v>
      </c>
      <c r="N14" s="18">
        <v>714</v>
      </c>
      <c r="O14" s="18">
        <v>136</v>
      </c>
      <c r="P14" s="18">
        <v>74</v>
      </c>
      <c r="Q14" s="18">
        <v>29</v>
      </c>
      <c r="R14" s="18">
        <v>25</v>
      </c>
      <c r="S14" s="19">
        <v>142</v>
      </c>
      <c r="T14" s="32">
        <f t="shared" si="0"/>
        <v>4898</v>
      </c>
      <c r="U14" s="33">
        <v>0.80359330338913837</v>
      </c>
      <c r="V14" s="33">
        <v>0.17292772560228664</v>
      </c>
    </row>
    <row r="15" spans="1:22" ht="14" x14ac:dyDescent="0.2">
      <c r="A15" s="5" t="s">
        <v>25</v>
      </c>
      <c r="B15" s="17">
        <v>28063</v>
      </c>
      <c r="C15" s="18">
        <v>14153</v>
      </c>
      <c r="D15" s="18">
        <v>683</v>
      </c>
      <c r="E15" s="18">
        <v>463</v>
      </c>
      <c r="F15" s="18">
        <v>4</v>
      </c>
      <c r="G15" s="19">
        <v>241</v>
      </c>
      <c r="H15" s="17">
        <v>29648</v>
      </c>
      <c r="I15" s="18">
        <v>13092</v>
      </c>
      <c r="J15" s="18">
        <v>371</v>
      </c>
      <c r="K15" s="18">
        <v>6</v>
      </c>
      <c r="L15" s="19">
        <v>490</v>
      </c>
      <c r="M15" s="17">
        <v>27090</v>
      </c>
      <c r="N15" s="18">
        <v>12893</v>
      </c>
      <c r="O15" s="18">
        <v>1610</v>
      </c>
      <c r="P15" s="18">
        <v>990</v>
      </c>
      <c r="Q15" s="18">
        <v>324</v>
      </c>
      <c r="R15" s="18">
        <v>55</v>
      </c>
      <c r="S15" s="19">
        <v>645</v>
      </c>
      <c r="T15" s="32">
        <f t="shared" si="0"/>
        <v>43362</v>
      </c>
      <c r="U15" s="33">
        <v>0.64717955813846229</v>
      </c>
      <c r="V15" s="33">
        <v>0.32639177159725102</v>
      </c>
    </row>
    <row r="16" spans="1:22" ht="14" x14ac:dyDescent="0.2">
      <c r="A16" s="5" t="s">
        <v>26</v>
      </c>
      <c r="B16" s="17">
        <v>8957</v>
      </c>
      <c r="C16" s="18">
        <v>1623</v>
      </c>
      <c r="D16" s="18">
        <v>151</v>
      </c>
      <c r="E16" s="18">
        <v>109</v>
      </c>
      <c r="F16" s="18">
        <v>4</v>
      </c>
      <c r="G16" s="19">
        <v>96</v>
      </c>
      <c r="H16" s="17">
        <v>9077</v>
      </c>
      <c r="I16" s="18">
        <v>1480</v>
      </c>
      <c r="J16" s="18">
        <v>64</v>
      </c>
      <c r="K16" s="18">
        <v>4</v>
      </c>
      <c r="L16" s="19">
        <v>315</v>
      </c>
      <c r="M16" s="17">
        <v>8712</v>
      </c>
      <c r="N16" s="18">
        <v>1365</v>
      </c>
      <c r="O16" s="18">
        <v>282</v>
      </c>
      <c r="P16" s="18">
        <v>195</v>
      </c>
      <c r="Q16" s="18">
        <v>45</v>
      </c>
      <c r="R16" s="18">
        <v>55</v>
      </c>
      <c r="S16" s="19">
        <v>286</v>
      </c>
      <c r="T16" s="32">
        <f t="shared" si="0"/>
        <v>10840</v>
      </c>
      <c r="U16" s="33">
        <v>0.82629151291512914</v>
      </c>
      <c r="V16" s="33">
        <v>0.14972324723247232</v>
      </c>
    </row>
    <row r="17" spans="1:22" ht="14" x14ac:dyDescent="0.2">
      <c r="A17" s="5" t="s">
        <v>27</v>
      </c>
      <c r="B17" s="17">
        <v>24671</v>
      </c>
      <c r="C17" s="18">
        <v>8337</v>
      </c>
      <c r="D17" s="18">
        <v>583</v>
      </c>
      <c r="E17" s="18">
        <v>330</v>
      </c>
      <c r="F17" s="18">
        <v>10</v>
      </c>
      <c r="G17" s="19">
        <v>275</v>
      </c>
      <c r="H17" s="17">
        <v>25240</v>
      </c>
      <c r="I17" s="18">
        <v>7674</v>
      </c>
      <c r="J17" s="18">
        <v>342</v>
      </c>
      <c r="K17" s="18">
        <v>17</v>
      </c>
      <c r="L17" s="19">
        <v>933</v>
      </c>
      <c r="M17" s="17">
        <v>23396</v>
      </c>
      <c r="N17" s="18">
        <v>7090</v>
      </c>
      <c r="O17" s="18">
        <v>1324</v>
      </c>
      <c r="P17" s="18">
        <v>634</v>
      </c>
      <c r="Q17" s="18">
        <v>206</v>
      </c>
      <c r="R17" s="18">
        <v>279</v>
      </c>
      <c r="S17" s="19">
        <v>1277</v>
      </c>
      <c r="T17" s="32">
        <f t="shared" si="0"/>
        <v>33921</v>
      </c>
      <c r="U17" s="33">
        <v>0.72730756758350279</v>
      </c>
      <c r="V17" s="33">
        <v>0.2457769523304148</v>
      </c>
    </row>
    <row r="18" spans="1:22" ht="14" x14ac:dyDescent="0.2">
      <c r="A18" s="5" t="s">
        <v>28</v>
      </c>
      <c r="B18" s="17">
        <v>1108</v>
      </c>
      <c r="C18" s="18">
        <v>112</v>
      </c>
      <c r="D18" s="18">
        <v>10</v>
      </c>
      <c r="E18" s="18">
        <v>4</v>
      </c>
      <c r="F18" s="18">
        <v>2</v>
      </c>
      <c r="G18" s="19">
        <v>8</v>
      </c>
      <c r="H18" s="17">
        <v>1073</v>
      </c>
      <c r="I18" s="18">
        <v>118</v>
      </c>
      <c r="J18" s="18">
        <v>2</v>
      </c>
      <c r="K18" s="18">
        <v>0</v>
      </c>
      <c r="L18" s="19">
        <v>51</v>
      </c>
      <c r="M18" s="17">
        <v>1080</v>
      </c>
      <c r="N18" s="18">
        <v>79</v>
      </c>
      <c r="O18" s="18">
        <v>31</v>
      </c>
      <c r="P18" s="18">
        <v>16</v>
      </c>
      <c r="Q18" s="18">
        <v>5</v>
      </c>
      <c r="R18" s="18">
        <v>8</v>
      </c>
      <c r="S18" s="19">
        <v>25</v>
      </c>
      <c r="T18" s="32">
        <f t="shared" si="0"/>
        <v>1234</v>
      </c>
      <c r="U18" s="33">
        <v>0.89789303079416527</v>
      </c>
      <c r="V18" s="33">
        <v>9.0761750405186387E-2</v>
      </c>
    </row>
    <row r="19" spans="1:22" ht="14" x14ac:dyDescent="0.2">
      <c r="A19" s="5" t="s">
        <v>29</v>
      </c>
      <c r="B19" s="17">
        <v>13084</v>
      </c>
      <c r="C19" s="18">
        <v>3259</v>
      </c>
      <c r="D19" s="18">
        <v>232</v>
      </c>
      <c r="E19" s="18">
        <v>168</v>
      </c>
      <c r="F19" s="18">
        <v>3</v>
      </c>
      <c r="G19" s="19">
        <v>130</v>
      </c>
      <c r="H19" s="17">
        <v>13343</v>
      </c>
      <c r="I19" s="18">
        <v>2790</v>
      </c>
      <c r="J19" s="18">
        <v>154</v>
      </c>
      <c r="K19" s="18">
        <v>18</v>
      </c>
      <c r="L19" s="19">
        <v>571</v>
      </c>
      <c r="M19" s="17">
        <v>12620</v>
      </c>
      <c r="N19" s="18">
        <v>2677</v>
      </c>
      <c r="O19" s="18">
        <v>487</v>
      </c>
      <c r="P19" s="18">
        <v>262</v>
      </c>
      <c r="Q19" s="18">
        <v>128</v>
      </c>
      <c r="R19" s="18">
        <v>137</v>
      </c>
      <c r="S19" s="19">
        <v>565</v>
      </c>
      <c r="T19" s="32">
        <f t="shared" si="0"/>
        <v>16743</v>
      </c>
      <c r="U19" s="33">
        <v>0.78146090903661236</v>
      </c>
      <c r="V19" s="33">
        <v>0.19464850982500148</v>
      </c>
    </row>
    <row r="20" spans="1:22" ht="14" x14ac:dyDescent="0.2">
      <c r="A20" s="5" t="s">
        <v>30</v>
      </c>
      <c r="B20" s="17">
        <v>3874</v>
      </c>
      <c r="C20" s="18">
        <v>780</v>
      </c>
      <c r="D20" s="18">
        <v>73</v>
      </c>
      <c r="E20" s="18">
        <v>38</v>
      </c>
      <c r="F20" s="18">
        <v>2</v>
      </c>
      <c r="G20" s="19">
        <v>38</v>
      </c>
      <c r="H20" s="17">
        <v>3924</v>
      </c>
      <c r="I20" s="18">
        <v>747</v>
      </c>
      <c r="J20" s="18">
        <v>33</v>
      </c>
      <c r="K20" s="18">
        <v>1</v>
      </c>
      <c r="L20" s="19">
        <v>100</v>
      </c>
      <c r="M20" s="17">
        <v>3783</v>
      </c>
      <c r="N20" s="18">
        <v>682</v>
      </c>
      <c r="O20" s="18">
        <v>91</v>
      </c>
      <c r="P20" s="18">
        <v>108</v>
      </c>
      <c r="Q20" s="18">
        <v>26</v>
      </c>
      <c r="R20" s="18">
        <v>35</v>
      </c>
      <c r="S20" s="19">
        <v>80</v>
      </c>
      <c r="T20" s="32">
        <f t="shared" si="0"/>
        <v>4765</v>
      </c>
      <c r="U20" s="33">
        <v>0.81301154249737673</v>
      </c>
      <c r="V20" s="33">
        <v>0.16369359916054566</v>
      </c>
    </row>
    <row r="21" spans="1:22" ht="14" x14ac:dyDescent="0.2">
      <c r="A21" s="5" t="s">
        <v>31</v>
      </c>
      <c r="B21" s="17">
        <v>12041</v>
      </c>
      <c r="C21" s="18">
        <v>3920</v>
      </c>
      <c r="D21" s="18">
        <v>258</v>
      </c>
      <c r="E21" s="18">
        <v>206</v>
      </c>
      <c r="F21" s="18">
        <v>5</v>
      </c>
      <c r="G21" s="19">
        <v>147</v>
      </c>
      <c r="H21" s="17">
        <v>12580</v>
      </c>
      <c r="I21" s="18">
        <v>3438</v>
      </c>
      <c r="J21" s="18">
        <v>136</v>
      </c>
      <c r="K21" s="18">
        <v>2</v>
      </c>
      <c r="L21" s="19">
        <v>421</v>
      </c>
      <c r="M21" s="17">
        <v>11647</v>
      </c>
      <c r="N21" s="18">
        <v>3380</v>
      </c>
      <c r="O21" s="18">
        <v>547</v>
      </c>
      <c r="P21" s="18">
        <v>275</v>
      </c>
      <c r="Q21" s="18">
        <v>106</v>
      </c>
      <c r="R21" s="18">
        <v>119</v>
      </c>
      <c r="S21" s="19">
        <v>503</v>
      </c>
      <c r="T21" s="32">
        <f t="shared" si="0"/>
        <v>16425</v>
      </c>
      <c r="U21" s="33">
        <v>0.73308980213089803</v>
      </c>
      <c r="V21" s="33">
        <v>0.23866057838660579</v>
      </c>
    </row>
    <row r="22" spans="1:22" ht="14" x14ac:dyDescent="0.2">
      <c r="A22" s="5" t="s">
        <v>32</v>
      </c>
      <c r="B22" s="17">
        <v>3905</v>
      </c>
      <c r="C22" s="18">
        <v>920</v>
      </c>
      <c r="D22" s="18">
        <v>60</v>
      </c>
      <c r="E22" s="18">
        <v>39</v>
      </c>
      <c r="F22" s="18">
        <v>1</v>
      </c>
      <c r="G22" s="19">
        <v>47</v>
      </c>
      <c r="H22" s="17">
        <v>4007</v>
      </c>
      <c r="I22" s="18">
        <v>779</v>
      </c>
      <c r="J22" s="18">
        <v>43</v>
      </c>
      <c r="K22" s="18">
        <v>1</v>
      </c>
      <c r="L22" s="19">
        <v>142</v>
      </c>
      <c r="M22" s="17">
        <v>3770</v>
      </c>
      <c r="N22" s="18">
        <v>748</v>
      </c>
      <c r="O22" s="18">
        <v>159</v>
      </c>
      <c r="P22" s="18">
        <v>80</v>
      </c>
      <c r="Q22" s="18">
        <v>42</v>
      </c>
      <c r="R22" s="18">
        <v>18</v>
      </c>
      <c r="S22" s="19">
        <v>155</v>
      </c>
      <c r="T22" s="32">
        <f t="shared" si="0"/>
        <v>4924</v>
      </c>
      <c r="U22" s="33">
        <v>0.79305442729488218</v>
      </c>
      <c r="V22" s="33">
        <v>0.18683996750609261</v>
      </c>
    </row>
    <row r="23" spans="1:22" ht="14" x14ac:dyDescent="0.2">
      <c r="A23" s="5" t="s">
        <v>33</v>
      </c>
      <c r="B23" s="17">
        <v>12541</v>
      </c>
      <c r="C23" s="18">
        <v>3731</v>
      </c>
      <c r="D23" s="18">
        <v>297</v>
      </c>
      <c r="E23" s="18">
        <v>129</v>
      </c>
      <c r="F23" s="18">
        <v>5</v>
      </c>
      <c r="G23" s="19">
        <v>116</v>
      </c>
      <c r="H23" s="17">
        <v>12724</v>
      </c>
      <c r="I23" s="18">
        <v>3550</v>
      </c>
      <c r="J23" s="18">
        <v>77</v>
      </c>
      <c r="K23" s="18">
        <v>8</v>
      </c>
      <c r="L23" s="19">
        <v>460</v>
      </c>
      <c r="M23" s="17">
        <v>11588</v>
      </c>
      <c r="N23" s="18">
        <v>3196</v>
      </c>
      <c r="O23" s="18">
        <v>690</v>
      </c>
      <c r="P23" s="18">
        <v>549</v>
      </c>
      <c r="Q23" s="18">
        <v>53</v>
      </c>
      <c r="R23" s="18">
        <v>122</v>
      </c>
      <c r="S23" s="19">
        <v>621</v>
      </c>
      <c r="T23" s="32">
        <f t="shared" si="0"/>
        <v>16698</v>
      </c>
      <c r="U23" s="33">
        <v>0.75104802970415618</v>
      </c>
      <c r="V23" s="33">
        <v>0.22343993292609893</v>
      </c>
    </row>
    <row r="24" spans="1:22" ht="14" x14ac:dyDescent="0.2">
      <c r="A24" s="5" t="s">
        <v>34</v>
      </c>
      <c r="B24" s="17">
        <v>4134</v>
      </c>
      <c r="C24" s="18">
        <v>8748</v>
      </c>
      <c r="D24" s="18">
        <v>195</v>
      </c>
      <c r="E24" s="18">
        <v>209</v>
      </c>
      <c r="F24" s="18">
        <v>1</v>
      </c>
      <c r="G24" s="19">
        <v>137</v>
      </c>
      <c r="H24" s="17">
        <v>5083</v>
      </c>
      <c r="I24" s="18">
        <v>7885</v>
      </c>
      <c r="J24" s="18">
        <v>91</v>
      </c>
      <c r="K24" s="18">
        <v>3</v>
      </c>
      <c r="L24" s="19">
        <v>362</v>
      </c>
      <c r="M24" s="17">
        <v>4148</v>
      </c>
      <c r="N24" s="18">
        <v>7919</v>
      </c>
      <c r="O24" s="18">
        <v>512</v>
      </c>
      <c r="P24" s="18">
        <v>110</v>
      </c>
      <c r="Q24" s="18">
        <v>105</v>
      </c>
      <c r="R24" s="18">
        <v>146</v>
      </c>
      <c r="S24" s="19">
        <v>484</v>
      </c>
      <c r="T24" s="32">
        <f t="shared" si="0"/>
        <v>13286</v>
      </c>
      <c r="U24" s="33">
        <v>0.31115459882583169</v>
      </c>
      <c r="V24" s="33">
        <v>0.65843745295800093</v>
      </c>
    </row>
    <row r="25" spans="1:22" ht="14" x14ac:dyDescent="0.2">
      <c r="A25" s="5" t="s">
        <v>35</v>
      </c>
      <c r="B25" s="17">
        <v>7282</v>
      </c>
      <c r="C25" s="18">
        <v>1561</v>
      </c>
      <c r="D25" s="18">
        <v>141</v>
      </c>
      <c r="E25" s="18">
        <v>105</v>
      </c>
      <c r="F25" s="18">
        <v>4</v>
      </c>
      <c r="G25" s="19">
        <v>77</v>
      </c>
      <c r="H25" s="17">
        <v>7310</v>
      </c>
      <c r="I25" s="18">
        <v>1478</v>
      </c>
      <c r="J25" s="18">
        <v>53</v>
      </c>
      <c r="K25" s="18">
        <v>1</v>
      </c>
      <c r="L25" s="19">
        <v>328</v>
      </c>
      <c r="M25" s="17">
        <v>6811</v>
      </c>
      <c r="N25" s="18">
        <v>1314</v>
      </c>
      <c r="O25" s="18">
        <v>267</v>
      </c>
      <c r="P25" s="18">
        <v>334</v>
      </c>
      <c r="Q25" s="18">
        <v>33</v>
      </c>
      <c r="R25" s="18">
        <v>51</v>
      </c>
      <c r="S25" s="19">
        <v>360</v>
      </c>
      <c r="T25" s="32">
        <f t="shared" si="0"/>
        <v>9089</v>
      </c>
      <c r="U25" s="33">
        <v>0.80118824953240175</v>
      </c>
      <c r="V25" s="33">
        <v>0.17174606667400155</v>
      </c>
    </row>
    <row r="26" spans="1:22" ht="14" x14ac:dyDescent="0.2">
      <c r="A26" s="5" t="s">
        <v>36</v>
      </c>
      <c r="B26" s="17">
        <v>3125</v>
      </c>
      <c r="C26" s="18">
        <v>656</v>
      </c>
      <c r="D26" s="18">
        <v>60</v>
      </c>
      <c r="E26" s="18">
        <v>36</v>
      </c>
      <c r="F26" s="18">
        <v>0</v>
      </c>
      <c r="G26" s="19">
        <v>40</v>
      </c>
      <c r="H26" s="17">
        <v>3207</v>
      </c>
      <c r="I26" s="18">
        <v>588</v>
      </c>
      <c r="J26" s="18">
        <v>26</v>
      </c>
      <c r="K26" s="18">
        <v>1</v>
      </c>
      <c r="L26" s="19">
        <v>95</v>
      </c>
      <c r="M26" s="17">
        <v>3047</v>
      </c>
      <c r="N26" s="18">
        <v>548</v>
      </c>
      <c r="O26" s="18">
        <v>135</v>
      </c>
      <c r="P26" s="18">
        <v>63</v>
      </c>
      <c r="Q26" s="18">
        <v>10</v>
      </c>
      <c r="R26" s="18">
        <v>17</v>
      </c>
      <c r="S26" s="19">
        <v>97</v>
      </c>
      <c r="T26" s="32">
        <f t="shared" si="0"/>
        <v>3877</v>
      </c>
      <c r="U26" s="33">
        <v>0.80603559453185447</v>
      </c>
      <c r="V26" s="33">
        <v>0.16920299200412689</v>
      </c>
    </row>
    <row r="27" spans="1:22" ht="14" x14ac:dyDescent="0.2">
      <c r="A27" s="5" t="s">
        <v>37</v>
      </c>
      <c r="B27" s="20">
        <v>3069</v>
      </c>
      <c r="C27" s="21">
        <v>378</v>
      </c>
      <c r="D27" s="21">
        <v>47</v>
      </c>
      <c r="E27" s="21">
        <v>18</v>
      </c>
      <c r="F27" s="21">
        <v>1</v>
      </c>
      <c r="G27" s="22">
        <v>20</v>
      </c>
      <c r="H27" s="20">
        <v>3026</v>
      </c>
      <c r="I27" s="21">
        <v>375</v>
      </c>
      <c r="J27" s="21">
        <v>15</v>
      </c>
      <c r="K27" s="21">
        <v>1</v>
      </c>
      <c r="L27" s="22">
        <v>116</v>
      </c>
      <c r="M27" s="20">
        <v>2908</v>
      </c>
      <c r="N27" s="21">
        <v>309</v>
      </c>
      <c r="O27" s="21">
        <v>103</v>
      </c>
      <c r="P27" s="21">
        <v>75</v>
      </c>
      <c r="Q27" s="21">
        <v>10</v>
      </c>
      <c r="R27" s="21">
        <v>23</v>
      </c>
      <c r="S27" s="22">
        <v>105</v>
      </c>
      <c r="T27" s="32">
        <f t="shared" si="0"/>
        <v>3512</v>
      </c>
      <c r="U27" s="33">
        <v>0.87386104783599083</v>
      </c>
      <c r="V27" s="33">
        <v>0.10763097949886105</v>
      </c>
    </row>
    <row r="28" spans="1:22" ht="19.5" customHeight="1" x14ac:dyDescent="0.2">
      <c r="A28" s="23" t="s">
        <v>38</v>
      </c>
      <c r="B28" s="24">
        <v>192633</v>
      </c>
      <c r="C28" s="25">
        <v>69527</v>
      </c>
      <c r="D28" s="25">
        <v>4193</v>
      </c>
      <c r="E28" s="25">
        <v>2695</v>
      </c>
      <c r="F28" s="25">
        <v>76</v>
      </c>
      <c r="G28" s="26">
        <v>1999</v>
      </c>
      <c r="H28" s="27">
        <v>198418</v>
      </c>
      <c r="I28" s="25">
        <v>63727</v>
      </c>
      <c r="J28" s="25">
        <v>2017</v>
      </c>
      <c r="K28" s="25">
        <v>101</v>
      </c>
      <c r="L28" s="25">
        <v>6860</v>
      </c>
      <c r="M28" s="24">
        <v>184680</v>
      </c>
      <c r="N28" s="25">
        <v>60778</v>
      </c>
      <c r="O28" s="25">
        <v>9223</v>
      </c>
      <c r="P28" s="25">
        <v>5362</v>
      </c>
      <c r="Q28" s="25">
        <v>1505</v>
      </c>
      <c r="R28" s="25">
        <v>1576</v>
      </c>
      <c r="S28" s="26">
        <v>7999</v>
      </c>
    </row>
    <row r="29" spans="1:22" ht="14" x14ac:dyDescent="0.2"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spans="1:22" ht="14" x14ac:dyDescent="0.2">
      <c r="A30" s="29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1:22" ht="14" x14ac:dyDescent="0.2">
      <c r="A31" s="30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22" ht="14" x14ac:dyDescent="0.2">
      <c r="A32" s="31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  <row r="33" spans="1:19" ht="14" x14ac:dyDescent="0.2">
      <c r="A33" s="31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</row>
    <row r="34" spans="1:19" ht="14" x14ac:dyDescent="0.2">
      <c r="A34" s="31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</row>
    <row r="35" spans="1:19" ht="14" x14ac:dyDescent="0.2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</row>
    <row r="36" spans="1:19" ht="14" x14ac:dyDescent="0.2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</row>
    <row r="37" spans="1:19" ht="14" x14ac:dyDescent="0.2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</row>
    <row r="38" spans="1:19" ht="14" x14ac:dyDescent="0.2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</row>
    <row r="39" spans="1:19" ht="14" x14ac:dyDescent="0.2"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</row>
    <row r="40" spans="1:19" ht="14" x14ac:dyDescent="0.2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</row>
    <row r="41" spans="1:19" ht="14" x14ac:dyDescent="0.2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</row>
    <row r="42" spans="1:19" ht="14" x14ac:dyDescent="0.2"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</row>
    <row r="43" spans="1:19" ht="14" x14ac:dyDescent="0.2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</row>
    <row r="44" spans="1:19" ht="14" x14ac:dyDescent="0.2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</row>
    <row r="45" spans="1:19" ht="14" x14ac:dyDescent="0.2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</row>
    <row r="46" spans="1:19" ht="14" x14ac:dyDescent="0.2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</row>
    <row r="47" spans="1:19" ht="14" x14ac:dyDescent="0.2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</row>
    <row r="48" spans="1:19" ht="14" x14ac:dyDescent="0.2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</row>
    <row r="49" spans="2:19" ht="14" x14ac:dyDescent="0.2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</row>
    <row r="50" spans="2:19" ht="14" x14ac:dyDescent="0.2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</row>
    <row r="51" spans="2:19" ht="14" x14ac:dyDescent="0.2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</row>
    <row r="52" spans="2:19" ht="14" x14ac:dyDescent="0.2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</row>
    <row r="53" spans="2:19" ht="14" x14ac:dyDescent="0.2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</row>
    <row r="54" spans="2:19" ht="14" x14ac:dyDescent="0.2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</row>
    <row r="55" spans="2:19" ht="14" x14ac:dyDescent="0.2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</row>
    <row r="56" spans="2:19" ht="14" x14ac:dyDescent="0.2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</row>
    <row r="57" spans="2:19" ht="14" x14ac:dyDescent="0.2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</row>
    <row r="58" spans="2:19" ht="14" x14ac:dyDescent="0.2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</row>
    <row r="59" spans="2:19" ht="14" x14ac:dyDescent="0.2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</row>
    <row r="60" spans="2:19" ht="14" x14ac:dyDescent="0.2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</row>
    <row r="61" spans="2:19" ht="14" x14ac:dyDescent="0.2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</row>
    <row r="62" spans="2:19" ht="14" x14ac:dyDescent="0.2"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</row>
    <row r="63" spans="2:19" ht="14" x14ac:dyDescent="0.2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</row>
    <row r="64" spans="2:19" ht="14" x14ac:dyDescent="0.2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</row>
    <row r="65" spans="2:19" ht="14" x14ac:dyDescent="0.2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</row>
    <row r="66" spans="2:19" ht="14" x14ac:dyDescent="0.2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</row>
    <row r="67" spans="2:19" ht="14" x14ac:dyDescent="0.2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</row>
    <row r="68" spans="2:19" ht="14" x14ac:dyDescent="0.2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</row>
    <row r="69" spans="2:19" ht="14" x14ac:dyDescent="0.2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</row>
    <row r="70" spans="2:19" ht="14" x14ac:dyDescent="0.2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</row>
    <row r="71" spans="2:19" ht="14" x14ac:dyDescent="0.2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</row>
    <row r="72" spans="2:19" ht="14" x14ac:dyDescent="0.2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</row>
    <row r="73" spans="2:19" ht="14" x14ac:dyDescent="0.2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</row>
    <row r="74" spans="2:19" ht="14" x14ac:dyDescent="0.2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</row>
    <row r="75" spans="2:19" ht="14" x14ac:dyDescent="0.2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</row>
    <row r="76" spans="2:19" ht="14" x14ac:dyDescent="0.2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</row>
    <row r="77" spans="2:19" ht="14" x14ac:dyDescent="0.2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</row>
    <row r="78" spans="2:19" ht="14" x14ac:dyDescent="0.2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</row>
    <row r="79" spans="2:19" ht="14" x14ac:dyDescent="0.2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</row>
    <row r="80" spans="2:19" ht="14" x14ac:dyDescent="0.2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</row>
    <row r="81" spans="2:19" ht="14" x14ac:dyDescent="0.2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</row>
    <row r="82" spans="2:19" ht="14" x14ac:dyDescent="0.2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</row>
    <row r="83" spans="2:19" ht="14" x14ac:dyDescent="0.2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</row>
    <row r="84" spans="2:19" ht="14" x14ac:dyDescent="0.2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</row>
    <row r="85" spans="2:19" ht="14" x14ac:dyDescent="0.2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</row>
    <row r="86" spans="2:19" ht="14" x14ac:dyDescent="0.2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</row>
    <row r="87" spans="2:19" ht="14" x14ac:dyDescent="0.2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</row>
    <row r="88" spans="2:19" ht="14" x14ac:dyDescent="0.2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</row>
    <row r="89" spans="2:19" ht="14" x14ac:dyDescent="0.2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</row>
    <row r="90" spans="2:19" ht="14" x14ac:dyDescent="0.2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</row>
    <row r="91" spans="2:19" ht="14" x14ac:dyDescent="0.2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</row>
    <row r="92" spans="2:19" ht="14" x14ac:dyDescent="0.2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</row>
    <row r="93" spans="2:19" ht="14" x14ac:dyDescent="0.2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</row>
    <row r="94" spans="2:19" ht="14" x14ac:dyDescent="0.2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</row>
    <row r="95" spans="2:19" ht="14" x14ac:dyDescent="0.2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</row>
    <row r="96" spans="2:19" ht="14" x14ac:dyDescent="0.2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</row>
    <row r="97" spans="2:19" ht="14" x14ac:dyDescent="0.2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</row>
    <row r="98" spans="2:19" ht="14" x14ac:dyDescent="0.2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</row>
    <row r="99" spans="2:19" ht="14" x14ac:dyDescent="0.2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</row>
    <row r="100" spans="2:19" ht="14" x14ac:dyDescent="0.2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</row>
    <row r="101" spans="2:19" ht="14" x14ac:dyDescent="0.2"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</row>
    <row r="102" spans="2:19" ht="14" x14ac:dyDescent="0.2"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</row>
    <row r="103" spans="2:19" ht="14" x14ac:dyDescent="0.2"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</row>
    <row r="104" spans="2:19" ht="14" x14ac:dyDescent="0.2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</row>
    <row r="105" spans="2:19" ht="14" x14ac:dyDescent="0.2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</row>
    <row r="106" spans="2:19" ht="14" x14ac:dyDescent="0.2"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</row>
    <row r="107" spans="2:19" ht="14" x14ac:dyDescent="0.2"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</row>
    <row r="108" spans="2:19" ht="14" x14ac:dyDescent="0.2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</row>
    <row r="109" spans="2:19" ht="14" x14ac:dyDescent="0.2"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</row>
    <row r="110" spans="2:19" ht="14" x14ac:dyDescent="0.2"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</row>
    <row r="111" spans="2:19" ht="14" x14ac:dyDescent="0.2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</row>
    <row r="112" spans="2:19" ht="14" x14ac:dyDescent="0.2"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</row>
    <row r="113" spans="2:19" ht="14" x14ac:dyDescent="0.2"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</row>
    <row r="114" spans="2:19" ht="14" x14ac:dyDescent="0.2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</row>
    <row r="115" spans="2:19" ht="14" x14ac:dyDescent="0.2"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</row>
    <row r="116" spans="2:19" ht="14" x14ac:dyDescent="0.2"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</row>
    <row r="117" spans="2:19" ht="14" x14ac:dyDescent="0.2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</row>
    <row r="118" spans="2:19" ht="14" x14ac:dyDescent="0.2"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</row>
    <row r="119" spans="2:19" ht="14" x14ac:dyDescent="0.2"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</row>
    <row r="120" spans="2:19" ht="14" x14ac:dyDescent="0.2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</row>
    <row r="121" spans="2:19" ht="14" x14ac:dyDescent="0.2"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</row>
    <row r="122" spans="2:19" ht="14" x14ac:dyDescent="0.2"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</row>
    <row r="123" spans="2:19" ht="14" x14ac:dyDescent="0.2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</row>
    <row r="124" spans="2:19" ht="14" x14ac:dyDescent="0.2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</row>
    <row r="125" spans="2:19" ht="14" x14ac:dyDescent="0.2"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</row>
    <row r="126" spans="2:19" ht="14" x14ac:dyDescent="0.2"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</row>
    <row r="127" spans="2:19" ht="14" x14ac:dyDescent="0.2"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</row>
    <row r="128" spans="2:19" ht="14" x14ac:dyDescent="0.2"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</row>
    <row r="129" spans="2:19" ht="14" x14ac:dyDescent="0.2"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</row>
    <row r="130" spans="2:19" ht="14" x14ac:dyDescent="0.2"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</row>
    <row r="131" spans="2:19" ht="14" x14ac:dyDescent="0.2"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</row>
    <row r="132" spans="2:19" ht="14" x14ac:dyDescent="0.2"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</row>
    <row r="133" spans="2:19" ht="14" x14ac:dyDescent="0.2"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</row>
    <row r="134" spans="2:19" ht="14" x14ac:dyDescent="0.2"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</row>
    <row r="135" spans="2:19" ht="14" x14ac:dyDescent="0.2"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</row>
    <row r="136" spans="2:19" ht="14" x14ac:dyDescent="0.2"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</row>
    <row r="137" spans="2:19" ht="14" x14ac:dyDescent="0.2"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</row>
    <row r="138" spans="2:19" ht="14" x14ac:dyDescent="0.2"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</row>
    <row r="139" spans="2:19" ht="14" x14ac:dyDescent="0.2"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</row>
    <row r="140" spans="2:19" ht="14" x14ac:dyDescent="0.2"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</row>
    <row r="141" spans="2:19" ht="14" x14ac:dyDescent="0.2"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</row>
    <row r="142" spans="2:19" ht="14" x14ac:dyDescent="0.2"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</row>
    <row r="143" spans="2:19" ht="14" x14ac:dyDescent="0.2"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</row>
    <row r="144" spans="2:19" ht="14" x14ac:dyDescent="0.2"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</row>
    <row r="145" spans="2:19" ht="14" x14ac:dyDescent="0.2"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</row>
    <row r="146" spans="2:19" ht="14" x14ac:dyDescent="0.2"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</row>
    <row r="147" spans="2:19" ht="14" x14ac:dyDescent="0.2"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</row>
    <row r="148" spans="2:19" ht="14" x14ac:dyDescent="0.2"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</row>
    <row r="149" spans="2:19" ht="14" x14ac:dyDescent="0.2"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</row>
    <row r="150" spans="2:19" ht="14" x14ac:dyDescent="0.2"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</row>
    <row r="151" spans="2:19" ht="14" x14ac:dyDescent="0.2"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</row>
    <row r="152" spans="2:19" ht="14" x14ac:dyDescent="0.2"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</row>
    <row r="153" spans="2:19" ht="14" x14ac:dyDescent="0.2"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</row>
    <row r="154" spans="2:19" ht="14" x14ac:dyDescent="0.2"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</row>
    <row r="155" spans="2:19" ht="14" x14ac:dyDescent="0.2"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</row>
    <row r="156" spans="2:19" ht="14" x14ac:dyDescent="0.2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</row>
    <row r="157" spans="2:19" ht="14" x14ac:dyDescent="0.2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</row>
    <row r="158" spans="2:19" ht="14" x14ac:dyDescent="0.2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</row>
    <row r="159" spans="2:19" ht="14" x14ac:dyDescent="0.2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</row>
    <row r="160" spans="2:19" ht="14" x14ac:dyDescent="0.2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</row>
    <row r="161" spans="2:19" ht="14" x14ac:dyDescent="0.2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</row>
    <row r="162" spans="2:19" ht="14" x14ac:dyDescent="0.2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</row>
    <row r="163" spans="2:19" ht="14" x14ac:dyDescent="0.2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</row>
    <row r="164" spans="2:19" ht="14" x14ac:dyDescent="0.2"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</row>
    <row r="165" spans="2:19" ht="14" x14ac:dyDescent="0.2"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</row>
    <row r="166" spans="2:19" ht="14" x14ac:dyDescent="0.2"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</row>
    <row r="167" spans="2:19" ht="14" x14ac:dyDescent="0.2"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</row>
    <row r="168" spans="2:19" ht="14" x14ac:dyDescent="0.2"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</row>
    <row r="169" spans="2:19" ht="14" x14ac:dyDescent="0.2"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</row>
    <row r="170" spans="2:19" ht="14" x14ac:dyDescent="0.2"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</row>
    <row r="171" spans="2:19" ht="14" x14ac:dyDescent="0.2"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</row>
    <row r="172" spans="2:19" ht="14" x14ac:dyDescent="0.2"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</row>
    <row r="173" spans="2:19" ht="14" x14ac:dyDescent="0.2"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</row>
    <row r="174" spans="2:19" ht="14" x14ac:dyDescent="0.2"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</row>
    <row r="175" spans="2:19" ht="14" x14ac:dyDescent="0.2"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</row>
    <row r="176" spans="2:19" ht="14" x14ac:dyDescent="0.2"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</row>
    <row r="177" spans="2:19" ht="14" x14ac:dyDescent="0.2"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</row>
    <row r="178" spans="2:19" ht="14" x14ac:dyDescent="0.2"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</row>
    <row r="179" spans="2:19" ht="14" x14ac:dyDescent="0.2"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</row>
    <row r="180" spans="2:19" ht="14" x14ac:dyDescent="0.2"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</row>
    <row r="181" spans="2:19" ht="14" x14ac:dyDescent="0.2"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</row>
    <row r="182" spans="2:19" ht="14" x14ac:dyDescent="0.2"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</row>
    <row r="183" spans="2:19" ht="14" x14ac:dyDescent="0.2"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</row>
    <row r="184" spans="2:19" ht="14" x14ac:dyDescent="0.2"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</row>
    <row r="185" spans="2:19" ht="14" x14ac:dyDescent="0.2"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</row>
    <row r="186" spans="2:19" ht="14" x14ac:dyDescent="0.2"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</row>
    <row r="187" spans="2:19" ht="14" x14ac:dyDescent="0.2"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</row>
    <row r="188" spans="2:19" ht="14" x14ac:dyDescent="0.2"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</row>
    <row r="189" spans="2:19" ht="14" x14ac:dyDescent="0.2"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</row>
    <row r="190" spans="2:19" ht="14" x14ac:dyDescent="0.2"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</row>
    <row r="191" spans="2:19" ht="14" x14ac:dyDescent="0.2"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</row>
    <row r="192" spans="2:19" ht="14" x14ac:dyDescent="0.2"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</row>
    <row r="193" spans="2:19" ht="14" x14ac:dyDescent="0.2"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</row>
    <row r="194" spans="2:19" ht="14" x14ac:dyDescent="0.2"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</row>
    <row r="195" spans="2:19" ht="14" x14ac:dyDescent="0.2"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</row>
    <row r="196" spans="2:19" ht="14" x14ac:dyDescent="0.2"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</row>
    <row r="197" spans="2:19" ht="14" x14ac:dyDescent="0.2"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</row>
    <row r="198" spans="2:19" ht="14" x14ac:dyDescent="0.2"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</row>
    <row r="199" spans="2:19" ht="14" x14ac:dyDescent="0.2"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</row>
    <row r="200" spans="2:19" ht="14" x14ac:dyDescent="0.2"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</row>
    <row r="201" spans="2:19" ht="14" x14ac:dyDescent="0.2"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</row>
    <row r="202" spans="2:19" ht="14" x14ac:dyDescent="0.2"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</row>
    <row r="203" spans="2:19" ht="14" x14ac:dyDescent="0.2"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</row>
    <row r="204" spans="2:19" ht="14" x14ac:dyDescent="0.2"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</row>
    <row r="205" spans="2:19" ht="14" x14ac:dyDescent="0.2"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</row>
    <row r="206" spans="2:19" ht="14" x14ac:dyDescent="0.2"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</row>
    <row r="207" spans="2:19" ht="14" x14ac:dyDescent="0.2"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</row>
    <row r="208" spans="2:19" ht="14" x14ac:dyDescent="0.2"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</row>
    <row r="209" spans="2:19" ht="14" x14ac:dyDescent="0.2"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</row>
    <row r="210" spans="2:19" ht="14" x14ac:dyDescent="0.2"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</row>
    <row r="211" spans="2:19" ht="14" x14ac:dyDescent="0.2"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</row>
    <row r="212" spans="2:19" ht="14" x14ac:dyDescent="0.2"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</row>
    <row r="213" spans="2:19" ht="14" x14ac:dyDescent="0.2"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</row>
    <row r="214" spans="2:19" ht="14" x14ac:dyDescent="0.2"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</row>
    <row r="215" spans="2:19" ht="14" x14ac:dyDescent="0.2"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</row>
    <row r="216" spans="2:19" ht="14" x14ac:dyDescent="0.2"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</row>
    <row r="217" spans="2:19" ht="14" x14ac:dyDescent="0.2"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</row>
    <row r="218" spans="2:19" ht="14" x14ac:dyDescent="0.2"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</row>
    <row r="219" spans="2:19" ht="14" x14ac:dyDescent="0.2"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</row>
    <row r="220" spans="2:19" ht="14" x14ac:dyDescent="0.2"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</row>
    <row r="221" spans="2:19" ht="14" x14ac:dyDescent="0.2"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</row>
    <row r="222" spans="2:19" ht="14" x14ac:dyDescent="0.2"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</row>
    <row r="223" spans="2:19" ht="14" x14ac:dyDescent="0.2"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</row>
    <row r="224" spans="2:19" ht="14" x14ac:dyDescent="0.2"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</row>
    <row r="225" spans="2:19" ht="14" x14ac:dyDescent="0.2"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</row>
    <row r="226" spans="2:19" ht="14" x14ac:dyDescent="0.2"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</row>
    <row r="227" spans="2:19" ht="14" x14ac:dyDescent="0.2"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</row>
    <row r="228" spans="2:19" ht="14" x14ac:dyDescent="0.2"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</row>
    <row r="229" spans="2:19" ht="14" x14ac:dyDescent="0.2"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</row>
    <row r="230" spans="2:19" ht="14" x14ac:dyDescent="0.2"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</row>
    <row r="231" spans="2:19" ht="14" x14ac:dyDescent="0.2"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</row>
    <row r="232" spans="2:19" ht="14" x14ac:dyDescent="0.2"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</row>
    <row r="233" spans="2:19" ht="14" x14ac:dyDescent="0.2"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</row>
    <row r="234" spans="2:19" ht="14" x14ac:dyDescent="0.2"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</row>
    <row r="235" spans="2:19" ht="14" x14ac:dyDescent="0.2"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</row>
    <row r="236" spans="2:19" ht="14" x14ac:dyDescent="0.2"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</row>
    <row r="237" spans="2:19" ht="14" x14ac:dyDescent="0.2"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</row>
    <row r="238" spans="2:19" ht="14" x14ac:dyDescent="0.2"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</row>
    <row r="239" spans="2:19" ht="14" x14ac:dyDescent="0.2"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</row>
    <row r="240" spans="2:19" ht="14" x14ac:dyDescent="0.2"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</row>
    <row r="241" spans="2:19" ht="14" x14ac:dyDescent="0.2"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</row>
    <row r="242" spans="2:19" ht="14" x14ac:dyDescent="0.2"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</row>
    <row r="243" spans="2:19" ht="14" x14ac:dyDescent="0.2"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</row>
    <row r="244" spans="2:19" ht="14" x14ac:dyDescent="0.2"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</row>
    <row r="245" spans="2:19" ht="14" x14ac:dyDescent="0.2"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</row>
    <row r="246" spans="2:19" ht="14" x14ac:dyDescent="0.2"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</row>
    <row r="247" spans="2:19" ht="14" x14ac:dyDescent="0.2"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</row>
    <row r="248" spans="2:19" ht="14" x14ac:dyDescent="0.2"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</row>
    <row r="249" spans="2:19" ht="14" x14ac:dyDescent="0.2"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</row>
    <row r="250" spans="2:19" ht="14" x14ac:dyDescent="0.2"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</row>
    <row r="251" spans="2:19" ht="14" x14ac:dyDescent="0.2"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</row>
    <row r="252" spans="2:19" ht="14" x14ac:dyDescent="0.2"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</row>
    <row r="253" spans="2:19" ht="14" x14ac:dyDescent="0.2"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</row>
    <row r="254" spans="2:19" ht="14" x14ac:dyDescent="0.2"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</row>
    <row r="255" spans="2:19" ht="14" x14ac:dyDescent="0.2"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</row>
    <row r="256" spans="2:19" ht="14" x14ac:dyDescent="0.2"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</row>
    <row r="257" spans="2:19" ht="14" x14ac:dyDescent="0.2"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</row>
    <row r="258" spans="2:19" ht="14" x14ac:dyDescent="0.2"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</row>
    <row r="259" spans="2:19" ht="14" x14ac:dyDescent="0.2"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</row>
    <row r="260" spans="2:19" ht="14" x14ac:dyDescent="0.2"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</row>
    <row r="261" spans="2:19" ht="14" x14ac:dyDescent="0.2"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</row>
    <row r="262" spans="2:19" ht="14" x14ac:dyDescent="0.2"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</row>
    <row r="263" spans="2:19" ht="14" x14ac:dyDescent="0.2"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</row>
    <row r="264" spans="2:19" ht="14" x14ac:dyDescent="0.2"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</row>
    <row r="265" spans="2:19" ht="14" x14ac:dyDescent="0.2"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</row>
    <row r="266" spans="2:19" ht="14" x14ac:dyDescent="0.2"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</row>
    <row r="267" spans="2:19" ht="14" x14ac:dyDescent="0.2"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</row>
    <row r="268" spans="2:19" ht="14" x14ac:dyDescent="0.2"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</row>
    <row r="269" spans="2:19" ht="14" x14ac:dyDescent="0.2"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</row>
    <row r="270" spans="2:19" ht="14" x14ac:dyDescent="0.2"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</row>
    <row r="271" spans="2:19" ht="14" x14ac:dyDescent="0.2"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</row>
    <row r="272" spans="2:19" ht="14" x14ac:dyDescent="0.2"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</row>
    <row r="273" spans="2:19" ht="14" x14ac:dyDescent="0.2"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</row>
    <row r="274" spans="2:19" ht="14" x14ac:dyDescent="0.2"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</row>
    <row r="275" spans="2:19" ht="14" x14ac:dyDescent="0.2"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</row>
    <row r="276" spans="2:19" ht="14" x14ac:dyDescent="0.2"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</row>
    <row r="277" spans="2:19" ht="14" x14ac:dyDescent="0.2"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</row>
    <row r="278" spans="2:19" ht="14" x14ac:dyDescent="0.2"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</row>
    <row r="279" spans="2:19" ht="14" x14ac:dyDescent="0.2"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</row>
    <row r="280" spans="2:19" ht="14" x14ac:dyDescent="0.2"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</row>
    <row r="281" spans="2:19" ht="14" x14ac:dyDescent="0.2"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</row>
    <row r="282" spans="2:19" ht="14" x14ac:dyDescent="0.2"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</row>
    <row r="283" spans="2:19" ht="14" x14ac:dyDescent="0.2"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</row>
    <row r="284" spans="2:19" ht="14" x14ac:dyDescent="0.2"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</row>
    <row r="285" spans="2:19" ht="14" x14ac:dyDescent="0.2"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</row>
    <row r="286" spans="2:19" ht="14" x14ac:dyDescent="0.2"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</row>
    <row r="287" spans="2:19" ht="14" x14ac:dyDescent="0.2"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</row>
    <row r="288" spans="2:19" ht="14" x14ac:dyDescent="0.2"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</row>
    <row r="289" spans="2:19" ht="14" x14ac:dyDescent="0.2"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</row>
    <row r="290" spans="2:19" ht="14" x14ac:dyDescent="0.2"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</row>
    <row r="291" spans="2:19" ht="14" x14ac:dyDescent="0.2"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</row>
    <row r="292" spans="2:19" ht="14" x14ac:dyDescent="0.2"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</row>
    <row r="293" spans="2:19" ht="14" x14ac:dyDescent="0.2"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</row>
    <row r="294" spans="2:19" ht="14" x14ac:dyDescent="0.2"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</row>
    <row r="295" spans="2:19" ht="14" x14ac:dyDescent="0.2"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</row>
    <row r="296" spans="2:19" ht="14" x14ac:dyDescent="0.2"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</row>
    <row r="297" spans="2:19" ht="14" x14ac:dyDescent="0.2"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</row>
    <row r="298" spans="2:19" ht="14" x14ac:dyDescent="0.2"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</row>
    <row r="299" spans="2:19" ht="14" x14ac:dyDescent="0.2"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</row>
    <row r="300" spans="2:19" ht="14" x14ac:dyDescent="0.2"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</row>
    <row r="301" spans="2:19" ht="14" x14ac:dyDescent="0.2"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</row>
    <row r="302" spans="2:19" ht="14" x14ac:dyDescent="0.2"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</row>
    <row r="303" spans="2:19" ht="14" x14ac:dyDescent="0.2"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</row>
    <row r="304" spans="2:19" ht="14" x14ac:dyDescent="0.2"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</row>
    <row r="305" spans="2:19" ht="14" x14ac:dyDescent="0.2"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</row>
    <row r="306" spans="2:19" ht="14" x14ac:dyDescent="0.2"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</row>
    <row r="307" spans="2:19" ht="14" x14ac:dyDescent="0.2"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</row>
    <row r="308" spans="2:19" ht="14" x14ac:dyDescent="0.2"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</row>
    <row r="309" spans="2:19" ht="14" x14ac:dyDescent="0.2"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</row>
    <row r="310" spans="2:19" ht="14" x14ac:dyDescent="0.2"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</row>
    <row r="311" spans="2:19" ht="14" x14ac:dyDescent="0.2"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</row>
    <row r="312" spans="2:19" ht="14" x14ac:dyDescent="0.2"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</row>
    <row r="313" spans="2:19" ht="14" x14ac:dyDescent="0.2"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</row>
    <row r="314" spans="2:19" ht="14" x14ac:dyDescent="0.2"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</row>
    <row r="315" spans="2:19" ht="14" x14ac:dyDescent="0.2"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</row>
    <row r="316" spans="2:19" ht="14" x14ac:dyDescent="0.2"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</row>
    <row r="317" spans="2:19" ht="14" x14ac:dyDescent="0.2"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</row>
    <row r="318" spans="2:19" ht="14" x14ac:dyDescent="0.2"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</row>
    <row r="319" spans="2:19" ht="14" x14ac:dyDescent="0.2"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</row>
    <row r="320" spans="2:19" ht="14" x14ac:dyDescent="0.2"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</row>
    <row r="321" spans="2:19" ht="14" x14ac:dyDescent="0.2"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</row>
    <row r="322" spans="2:19" ht="14" x14ac:dyDescent="0.2"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</row>
    <row r="323" spans="2:19" ht="14" x14ac:dyDescent="0.2"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</row>
    <row r="324" spans="2:19" ht="14" x14ac:dyDescent="0.2"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</row>
    <row r="325" spans="2:19" ht="14" x14ac:dyDescent="0.2"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</row>
    <row r="326" spans="2:19" ht="14" x14ac:dyDescent="0.2"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</row>
    <row r="327" spans="2:19" ht="14" x14ac:dyDescent="0.2"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</row>
    <row r="328" spans="2:19" ht="14" x14ac:dyDescent="0.2"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</row>
    <row r="329" spans="2:19" ht="14" x14ac:dyDescent="0.2"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</row>
    <row r="330" spans="2:19" ht="14" x14ac:dyDescent="0.2"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</row>
    <row r="331" spans="2:19" ht="14" x14ac:dyDescent="0.2"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</row>
    <row r="332" spans="2:19" ht="14" x14ac:dyDescent="0.2"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</row>
    <row r="333" spans="2:19" ht="14" x14ac:dyDescent="0.2"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</row>
    <row r="334" spans="2:19" ht="14" x14ac:dyDescent="0.2"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</row>
    <row r="335" spans="2:19" ht="14" x14ac:dyDescent="0.2"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</row>
    <row r="336" spans="2:19" ht="14" x14ac:dyDescent="0.2"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</row>
    <row r="337" spans="2:19" ht="14" x14ac:dyDescent="0.2"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</row>
    <row r="338" spans="2:19" ht="14" x14ac:dyDescent="0.2"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</row>
    <row r="339" spans="2:19" ht="14" x14ac:dyDescent="0.2"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</row>
    <row r="340" spans="2:19" ht="14" x14ac:dyDescent="0.2"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</row>
    <row r="341" spans="2:19" ht="14" x14ac:dyDescent="0.2"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</row>
    <row r="342" spans="2:19" ht="14" x14ac:dyDescent="0.2"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</row>
    <row r="343" spans="2:19" ht="14" x14ac:dyDescent="0.2"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</row>
    <row r="344" spans="2:19" ht="14" x14ac:dyDescent="0.2"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</row>
    <row r="345" spans="2:19" ht="14" x14ac:dyDescent="0.2"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</row>
    <row r="346" spans="2:19" ht="14" x14ac:dyDescent="0.2"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</row>
    <row r="347" spans="2:19" ht="14" x14ac:dyDescent="0.2"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</row>
    <row r="348" spans="2:19" ht="14" x14ac:dyDescent="0.2"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</row>
    <row r="349" spans="2:19" ht="14" x14ac:dyDescent="0.2"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</row>
    <row r="350" spans="2:19" ht="14" x14ac:dyDescent="0.2"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</row>
    <row r="351" spans="2:19" ht="14" x14ac:dyDescent="0.2"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</row>
    <row r="352" spans="2:19" ht="14" x14ac:dyDescent="0.2"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</row>
    <row r="353" spans="2:19" ht="14" x14ac:dyDescent="0.2"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</row>
    <row r="354" spans="2:19" ht="14" x14ac:dyDescent="0.2"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</row>
    <row r="355" spans="2:19" ht="14" x14ac:dyDescent="0.2"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</row>
    <row r="356" spans="2:19" ht="14" x14ac:dyDescent="0.2"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</row>
    <row r="357" spans="2:19" ht="14" x14ac:dyDescent="0.2"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</row>
    <row r="358" spans="2:19" ht="14" x14ac:dyDescent="0.2"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</row>
    <row r="359" spans="2:19" ht="14" x14ac:dyDescent="0.2"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</row>
    <row r="360" spans="2:19" ht="14" x14ac:dyDescent="0.2"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</row>
    <row r="361" spans="2:19" ht="14" x14ac:dyDescent="0.2"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</row>
    <row r="362" spans="2:19" ht="14" x14ac:dyDescent="0.2"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</row>
    <row r="363" spans="2:19" ht="14" x14ac:dyDescent="0.2"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</row>
    <row r="364" spans="2:19" ht="14" x14ac:dyDescent="0.2"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</row>
    <row r="365" spans="2:19" ht="14" x14ac:dyDescent="0.2"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</row>
    <row r="366" spans="2:19" ht="14" x14ac:dyDescent="0.2"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</row>
    <row r="367" spans="2:19" ht="14" x14ac:dyDescent="0.2"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</row>
    <row r="368" spans="2:19" ht="14" x14ac:dyDescent="0.2"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</row>
    <row r="369" spans="2:19" ht="14" x14ac:dyDescent="0.2"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</row>
    <row r="370" spans="2:19" ht="14" x14ac:dyDescent="0.2"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</row>
    <row r="371" spans="2:19" ht="14" x14ac:dyDescent="0.2"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</row>
    <row r="372" spans="2:19" ht="14" x14ac:dyDescent="0.2"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</row>
    <row r="373" spans="2:19" ht="14" x14ac:dyDescent="0.2"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</row>
    <row r="374" spans="2:19" ht="14" x14ac:dyDescent="0.2"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</row>
    <row r="375" spans="2:19" ht="14" x14ac:dyDescent="0.2"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</row>
    <row r="376" spans="2:19" ht="14" x14ac:dyDescent="0.2"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</row>
    <row r="377" spans="2:19" ht="14" x14ac:dyDescent="0.2"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</row>
    <row r="378" spans="2:19" ht="14" x14ac:dyDescent="0.2"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</row>
    <row r="379" spans="2:19" ht="14" x14ac:dyDescent="0.2"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</row>
    <row r="380" spans="2:19" ht="14" x14ac:dyDescent="0.2"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</row>
    <row r="381" spans="2:19" ht="14" x14ac:dyDescent="0.2"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</row>
    <row r="382" spans="2:19" ht="14" x14ac:dyDescent="0.2"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</row>
    <row r="383" spans="2:19" ht="14" x14ac:dyDescent="0.2"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</row>
    <row r="384" spans="2:19" ht="14" x14ac:dyDescent="0.2"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</row>
    <row r="385" spans="2:19" ht="14" x14ac:dyDescent="0.2"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</row>
    <row r="386" spans="2:19" ht="14" x14ac:dyDescent="0.2"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</row>
    <row r="387" spans="2:19" ht="14" x14ac:dyDescent="0.2"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</row>
    <row r="388" spans="2:19" ht="14" x14ac:dyDescent="0.2"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</row>
    <row r="389" spans="2:19" ht="14" x14ac:dyDescent="0.2"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</row>
    <row r="390" spans="2:19" ht="14" x14ac:dyDescent="0.2"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</row>
    <row r="391" spans="2:19" ht="14" x14ac:dyDescent="0.2"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</row>
    <row r="392" spans="2:19" ht="14" x14ac:dyDescent="0.2"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</row>
    <row r="393" spans="2:19" ht="14" x14ac:dyDescent="0.2"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</row>
    <row r="394" spans="2:19" ht="14" x14ac:dyDescent="0.2"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</row>
    <row r="395" spans="2:19" ht="14" x14ac:dyDescent="0.2"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</row>
    <row r="396" spans="2:19" ht="14" x14ac:dyDescent="0.2"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</row>
    <row r="397" spans="2:19" ht="14" x14ac:dyDescent="0.2"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</row>
    <row r="398" spans="2:19" ht="14" x14ac:dyDescent="0.2"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</row>
    <row r="399" spans="2:19" ht="14" x14ac:dyDescent="0.2"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</row>
    <row r="400" spans="2:19" ht="14" x14ac:dyDescent="0.2"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</row>
    <row r="401" spans="2:19" ht="14" x14ac:dyDescent="0.2"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</row>
    <row r="402" spans="2:19" ht="14" x14ac:dyDescent="0.2"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</row>
    <row r="403" spans="2:19" ht="14" x14ac:dyDescent="0.2"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</row>
    <row r="404" spans="2:19" ht="14" x14ac:dyDescent="0.2"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</row>
    <row r="405" spans="2:19" ht="14" x14ac:dyDescent="0.2"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</row>
    <row r="406" spans="2:19" ht="14" x14ac:dyDescent="0.2"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</row>
    <row r="407" spans="2:19" ht="14" x14ac:dyDescent="0.2"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</row>
    <row r="408" spans="2:19" ht="14" x14ac:dyDescent="0.2"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</row>
    <row r="409" spans="2:19" ht="14" x14ac:dyDescent="0.2"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</row>
    <row r="410" spans="2:19" ht="14" x14ac:dyDescent="0.2"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</row>
    <row r="411" spans="2:19" ht="14" x14ac:dyDescent="0.2"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</row>
    <row r="412" spans="2:19" ht="14" x14ac:dyDescent="0.2"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</row>
    <row r="413" spans="2:19" ht="14" x14ac:dyDescent="0.2"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</row>
    <row r="414" spans="2:19" ht="14" x14ac:dyDescent="0.2"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</row>
    <row r="415" spans="2:19" ht="14" x14ac:dyDescent="0.2"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</row>
    <row r="416" spans="2:19" ht="14" x14ac:dyDescent="0.2"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</row>
    <row r="417" spans="2:19" ht="14" x14ac:dyDescent="0.2"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</row>
    <row r="418" spans="2:19" ht="14" x14ac:dyDescent="0.2"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</row>
    <row r="419" spans="2:19" ht="14" x14ac:dyDescent="0.2"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</row>
    <row r="420" spans="2:19" ht="14" x14ac:dyDescent="0.2"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</row>
    <row r="421" spans="2:19" ht="14" x14ac:dyDescent="0.2"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</row>
    <row r="422" spans="2:19" ht="14" x14ac:dyDescent="0.2"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</row>
    <row r="423" spans="2:19" ht="14" x14ac:dyDescent="0.2"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</row>
    <row r="424" spans="2:19" ht="14" x14ac:dyDescent="0.2"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</row>
    <row r="425" spans="2:19" ht="14" x14ac:dyDescent="0.2"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</row>
    <row r="426" spans="2:19" ht="14" x14ac:dyDescent="0.2"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</row>
    <row r="427" spans="2:19" ht="14" x14ac:dyDescent="0.2"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</row>
    <row r="428" spans="2:19" ht="14" x14ac:dyDescent="0.2"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</row>
    <row r="429" spans="2:19" ht="14" x14ac:dyDescent="0.2"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</row>
    <row r="430" spans="2:19" ht="14" x14ac:dyDescent="0.2"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</row>
    <row r="431" spans="2:19" ht="14" x14ac:dyDescent="0.2"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</row>
    <row r="432" spans="2:19" ht="14" x14ac:dyDescent="0.2"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</row>
    <row r="433" spans="2:19" ht="14" x14ac:dyDescent="0.2"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</row>
    <row r="434" spans="2:19" ht="14" x14ac:dyDescent="0.2"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</row>
    <row r="435" spans="2:19" ht="14" x14ac:dyDescent="0.2"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</row>
    <row r="436" spans="2:19" ht="14" x14ac:dyDescent="0.2"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</row>
    <row r="437" spans="2:19" ht="14" x14ac:dyDescent="0.2"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</row>
    <row r="438" spans="2:19" ht="14" x14ac:dyDescent="0.2"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</row>
    <row r="439" spans="2:19" ht="14" x14ac:dyDescent="0.2"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</row>
    <row r="440" spans="2:19" ht="14" x14ac:dyDescent="0.2"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</row>
    <row r="441" spans="2:19" ht="14" x14ac:dyDescent="0.2"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</row>
    <row r="442" spans="2:19" ht="14" x14ac:dyDescent="0.2"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</row>
    <row r="443" spans="2:19" ht="14" x14ac:dyDescent="0.2"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</row>
    <row r="444" spans="2:19" ht="14" x14ac:dyDescent="0.2"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</row>
    <row r="445" spans="2:19" ht="14" x14ac:dyDescent="0.2"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</row>
    <row r="446" spans="2:19" ht="14" x14ac:dyDescent="0.2"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</row>
    <row r="447" spans="2:19" ht="14" x14ac:dyDescent="0.2"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</row>
    <row r="448" spans="2:19" ht="14" x14ac:dyDescent="0.2"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</row>
    <row r="449" spans="2:19" ht="14" x14ac:dyDescent="0.2"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</row>
    <row r="450" spans="2:19" ht="14" x14ac:dyDescent="0.2"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</row>
    <row r="451" spans="2:19" ht="14" x14ac:dyDescent="0.2"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</row>
    <row r="452" spans="2:19" ht="14" x14ac:dyDescent="0.2"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</row>
    <row r="453" spans="2:19" ht="14" x14ac:dyDescent="0.2"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</row>
    <row r="454" spans="2:19" ht="14" x14ac:dyDescent="0.2"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</row>
    <row r="455" spans="2:19" ht="14" x14ac:dyDescent="0.2"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</row>
    <row r="456" spans="2:19" ht="14" x14ac:dyDescent="0.2"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</row>
    <row r="457" spans="2:19" ht="14" x14ac:dyDescent="0.2"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</row>
    <row r="458" spans="2:19" ht="14" x14ac:dyDescent="0.2"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</row>
    <row r="459" spans="2:19" ht="14" x14ac:dyDescent="0.2"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</row>
    <row r="460" spans="2:19" ht="14" x14ac:dyDescent="0.2"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</row>
    <row r="461" spans="2:19" ht="14" x14ac:dyDescent="0.2"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</row>
    <row r="462" spans="2:19" ht="14" x14ac:dyDescent="0.2"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</row>
    <row r="463" spans="2:19" ht="14" x14ac:dyDescent="0.2"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</row>
    <row r="464" spans="2:19" ht="14" x14ac:dyDescent="0.2"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</row>
    <row r="465" spans="2:19" ht="14" x14ac:dyDescent="0.2"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</row>
    <row r="466" spans="2:19" ht="14" x14ac:dyDescent="0.2"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</row>
    <row r="467" spans="2:19" ht="14" x14ac:dyDescent="0.2"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</row>
    <row r="468" spans="2:19" ht="14" x14ac:dyDescent="0.2"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</row>
    <row r="469" spans="2:19" ht="14" x14ac:dyDescent="0.2"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</row>
    <row r="470" spans="2:19" ht="14" x14ac:dyDescent="0.2"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</row>
    <row r="471" spans="2:19" ht="14" x14ac:dyDescent="0.2"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</row>
    <row r="472" spans="2:19" ht="14" x14ac:dyDescent="0.2"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</row>
    <row r="473" spans="2:19" ht="14" x14ac:dyDescent="0.2"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</row>
    <row r="474" spans="2:19" ht="14" x14ac:dyDescent="0.2"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</row>
    <row r="475" spans="2:19" ht="14" x14ac:dyDescent="0.2"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</row>
    <row r="476" spans="2:19" ht="14" x14ac:dyDescent="0.2"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</row>
    <row r="477" spans="2:19" ht="14" x14ac:dyDescent="0.2"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</row>
    <row r="478" spans="2:19" ht="14" x14ac:dyDescent="0.2"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</row>
    <row r="479" spans="2:19" ht="14" x14ac:dyDescent="0.2"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</row>
    <row r="480" spans="2:19" ht="14" x14ac:dyDescent="0.2"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</row>
    <row r="481" spans="2:19" ht="14" x14ac:dyDescent="0.2"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</row>
    <row r="482" spans="2:19" ht="14" x14ac:dyDescent="0.2"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</row>
    <row r="483" spans="2:19" ht="14" x14ac:dyDescent="0.2"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</row>
    <row r="484" spans="2:19" ht="14" x14ac:dyDescent="0.2"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</row>
    <row r="485" spans="2:19" ht="14" x14ac:dyDescent="0.2"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</row>
    <row r="486" spans="2:19" ht="14" x14ac:dyDescent="0.2"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</row>
    <row r="487" spans="2:19" ht="14" x14ac:dyDescent="0.2"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</row>
    <row r="488" spans="2:19" ht="14" x14ac:dyDescent="0.2"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</row>
    <row r="489" spans="2:19" ht="14" x14ac:dyDescent="0.2"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</row>
    <row r="490" spans="2:19" ht="14" x14ac:dyDescent="0.2"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</row>
    <row r="491" spans="2:19" ht="14" x14ac:dyDescent="0.2"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</row>
    <row r="492" spans="2:19" ht="14" x14ac:dyDescent="0.2"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</row>
    <row r="493" spans="2:19" ht="14" x14ac:dyDescent="0.2"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</row>
    <row r="494" spans="2:19" ht="14" x14ac:dyDescent="0.2"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</row>
    <row r="495" spans="2:19" ht="14" x14ac:dyDescent="0.2"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</row>
    <row r="496" spans="2:19" ht="14" x14ac:dyDescent="0.2"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</row>
    <row r="497" spans="2:19" ht="14" x14ac:dyDescent="0.2"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</row>
    <row r="498" spans="2:19" ht="14" x14ac:dyDescent="0.2"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</row>
    <row r="499" spans="2:19" ht="14" x14ac:dyDescent="0.2"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</row>
    <row r="500" spans="2:19" ht="14" x14ac:dyDescent="0.2"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</row>
    <row r="501" spans="2:19" ht="14" x14ac:dyDescent="0.2"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</row>
    <row r="502" spans="2:19" ht="14" x14ac:dyDescent="0.2"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</row>
    <row r="503" spans="2:19" ht="14" x14ac:dyDescent="0.2"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</row>
    <row r="504" spans="2:19" ht="14" x14ac:dyDescent="0.2"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</row>
    <row r="505" spans="2:19" ht="14" x14ac:dyDescent="0.2"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</row>
    <row r="506" spans="2:19" ht="14" x14ac:dyDescent="0.2"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</row>
    <row r="507" spans="2:19" ht="14" x14ac:dyDescent="0.2"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</row>
    <row r="508" spans="2:19" ht="14" x14ac:dyDescent="0.2"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</row>
    <row r="509" spans="2:19" ht="14" x14ac:dyDescent="0.2"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</row>
    <row r="510" spans="2:19" ht="14" x14ac:dyDescent="0.2"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</row>
    <row r="511" spans="2:19" ht="14" x14ac:dyDescent="0.2"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</row>
    <row r="512" spans="2:19" ht="14" x14ac:dyDescent="0.2"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</row>
    <row r="513" spans="2:19" ht="14" x14ac:dyDescent="0.2"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</row>
    <row r="514" spans="2:19" ht="14" x14ac:dyDescent="0.2"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</row>
    <row r="515" spans="2:19" ht="14" x14ac:dyDescent="0.2"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</row>
    <row r="516" spans="2:19" ht="14" x14ac:dyDescent="0.2"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</row>
    <row r="517" spans="2:19" ht="14" x14ac:dyDescent="0.2"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</row>
    <row r="518" spans="2:19" ht="14" x14ac:dyDescent="0.2"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</row>
    <row r="519" spans="2:19" ht="14" x14ac:dyDescent="0.2"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</row>
    <row r="520" spans="2:19" ht="14" x14ac:dyDescent="0.2"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</row>
    <row r="521" spans="2:19" ht="14" x14ac:dyDescent="0.2"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</row>
    <row r="522" spans="2:19" ht="14" x14ac:dyDescent="0.2"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</row>
    <row r="523" spans="2:19" ht="14" x14ac:dyDescent="0.2"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</row>
    <row r="524" spans="2:19" ht="14" x14ac:dyDescent="0.2"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</row>
    <row r="525" spans="2:19" ht="14" x14ac:dyDescent="0.2"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</row>
    <row r="526" spans="2:19" ht="14" x14ac:dyDescent="0.2"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</row>
    <row r="527" spans="2:19" ht="14" x14ac:dyDescent="0.2"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</row>
    <row r="528" spans="2:19" ht="14" x14ac:dyDescent="0.2"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</row>
    <row r="529" spans="2:19" ht="14" x14ac:dyDescent="0.2"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</row>
    <row r="530" spans="2:19" ht="14" x14ac:dyDescent="0.2"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</row>
    <row r="531" spans="2:19" ht="14" x14ac:dyDescent="0.2"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</row>
    <row r="532" spans="2:19" ht="14" x14ac:dyDescent="0.2"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</row>
    <row r="533" spans="2:19" ht="14" x14ac:dyDescent="0.2"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</row>
    <row r="534" spans="2:19" ht="14" x14ac:dyDescent="0.2"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</row>
    <row r="535" spans="2:19" ht="14" x14ac:dyDescent="0.2"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</row>
    <row r="536" spans="2:19" ht="14" x14ac:dyDescent="0.2"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</row>
    <row r="537" spans="2:19" ht="14" x14ac:dyDescent="0.2"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</row>
    <row r="538" spans="2:19" ht="14" x14ac:dyDescent="0.2"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</row>
    <row r="539" spans="2:19" ht="14" x14ac:dyDescent="0.2"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</row>
    <row r="540" spans="2:19" ht="14" x14ac:dyDescent="0.2"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</row>
    <row r="541" spans="2:19" ht="14" x14ac:dyDescent="0.2"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</row>
    <row r="542" spans="2:19" ht="14" x14ac:dyDescent="0.2"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</row>
    <row r="543" spans="2:19" ht="14" x14ac:dyDescent="0.2"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</row>
    <row r="544" spans="2:19" ht="14" x14ac:dyDescent="0.2"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</row>
    <row r="545" spans="2:19" ht="14" x14ac:dyDescent="0.2"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</row>
    <row r="546" spans="2:19" ht="14" x14ac:dyDescent="0.2"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</row>
    <row r="547" spans="2:19" ht="14" x14ac:dyDescent="0.2"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</row>
    <row r="548" spans="2:19" ht="14" x14ac:dyDescent="0.2"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</row>
    <row r="549" spans="2:19" ht="14" x14ac:dyDescent="0.2"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</row>
    <row r="550" spans="2:19" ht="14" x14ac:dyDescent="0.2"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</row>
    <row r="551" spans="2:19" ht="14" x14ac:dyDescent="0.2"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</row>
    <row r="552" spans="2:19" ht="14" x14ac:dyDescent="0.2"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</row>
    <row r="553" spans="2:19" ht="14" x14ac:dyDescent="0.2"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</row>
    <row r="554" spans="2:19" ht="14" x14ac:dyDescent="0.2"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</row>
    <row r="555" spans="2:19" ht="14" x14ac:dyDescent="0.2"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</row>
    <row r="556" spans="2:19" ht="14" x14ac:dyDescent="0.2"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</row>
    <row r="557" spans="2:19" ht="14" x14ac:dyDescent="0.2"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</row>
    <row r="558" spans="2:19" ht="14" x14ac:dyDescent="0.2"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</row>
    <row r="559" spans="2:19" ht="14" x14ac:dyDescent="0.2"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</row>
    <row r="560" spans="2:19" ht="14" x14ac:dyDescent="0.2"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</row>
    <row r="561" spans="2:19" ht="14" x14ac:dyDescent="0.2"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</row>
    <row r="562" spans="2:19" ht="14" x14ac:dyDescent="0.2"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</row>
    <row r="563" spans="2:19" ht="14" x14ac:dyDescent="0.2"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</row>
    <row r="564" spans="2:19" ht="14" x14ac:dyDescent="0.2"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</row>
    <row r="565" spans="2:19" ht="14" x14ac:dyDescent="0.2"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</row>
    <row r="566" spans="2:19" ht="14" x14ac:dyDescent="0.2"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</row>
    <row r="567" spans="2:19" ht="14" x14ac:dyDescent="0.2"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</row>
    <row r="568" spans="2:19" ht="14" x14ac:dyDescent="0.2"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</row>
    <row r="569" spans="2:19" ht="14" x14ac:dyDescent="0.2"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</row>
    <row r="570" spans="2:19" ht="14" x14ac:dyDescent="0.2"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</row>
    <row r="571" spans="2:19" ht="14" x14ac:dyDescent="0.2"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</row>
    <row r="572" spans="2:19" ht="14" x14ac:dyDescent="0.2"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</row>
    <row r="573" spans="2:19" ht="14" x14ac:dyDescent="0.2"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</row>
    <row r="574" spans="2:19" ht="14" x14ac:dyDescent="0.2"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</row>
    <row r="575" spans="2:19" ht="14" x14ac:dyDescent="0.2"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</row>
    <row r="576" spans="2:19" ht="14" x14ac:dyDescent="0.2"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</row>
    <row r="577" spans="2:19" ht="14" x14ac:dyDescent="0.2"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</row>
    <row r="578" spans="2:19" ht="14" x14ac:dyDescent="0.2"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</row>
    <row r="579" spans="2:19" ht="14" x14ac:dyDescent="0.2"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</row>
    <row r="580" spans="2:19" ht="14" x14ac:dyDescent="0.2"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</row>
    <row r="581" spans="2:19" ht="14" x14ac:dyDescent="0.2"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</row>
    <row r="582" spans="2:19" ht="14" x14ac:dyDescent="0.2"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</row>
    <row r="583" spans="2:19" ht="14" x14ac:dyDescent="0.2"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</row>
    <row r="584" spans="2:19" ht="14" x14ac:dyDescent="0.2"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</row>
    <row r="585" spans="2:19" ht="14" x14ac:dyDescent="0.2"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</row>
    <row r="586" spans="2:19" ht="14" x14ac:dyDescent="0.2"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</row>
    <row r="587" spans="2:19" ht="14" x14ac:dyDescent="0.2"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</row>
    <row r="588" spans="2:19" ht="14" x14ac:dyDescent="0.2"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</row>
    <row r="589" spans="2:19" ht="14" x14ac:dyDescent="0.2"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</row>
    <row r="590" spans="2:19" ht="14" x14ac:dyDescent="0.2"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</row>
    <row r="591" spans="2:19" ht="14" x14ac:dyDescent="0.2"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</row>
    <row r="592" spans="2:19" ht="14" x14ac:dyDescent="0.2"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</row>
    <row r="593" spans="2:19" ht="14" x14ac:dyDescent="0.2"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</row>
    <row r="594" spans="2:19" ht="14" x14ac:dyDescent="0.2"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</row>
    <row r="595" spans="2:19" ht="14" x14ac:dyDescent="0.2"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</row>
    <row r="596" spans="2:19" ht="14" x14ac:dyDescent="0.2"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</row>
    <row r="597" spans="2:19" ht="14" x14ac:dyDescent="0.2"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</row>
    <row r="598" spans="2:19" ht="14" x14ac:dyDescent="0.2"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</row>
    <row r="599" spans="2:19" ht="14" x14ac:dyDescent="0.2"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</row>
    <row r="600" spans="2:19" ht="14" x14ac:dyDescent="0.2"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</row>
    <row r="601" spans="2:19" ht="14" x14ac:dyDescent="0.2"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</row>
    <row r="602" spans="2:19" ht="14" x14ac:dyDescent="0.2"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</row>
    <row r="603" spans="2:19" ht="14" x14ac:dyDescent="0.2"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</row>
    <row r="604" spans="2:19" ht="14" x14ac:dyDescent="0.2"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</row>
    <row r="605" spans="2:19" ht="14" x14ac:dyDescent="0.2"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</row>
    <row r="606" spans="2:19" ht="14" x14ac:dyDescent="0.2"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</row>
    <row r="607" spans="2:19" ht="14" x14ac:dyDescent="0.2"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</row>
    <row r="608" spans="2:19" ht="14" x14ac:dyDescent="0.2"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</row>
    <row r="609" spans="2:19" ht="14" x14ac:dyDescent="0.2"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</row>
    <row r="610" spans="2:19" ht="14" x14ac:dyDescent="0.2"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</row>
    <row r="611" spans="2:19" ht="14" x14ac:dyDescent="0.2"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</row>
    <row r="612" spans="2:19" ht="14" x14ac:dyDescent="0.2"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</row>
    <row r="613" spans="2:19" ht="14" x14ac:dyDescent="0.2"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</row>
    <row r="614" spans="2:19" ht="14" x14ac:dyDescent="0.2"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</row>
    <row r="615" spans="2:19" ht="14" x14ac:dyDescent="0.2"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</row>
    <row r="616" spans="2:19" ht="14" x14ac:dyDescent="0.2"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</row>
    <row r="617" spans="2:19" ht="14" x14ac:dyDescent="0.2"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</row>
    <row r="618" spans="2:19" ht="14" x14ac:dyDescent="0.2"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</row>
    <row r="619" spans="2:19" ht="14" x14ac:dyDescent="0.2"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</row>
    <row r="620" spans="2:19" ht="14" x14ac:dyDescent="0.2"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</row>
    <row r="621" spans="2:19" ht="14" x14ac:dyDescent="0.2"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</row>
    <row r="622" spans="2:19" ht="14" x14ac:dyDescent="0.2"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</row>
    <row r="623" spans="2:19" ht="14" x14ac:dyDescent="0.2"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</row>
    <row r="624" spans="2:19" ht="14" x14ac:dyDescent="0.2"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</row>
    <row r="625" spans="2:19" ht="14" x14ac:dyDescent="0.2"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</row>
    <row r="626" spans="2:19" ht="14" x14ac:dyDescent="0.2"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</row>
    <row r="627" spans="2:19" ht="14" x14ac:dyDescent="0.2"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</row>
    <row r="628" spans="2:19" ht="14" x14ac:dyDescent="0.2"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</row>
    <row r="629" spans="2:19" ht="14" x14ac:dyDescent="0.2"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</row>
    <row r="630" spans="2:19" ht="14" x14ac:dyDescent="0.2"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</row>
    <row r="631" spans="2:19" ht="14" x14ac:dyDescent="0.2"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</row>
    <row r="632" spans="2:19" ht="14" x14ac:dyDescent="0.2"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</row>
    <row r="633" spans="2:19" ht="14" x14ac:dyDescent="0.2"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</row>
    <row r="634" spans="2:19" ht="14" x14ac:dyDescent="0.2"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</row>
    <row r="635" spans="2:19" ht="14" x14ac:dyDescent="0.2"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</row>
    <row r="636" spans="2:19" ht="14" x14ac:dyDescent="0.2"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</row>
    <row r="637" spans="2:19" ht="14" x14ac:dyDescent="0.2"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</row>
    <row r="638" spans="2:19" ht="14" x14ac:dyDescent="0.2"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</row>
    <row r="639" spans="2:19" ht="14" x14ac:dyDescent="0.2"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</row>
    <row r="640" spans="2:19" ht="14" x14ac:dyDescent="0.2"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</row>
    <row r="641" spans="2:19" ht="14" x14ac:dyDescent="0.2"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</row>
    <row r="642" spans="2:19" ht="14" x14ac:dyDescent="0.2"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</row>
    <row r="643" spans="2:19" ht="14" x14ac:dyDescent="0.2"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</row>
    <row r="644" spans="2:19" ht="14" x14ac:dyDescent="0.2"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</row>
    <row r="645" spans="2:19" ht="14" x14ac:dyDescent="0.2"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</row>
    <row r="646" spans="2:19" ht="14" x14ac:dyDescent="0.2"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</row>
    <row r="647" spans="2:19" ht="14" x14ac:dyDescent="0.2"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</row>
    <row r="648" spans="2:19" ht="14" x14ac:dyDescent="0.2"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</row>
    <row r="649" spans="2:19" ht="14" x14ac:dyDescent="0.2"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</row>
    <row r="650" spans="2:19" ht="14" x14ac:dyDescent="0.2"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</row>
    <row r="651" spans="2:19" ht="14" x14ac:dyDescent="0.2"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</row>
    <row r="652" spans="2:19" ht="14" x14ac:dyDescent="0.2"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</row>
    <row r="653" spans="2:19" ht="14" x14ac:dyDescent="0.2"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</row>
    <row r="654" spans="2:19" ht="14" x14ac:dyDescent="0.2"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</row>
    <row r="655" spans="2:19" ht="14" x14ac:dyDescent="0.2"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</row>
    <row r="656" spans="2:19" ht="14" x14ac:dyDescent="0.2"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</row>
    <row r="657" spans="2:19" ht="14" x14ac:dyDescent="0.2"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</row>
    <row r="658" spans="2:19" ht="14" x14ac:dyDescent="0.2"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</row>
    <row r="659" spans="2:19" ht="14" x14ac:dyDescent="0.2"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</row>
    <row r="660" spans="2:19" ht="14" x14ac:dyDescent="0.2"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</row>
    <row r="661" spans="2:19" ht="14" x14ac:dyDescent="0.2"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</row>
    <row r="662" spans="2:19" ht="14" x14ac:dyDescent="0.2"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</row>
    <row r="663" spans="2:19" ht="14" x14ac:dyDescent="0.2"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</row>
    <row r="664" spans="2:19" ht="14" x14ac:dyDescent="0.2"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</row>
    <row r="665" spans="2:19" ht="14" x14ac:dyDescent="0.2"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</row>
    <row r="666" spans="2:19" ht="14" x14ac:dyDescent="0.2"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</row>
    <row r="667" spans="2:19" ht="14" x14ac:dyDescent="0.2"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</row>
    <row r="668" spans="2:19" ht="14" x14ac:dyDescent="0.2"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</row>
    <row r="669" spans="2:19" ht="14" x14ac:dyDescent="0.2"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</row>
    <row r="670" spans="2:19" ht="14" x14ac:dyDescent="0.2"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</row>
    <row r="671" spans="2:19" ht="14" x14ac:dyDescent="0.2"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</row>
    <row r="672" spans="2:19" ht="14" x14ac:dyDescent="0.2"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</row>
    <row r="673" spans="2:19" ht="14" x14ac:dyDescent="0.2"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</row>
    <row r="674" spans="2:19" ht="14" x14ac:dyDescent="0.2"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</row>
    <row r="675" spans="2:19" ht="14" x14ac:dyDescent="0.2"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</row>
    <row r="676" spans="2:19" ht="14" x14ac:dyDescent="0.2"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</row>
    <row r="677" spans="2:19" ht="14" x14ac:dyDescent="0.2"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</row>
    <row r="678" spans="2:19" ht="14" x14ac:dyDescent="0.2"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</row>
    <row r="679" spans="2:19" ht="14" x14ac:dyDescent="0.2"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</row>
    <row r="680" spans="2:19" ht="14" x14ac:dyDescent="0.2"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</row>
    <row r="681" spans="2:19" ht="14" x14ac:dyDescent="0.2"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</row>
    <row r="682" spans="2:19" ht="14" x14ac:dyDescent="0.2"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</row>
    <row r="683" spans="2:19" ht="14" x14ac:dyDescent="0.2"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</row>
    <row r="684" spans="2:19" ht="14" x14ac:dyDescent="0.2"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</row>
    <row r="685" spans="2:19" ht="14" x14ac:dyDescent="0.2"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</row>
    <row r="686" spans="2:19" ht="14" x14ac:dyDescent="0.2"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</row>
    <row r="687" spans="2:19" ht="14" x14ac:dyDescent="0.2"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</row>
    <row r="688" spans="2:19" ht="14" x14ac:dyDescent="0.2"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</row>
    <row r="689" spans="2:19" ht="14" x14ac:dyDescent="0.2"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</row>
    <row r="690" spans="2:19" ht="14" x14ac:dyDescent="0.2"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</row>
    <row r="691" spans="2:19" ht="14" x14ac:dyDescent="0.2"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</row>
    <row r="692" spans="2:19" ht="14" x14ac:dyDescent="0.2"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</row>
    <row r="693" spans="2:19" ht="14" x14ac:dyDescent="0.2"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</row>
    <row r="694" spans="2:19" ht="14" x14ac:dyDescent="0.2"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</row>
    <row r="695" spans="2:19" ht="14" x14ac:dyDescent="0.2"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</row>
    <row r="696" spans="2:19" ht="14" x14ac:dyDescent="0.2"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</row>
    <row r="697" spans="2:19" ht="14" x14ac:dyDescent="0.2"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</row>
    <row r="698" spans="2:19" ht="14" x14ac:dyDescent="0.2"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</row>
    <row r="699" spans="2:19" ht="14" x14ac:dyDescent="0.2"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</row>
    <row r="700" spans="2:19" ht="14" x14ac:dyDescent="0.2"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</row>
    <row r="701" spans="2:19" ht="14" x14ac:dyDescent="0.2"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</row>
    <row r="702" spans="2:19" ht="14" x14ac:dyDescent="0.2"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</row>
    <row r="703" spans="2:19" ht="14" x14ac:dyDescent="0.2"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</row>
    <row r="704" spans="2:19" ht="14" x14ac:dyDescent="0.2"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</row>
    <row r="705" spans="2:19" ht="14" x14ac:dyDescent="0.2"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</row>
    <row r="706" spans="2:19" ht="14" x14ac:dyDescent="0.2"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</row>
    <row r="707" spans="2:19" ht="14" x14ac:dyDescent="0.2"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</row>
    <row r="708" spans="2:19" ht="14" x14ac:dyDescent="0.2"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</row>
    <row r="709" spans="2:19" ht="14" x14ac:dyDescent="0.2"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</row>
    <row r="710" spans="2:19" ht="14" x14ac:dyDescent="0.2"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</row>
    <row r="711" spans="2:19" ht="14" x14ac:dyDescent="0.2"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</row>
    <row r="712" spans="2:19" ht="14" x14ac:dyDescent="0.2"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</row>
    <row r="713" spans="2:19" ht="14" x14ac:dyDescent="0.2"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</row>
    <row r="714" spans="2:19" ht="14" x14ac:dyDescent="0.2"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</row>
    <row r="715" spans="2:19" ht="14" x14ac:dyDescent="0.2"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</row>
    <row r="716" spans="2:19" ht="14" x14ac:dyDescent="0.2"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</row>
    <row r="717" spans="2:19" ht="14" x14ac:dyDescent="0.2"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</row>
    <row r="718" spans="2:19" ht="14" x14ac:dyDescent="0.2"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</row>
    <row r="719" spans="2:19" ht="14" x14ac:dyDescent="0.2"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</row>
    <row r="720" spans="2:19" ht="14" x14ac:dyDescent="0.2"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</row>
    <row r="721" spans="2:19" ht="14" x14ac:dyDescent="0.2"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</row>
    <row r="722" spans="2:19" ht="14" x14ac:dyDescent="0.2"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</row>
    <row r="723" spans="2:19" ht="14" x14ac:dyDescent="0.2"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</row>
    <row r="724" spans="2:19" ht="14" x14ac:dyDescent="0.2"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</row>
    <row r="725" spans="2:19" ht="14" x14ac:dyDescent="0.2"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</row>
    <row r="726" spans="2:19" ht="14" x14ac:dyDescent="0.2"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</row>
    <row r="727" spans="2:19" ht="14" x14ac:dyDescent="0.2"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</row>
    <row r="728" spans="2:19" ht="14" x14ac:dyDescent="0.2"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</row>
    <row r="729" spans="2:19" ht="14" x14ac:dyDescent="0.2"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</row>
    <row r="730" spans="2:19" ht="14" x14ac:dyDescent="0.2"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</row>
    <row r="731" spans="2:19" ht="14" x14ac:dyDescent="0.2"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</row>
    <row r="732" spans="2:19" ht="14" x14ac:dyDescent="0.2"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</row>
    <row r="733" spans="2:19" ht="14" x14ac:dyDescent="0.2"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</row>
    <row r="734" spans="2:19" ht="14" x14ac:dyDescent="0.2"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</row>
    <row r="735" spans="2:19" ht="14" x14ac:dyDescent="0.2"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</row>
    <row r="736" spans="2:19" ht="14" x14ac:dyDescent="0.2"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</row>
    <row r="737" spans="2:19" ht="14" x14ac:dyDescent="0.2"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</row>
    <row r="738" spans="2:19" ht="14" x14ac:dyDescent="0.2"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</row>
    <row r="739" spans="2:19" ht="14" x14ac:dyDescent="0.2"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</row>
    <row r="740" spans="2:19" ht="14" x14ac:dyDescent="0.2"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</row>
    <row r="741" spans="2:19" ht="14" x14ac:dyDescent="0.2"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</row>
    <row r="742" spans="2:19" ht="14" x14ac:dyDescent="0.2"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</row>
    <row r="743" spans="2:19" ht="14" x14ac:dyDescent="0.2"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</row>
    <row r="744" spans="2:19" ht="14" x14ac:dyDescent="0.2"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</row>
    <row r="745" spans="2:19" ht="14" x14ac:dyDescent="0.2"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</row>
    <row r="746" spans="2:19" ht="14" x14ac:dyDescent="0.2"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</row>
    <row r="747" spans="2:19" ht="14" x14ac:dyDescent="0.2"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</row>
    <row r="748" spans="2:19" ht="14" x14ac:dyDescent="0.2"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</row>
    <row r="749" spans="2:19" ht="14" x14ac:dyDescent="0.2"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</row>
    <row r="750" spans="2:19" ht="14" x14ac:dyDescent="0.2"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</row>
    <row r="751" spans="2:19" ht="14" x14ac:dyDescent="0.2"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</row>
    <row r="752" spans="2:19" ht="14" x14ac:dyDescent="0.2"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</row>
    <row r="753" spans="2:19" ht="14" x14ac:dyDescent="0.2"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</row>
    <row r="754" spans="2:19" ht="14" x14ac:dyDescent="0.2"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</row>
    <row r="755" spans="2:19" ht="14" x14ac:dyDescent="0.2"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</row>
    <row r="756" spans="2:19" ht="14" x14ac:dyDescent="0.2"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</row>
    <row r="757" spans="2:19" ht="14" x14ac:dyDescent="0.2"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</row>
    <row r="758" spans="2:19" ht="14" x14ac:dyDescent="0.2"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</row>
    <row r="759" spans="2:19" ht="14" x14ac:dyDescent="0.2"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</row>
    <row r="760" spans="2:19" ht="14" x14ac:dyDescent="0.2"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</row>
    <row r="761" spans="2:19" ht="14" x14ac:dyDescent="0.2"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</row>
    <row r="762" spans="2:19" ht="14" x14ac:dyDescent="0.2"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</row>
    <row r="763" spans="2:19" ht="14" x14ac:dyDescent="0.2"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</row>
    <row r="764" spans="2:19" ht="14" x14ac:dyDescent="0.2"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</row>
    <row r="765" spans="2:19" ht="14" x14ac:dyDescent="0.2"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</row>
    <row r="766" spans="2:19" ht="14" x14ac:dyDescent="0.2"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</row>
    <row r="767" spans="2:19" ht="14" x14ac:dyDescent="0.2"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</row>
    <row r="768" spans="2:19" ht="14" x14ac:dyDescent="0.2"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</row>
    <row r="769" spans="2:19" ht="14" x14ac:dyDescent="0.2"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</row>
    <row r="770" spans="2:19" ht="14" x14ac:dyDescent="0.2"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</row>
    <row r="771" spans="2:19" ht="14" x14ac:dyDescent="0.2"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</row>
    <row r="772" spans="2:19" ht="14" x14ac:dyDescent="0.2"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</row>
    <row r="773" spans="2:19" ht="14" x14ac:dyDescent="0.2"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</row>
    <row r="774" spans="2:19" ht="14" x14ac:dyDescent="0.2"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</row>
    <row r="775" spans="2:19" ht="14" x14ac:dyDescent="0.2"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</row>
    <row r="776" spans="2:19" ht="14" x14ac:dyDescent="0.2"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</row>
    <row r="777" spans="2:19" ht="14" x14ac:dyDescent="0.2"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</row>
    <row r="778" spans="2:19" ht="14" x14ac:dyDescent="0.2"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</row>
    <row r="779" spans="2:19" ht="14" x14ac:dyDescent="0.2"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</row>
    <row r="780" spans="2:19" ht="14" x14ac:dyDescent="0.2"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</row>
    <row r="781" spans="2:19" ht="14" x14ac:dyDescent="0.2"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</row>
    <row r="782" spans="2:19" ht="14" x14ac:dyDescent="0.2"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</row>
    <row r="783" spans="2:19" ht="14" x14ac:dyDescent="0.2"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</row>
    <row r="784" spans="2:19" ht="14" x14ac:dyDescent="0.2"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</row>
    <row r="785" spans="2:19" ht="14" x14ac:dyDescent="0.2"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</row>
    <row r="786" spans="2:19" ht="14" x14ac:dyDescent="0.2"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</row>
    <row r="787" spans="2:19" ht="14" x14ac:dyDescent="0.2"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</row>
    <row r="788" spans="2:19" ht="14" x14ac:dyDescent="0.2"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</row>
    <row r="789" spans="2:19" ht="14" x14ac:dyDescent="0.2"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</row>
    <row r="790" spans="2:19" ht="14" x14ac:dyDescent="0.2"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</row>
    <row r="791" spans="2:19" ht="14" x14ac:dyDescent="0.2"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</row>
    <row r="792" spans="2:19" ht="14" x14ac:dyDescent="0.2"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</row>
    <row r="793" spans="2:19" ht="14" x14ac:dyDescent="0.2"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</row>
    <row r="794" spans="2:19" ht="14" x14ac:dyDescent="0.2"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</row>
    <row r="795" spans="2:19" ht="14" x14ac:dyDescent="0.2"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</row>
    <row r="796" spans="2:19" ht="14" x14ac:dyDescent="0.2"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</row>
    <row r="797" spans="2:19" ht="14" x14ac:dyDescent="0.2"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</row>
    <row r="798" spans="2:19" ht="14" x14ac:dyDescent="0.2"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</row>
    <row r="799" spans="2:19" ht="14" x14ac:dyDescent="0.2"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</row>
    <row r="800" spans="2:19" ht="14" x14ac:dyDescent="0.2"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</row>
    <row r="801" spans="2:19" ht="14" x14ac:dyDescent="0.2"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</row>
    <row r="802" spans="2:19" ht="14" x14ac:dyDescent="0.2"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</row>
    <row r="803" spans="2:19" ht="14" x14ac:dyDescent="0.2"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</row>
    <row r="804" spans="2:19" ht="14" x14ac:dyDescent="0.2"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</row>
    <row r="805" spans="2:19" ht="14" x14ac:dyDescent="0.2"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</row>
    <row r="806" spans="2:19" ht="14" x14ac:dyDescent="0.2"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</row>
    <row r="807" spans="2:19" ht="14" x14ac:dyDescent="0.2"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</row>
    <row r="808" spans="2:19" ht="14" x14ac:dyDescent="0.2"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</row>
    <row r="809" spans="2:19" ht="14" x14ac:dyDescent="0.2"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</row>
    <row r="810" spans="2:19" ht="14" x14ac:dyDescent="0.2"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</row>
    <row r="811" spans="2:19" ht="14" x14ac:dyDescent="0.2"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</row>
    <row r="812" spans="2:19" ht="14" x14ac:dyDescent="0.2"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</row>
    <row r="813" spans="2:19" ht="14" x14ac:dyDescent="0.2"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</row>
    <row r="814" spans="2:19" ht="14" x14ac:dyDescent="0.2"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</row>
    <row r="815" spans="2:19" ht="14" x14ac:dyDescent="0.2"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</row>
    <row r="816" spans="2:19" ht="14" x14ac:dyDescent="0.2"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</row>
    <row r="817" spans="2:19" ht="14" x14ac:dyDescent="0.2"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</row>
    <row r="818" spans="2:19" ht="14" x14ac:dyDescent="0.2"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</row>
    <row r="819" spans="2:19" ht="14" x14ac:dyDescent="0.2"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</row>
    <row r="820" spans="2:19" ht="14" x14ac:dyDescent="0.2"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</row>
    <row r="821" spans="2:19" ht="14" x14ac:dyDescent="0.2"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</row>
    <row r="822" spans="2:19" ht="14" x14ac:dyDescent="0.2"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</row>
    <row r="823" spans="2:19" ht="14" x14ac:dyDescent="0.2"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</row>
    <row r="824" spans="2:19" ht="14" x14ac:dyDescent="0.2"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</row>
    <row r="825" spans="2:19" ht="14" x14ac:dyDescent="0.2"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</row>
    <row r="826" spans="2:19" ht="14" x14ac:dyDescent="0.2"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</row>
    <row r="827" spans="2:19" ht="14" x14ac:dyDescent="0.2"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</row>
    <row r="828" spans="2:19" ht="14" x14ac:dyDescent="0.2"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</row>
    <row r="829" spans="2:19" ht="14" x14ac:dyDescent="0.2"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</row>
    <row r="830" spans="2:19" ht="14" x14ac:dyDescent="0.2"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</row>
    <row r="831" spans="2:19" ht="14" x14ac:dyDescent="0.2"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</row>
    <row r="832" spans="2:19" ht="14" x14ac:dyDescent="0.2"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</row>
    <row r="833" spans="2:19" ht="14" x14ac:dyDescent="0.2"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</row>
    <row r="834" spans="2:19" ht="14" x14ac:dyDescent="0.2"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</row>
    <row r="835" spans="2:19" ht="14" x14ac:dyDescent="0.2"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</row>
    <row r="836" spans="2:19" ht="14" x14ac:dyDescent="0.2"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</row>
    <row r="837" spans="2:19" ht="14" x14ac:dyDescent="0.2"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</row>
    <row r="838" spans="2:19" ht="14" x14ac:dyDescent="0.2"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</row>
    <row r="839" spans="2:19" ht="14" x14ac:dyDescent="0.2"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</row>
    <row r="840" spans="2:19" ht="14" x14ac:dyDescent="0.2"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</row>
    <row r="841" spans="2:19" ht="14" x14ac:dyDescent="0.2"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</row>
    <row r="842" spans="2:19" ht="14" x14ac:dyDescent="0.2"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</row>
    <row r="843" spans="2:19" ht="14" x14ac:dyDescent="0.2"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</row>
    <row r="844" spans="2:19" ht="14" x14ac:dyDescent="0.2"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</row>
    <row r="845" spans="2:19" ht="14" x14ac:dyDescent="0.2"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</row>
    <row r="846" spans="2:19" ht="14" x14ac:dyDescent="0.2"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</row>
    <row r="847" spans="2:19" ht="14" x14ac:dyDescent="0.2"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</row>
    <row r="848" spans="2:19" ht="14" x14ac:dyDescent="0.2"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</row>
    <row r="849" spans="2:19" ht="14" x14ac:dyDescent="0.2"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</row>
    <row r="850" spans="2:19" ht="14" x14ac:dyDescent="0.2"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</row>
    <row r="851" spans="2:19" ht="14" x14ac:dyDescent="0.2"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</row>
    <row r="852" spans="2:19" ht="14" x14ac:dyDescent="0.2"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</row>
    <row r="853" spans="2:19" ht="14" x14ac:dyDescent="0.2"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</row>
    <row r="854" spans="2:19" ht="14" x14ac:dyDescent="0.2"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</row>
    <row r="855" spans="2:19" ht="14" x14ac:dyDescent="0.2"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</row>
    <row r="856" spans="2:19" ht="14" x14ac:dyDescent="0.2"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</row>
    <row r="857" spans="2:19" ht="14" x14ac:dyDescent="0.2"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</row>
    <row r="858" spans="2:19" ht="14" x14ac:dyDescent="0.2"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</row>
    <row r="859" spans="2:19" ht="14" x14ac:dyDescent="0.2"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</row>
    <row r="860" spans="2:19" ht="14" x14ac:dyDescent="0.2"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</row>
    <row r="861" spans="2:19" ht="14" x14ac:dyDescent="0.2"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</row>
    <row r="862" spans="2:19" ht="14" x14ac:dyDescent="0.2"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</row>
    <row r="863" spans="2:19" ht="14" x14ac:dyDescent="0.2"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</row>
    <row r="864" spans="2:19" ht="14" x14ac:dyDescent="0.2"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</row>
    <row r="865" spans="2:19" ht="14" x14ac:dyDescent="0.2"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</row>
    <row r="866" spans="2:19" ht="14" x14ac:dyDescent="0.2"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</row>
    <row r="867" spans="2:19" ht="14" x14ac:dyDescent="0.2"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</row>
    <row r="868" spans="2:19" ht="14" x14ac:dyDescent="0.2"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</row>
    <row r="869" spans="2:19" ht="14" x14ac:dyDescent="0.2"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</row>
    <row r="870" spans="2:19" ht="14" x14ac:dyDescent="0.2"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</row>
    <row r="871" spans="2:19" ht="14" x14ac:dyDescent="0.2"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</row>
    <row r="872" spans="2:19" ht="14" x14ac:dyDescent="0.2"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</row>
    <row r="873" spans="2:19" ht="14" x14ac:dyDescent="0.2"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</row>
    <row r="874" spans="2:19" ht="14" x14ac:dyDescent="0.2"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</row>
    <row r="875" spans="2:19" ht="14" x14ac:dyDescent="0.2"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</row>
    <row r="876" spans="2:19" ht="14" x14ac:dyDescent="0.2"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</row>
    <row r="877" spans="2:19" ht="14" x14ac:dyDescent="0.2"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</row>
    <row r="878" spans="2:19" ht="14" x14ac:dyDescent="0.2"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</row>
    <row r="879" spans="2:19" ht="14" x14ac:dyDescent="0.2"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</row>
    <row r="880" spans="2:19" ht="14" x14ac:dyDescent="0.2"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</row>
    <row r="881" spans="2:19" ht="14" x14ac:dyDescent="0.2"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</row>
    <row r="882" spans="2:19" ht="14" x14ac:dyDescent="0.2"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</row>
    <row r="883" spans="2:19" ht="14" x14ac:dyDescent="0.2"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</row>
    <row r="884" spans="2:19" ht="14" x14ac:dyDescent="0.2"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</row>
    <row r="885" spans="2:19" ht="14" x14ac:dyDescent="0.2"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</row>
    <row r="886" spans="2:19" ht="14" x14ac:dyDescent="0.2"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</row>
    <row r="887" spans="2:19" ht="14" x14ac:dyDescent="0.2"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</row>
    <row r="888" spans="2:19" ht="14" x14ac:dyDescent="0.2"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</row>
    <row r="889" spans="2:19" ht="14" x14ac:dyDescent="0.2"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</row>
    <row r="890" spans="2:19" ht="14" x14ac:dyDescent="0.2"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</row>
    <row r="891" spans="2:19" ht="14" x14ac:dyDescent="0.2"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</row>
    <row r="892" spans="2:19" ht="14" x14ac:dyDescent="0.2"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</row>
    <row r="893" spans="2:19" ht="14" x14ac:dyDescent="0.2"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</row>
    <row r="894" spans="2:19" ht="14" x14ac:dyDescent="0.2"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</row>
    <row r="895" spans="2:19" ht="14" x14ac:dyDescent="0.2"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</row>
    <row r="896" spans="2:19" ht="14" x14ac:dyDescent="0.2"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</row>
    <row r="897" spans="2:19" ht="14" x14ac:dyDescent="0.2"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</row>
    <row r="898" spans="2:19" ht="14" x14ac:dyDescent="0.2"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</row>
    <row r="899" spans="2:19" ht="14" x14ac:dyDescent="0.2"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</row>
    <row r="900" spans="2:19" ht="14" x14ac:dyDescent="0.2"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</row>
    <row r="901" spans="2:19" ht="14" x14ac:dyDescent="0.2"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</row>
    <row r="902" spans="2:19" ht="14" x14ac:dyDescent="0.2"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</row>
    <row r="903" spans="2:19" ht="14" x14ac:dyDescent="0.2"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</row>
    <row r="904" spans="2:19" ht="14" x14ac:dyDescent="0.2"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</row>
    <row r="905" spans="2:19" ht="14" x14ac:dyDescent="0.2"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</row>
    <row r="906" spans="2:19" ht="14" x14ac:dyDescent="0.2"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</row>
    <row r="907" spans="2:19" ht="14" x14ac:dyDescent="0.2"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</row>
    <row r="908" spans="2:19" ht="14" x14ac:dyDescent="0.2"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</row>
    <row r="909" spans="2:19" ht="14" x14ac:dyDescent="0.2"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</row>
    <row r="910" spans="2:19" ht="14" x14ac:dyDescent="0.2"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</row>
    <row r="911" spans="2:19" ht="14" x14ac:dyDescent="0.2"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</row>
    <row r="912" spans="2:19" ht="14" x14ac:dyDescent="0.2"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</row>
    <row r="913" spans="2:19" ht="14" x14ac:dyDescent="0.2"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</row>
    <row r="914" spans="2:19" ht="14" x14ac:dyDescent="0.2"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</row>
    <row r="915" spans="2:19" ht="14" x14ac:dyDescent="0.2"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</row>
    <row r="916" spans="2:19" ht="14" x14ac:dyDescent="0.2"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</row>
    <row r="917" spans="2:19" ht="14" x14ac:dyDescent="0.2"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</row>
    <row r="918" spans="2:19" ht="14" x14ac:dyDescent="0.2"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</row>
    <row r="919" spans="2:19" ht="14" x14ac:dyDescent="0.2"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</row>
    <row r="920" spans="2:19" ht="14" x14ac:dyDescent="0.2"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</row>
    <row r="921" spans="2:19" ht="14" x14ac:dyDescent="0.2"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</row>
    <row r="922" spans="2:19" ht="14" x14ac:dyDescent="0.2"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</row>
    <row r="923" spans="2:19" ht="14" x14ac:dyDescent="0.2"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</row>
    <row r="924" spans="2:19" ht="14" x14ac:dyDescent="0.2"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</row>
    <row r="925" spans="2:19" ht="14" x14ac:dyDescent="0.2"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</row>
    <row r="926" spans="2:19" ht="14" x14ac:dyDescent="0.2"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</row>
    <row r="927" spans="2:19" ht="14" x14ac:dyDescent="0.2"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</row>
    <row r="928" spans="2:19" ht="14" x14ac:dyDescent="0.2"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</row>
    <row r="929" spans="2:19" ht="14" x14ac:dyDescent="0.2"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</row>
    <row r="930" spans="2:19" ht="14" x14ac:dyDescent="0.2"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</row>
    <row r="931" spans="2:19" ht="14" x14ac:dyDescent="0.2"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</row>
    <row r="932" spans="2:19" ht="14" x14ac:dyDescent="0.2"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</row>
    <row r="933" spans="2:19" ht="14" x14ac:dyDescent="0.2"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</row>
    <row r="934" spans="2:19" ht="14" x14ac:dyDescent="0.2"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</row>
    <row r="935" spans="2:19" ht="14" x14ac:dyDescent="0.2"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</row>
    <row r="936" spans="2:19" ht="14" x14ac:dyDescent="0.2"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</row>
    <row r="937" spans="2:19" ht="14" x14ac:dyDescent="0.2"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</row>
    <row r="938" spans="2:19" ht="14" x14ac:dyDescent="0.2"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</row>
    <row r="939" spans="2:19" ht="14" x14ac:dyDescent="0.2"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</row>
    <row r="940" spans="2:19" ht="14" x14ac:dyDescent="0.2"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</row>
    <row r="941" spans="2:19" ht="14" x14ac:dyDescent="0.2"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</row>
    <row r="942" spans="2:19" ht="14" x14ac:dyDescent="0.2"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</row>
    <row r="943" spans="2:19" ht="14" x14ac:dyDescent="0.2"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</row>
    <row r="944" spans="2:19" ht="14" x14ac:dyDescent="0.2"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</row>
    <row r="945" spans="2:19" ht="14" x14ac:dyDescent="0.2"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</row>
    <row r="946" spans="2:19" ht="14" x14ac:dyDescent="0.2"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</row>
    <row r="947" spans="2:19" ht="14" x14ac:dyDescent="0.2"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</row>
    <row r="948" spans="2:19" ht="14" x14ac:dyDescent="0.2"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</row>
    <row r="949" spans="2:19" ht="14" x14ac:dyDescent="0.2"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</row>
    <row r="950" spans="2:19" ht="14" x14ac:dyDescent="0.2"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</row>
    <row r="951" spans="2:19" ht="14" x14ac:dyDescent="0.2"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</row>
    <row r="952" spans="2:19" ht="14" x14ac:dyDescent="0.2"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</row>
    <row r="953" spans="2:19" ht="14" x14ac:dyDescent="0.2"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</row>
    <row r="954" spans="2:19" ht="14" x14ac:dyDescent="0.2"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</row>
    <row r="955" spans="2:19" ht="14" x14ac:dyDescent="0.2"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</row>
    <row r="956" spans="2:19" ht="14" x14ac:dyDescent="0.2"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</row>
    <row r="957" spans="2:19" ht="14" x14ac:dyDescent="0.2"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</row>
    <row r="958" spans="2:19" ht="14" x14ac:dyDescent="0.2"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</row>
    <row r="959" spans="2:19" ht="14" x14ac:dyDescent="0.2"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</row>
    <row r="960" spans="2:19" ht="14" x14ac:dyDescent="0.2"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</row>
    <row r="961" spans="2:19" ht="14" x14ac:dyDescent="0.2"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</row>
    <row r="962" spans="2:19" ht="14" x14ac:dyDescent="0.2"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</row>
    <row r="963" spans="2:19" ht="14" x14ac:dyDescent="0.2"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</row>
    <row r="964" spans="2:19" ht="14" x14ac:dyDescent="0.2"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</row>
    <row r="965" spans="2:19" ht="14" x14ac:dyDescent="0.2"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</row>
    <row r="966" spans="2:19" ht="14" x14ac:dyDescent="0.2"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</row>
    <row r="967" spans="2:19" ht="14" x14ac:dyDescent="0.2"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</row>
    <row r="968" spans="2:19" ht="14" x14ac:dyDescent="0.2"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</row>
    <row r="969" spans="2:19" ht="14" x14ac:dyDescent="0.2"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</row>
    <row r="970" spans="2:19" ht="14" x14ac:dyDescent="0.2"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</row>
    <row r="971" spans="2:19" ht="14" x14ac:dyDescent="0.2"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</row>
    <row r="972" spans="2:19" ht="14" x14ac:dyDescent="0.2"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</row>
    <row r="973" spans="2:19" ht="14" x14ac:dyDescent="0.2"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</row>
    <row r="974" spans="2:19" ht="14" x14ac:dyDescent="0.2"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</row>
    <row r="975" spans="2:19" ht="14" x14ac:dyDescent="0.2"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</row>
    <row r="976" spans="2:19" ht="14" x14ac:dyDescent="0.2"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</row>
    <row r="977" spans="2:19" ht="14" x14ac:dyDescent="0.2"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</row>
    <row r="978" spans="2:19" ht="14" x14ac:dyDescent="0.2"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</row>
    <row r="979" spans="2:19" ht="14" x14ac:dyDescent="0.2"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</row>
    <row r="980" spans="2:19" ht="14" x14ac:dyDescent="0.2"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</row>
    <row r="981" spans="2:19" ht="14" x14ac:dyDescent="0.2"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</row>
    <row r="982" spans="2:19" ht="14" x14ac:dyDescent="0.2"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</row>
    <row r="983" spans="2:19" ht="14" x14ac:dyDescent="0.2"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</row>
    <row r="984" spans="2:19" ht="14" x14ac:dyDescent="0.2"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</row>
    <row r="985" spans="2:19" ht="14" x14ac:dyDescent="0.2"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</row>
    <row r="986" spans="2:19" ht="14" x14ac:dyDescent="0.2"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</row>
    <row r="987" spans="2:19" ht="14" x14ac:dyDescent="0.2"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</row>
    <row r="988" spans="2:19" ht="14" x14ac:dyDescent="0.2"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</row>
    <row r="989" spans="2:19" ht="14" x14ac:dyDescent="0.2"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</row>
    <row r="990" spans="2:19" ht="14" x14ac:dyDescent="0.2"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</row>
    <row r="991" spans="2:19" ht="14" x14ac:dyDescent="0.2"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</row>
    <row r="992" spans="2:19" ht="14" x14ac:dyDescent="0.2"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</row>
    <row r="993" spans="2:19" ht="14" x14ac:dyDescent="0.2"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</row>
    <row r="994" spans="2:19" ht="14" x14ac:dyDescent="0.2"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</row>
    <row r="995" spans="2:19" ht="14" x14ac:dyDescent="0.2"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</row>
    <row r="996" spans="2:19" ht="14" x14ac:dyDescent="0.2"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</row>
    <row r="997" spans="2:19" ht="14" x14ac:dyDescent="0.2"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</row>
    <row r="998" spans="2:19" ht="14" x14ac:dyDescent="0.2"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</row>
    <row r="999" spans="2:19" ht="14" x14ac:dyDescent="0.2"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</row>
    <row r="1000" spans="2:19" ht="14" x14ac:dyDescent="0.2">
      <c r="P1000" s="28"/>
      <c r="Q1000" s="28"/>
      <c r="R1000" s="28"/>
      <c r="S1000" s="28"/>
    </row>
    <row r="1001" spans="2:19" ht="14" x14ac:dyDescent="0.2">
      <c r="P1001" s="28"/>
      <c r="Q1001" s="28"/>
      <c r="R1001" s="28"/>
      <c r="S1001" s="28"/>
    </row>
  </sheetData>
  <mergeCells count="6">
    <mergeCell ref="B1:G1"/>
    <mergeCell ref="H1:L1"/>
    <mergeCell ref="M1:S1"/>
    <mergeCell ref="B3:G3"/>
    <mergeCell ref="H3:L3"/>
    <mergeCell ref="M3:S3"/>
  </mergeCells>
  <printOptions gridLines="1"/>
  <pageMargins left="0.25" right="0.25" top="0.25" bottom="0.25" header="0" footer="0"/>
  <pageSetup pageOrder="overThenDown" orientation="landscape" cellComments="atEnd"/>
  <headerFooter>
    <oddFooter>&amp;RPage &amp;P of 3</oddFooter>
  </headerFooter>
  <rowBreaks count="2" manualBreakCount="2">
    <brk man="1"/>
    <brk id="31" man="1"/>
  </rowBreaks>
  <colBreaks count="4" manualBreakCount="4">
    <brk id="1" man="1"/>
    <brk id="19" man="1"/>
    <brk id="7" man="1"/>
    <brk id="1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9884-53C4-3E4C-B0A2-15498275AD31}">
  <dimension ref="A1:A5"/>
  <sheetViews>
    <sheetView workbookViewId="0">
      <selection activeCell="F18" sqref="F18"/>
    </sheetView>
  </sheetViews>
  <sheetFormatPr baseColWidth="10" defaultRowHeight="14" x14ac:dyDescent="0.2"/>
  <sheetData>
    <row r="1" spans="1:1" x14ac:dyDescent="0.2">
      <c r="A1" t="s">
        <v>39</v>
      </c>
    </row>
    <row r="2" spans="1:1" x14ac:dyDescent="0.2">
      <c r="A2" t="s">
        <v>44</v>
      </c>
    </row>
    <row r="3" spans="1:1" x14ac:dyDescent="0.2">
      <c r="A3" t="s">
        <v>43</v>
      </c>
    </row>
    <row r="4" spans="1:1" x14ac:dyDescent="0.2">
      <c r="A4" t="s">
        <v>45</v>
      </c>
    </row>
    <row r="5" spans="1:1" x14ac:dyDescent="0.2">
      <c r="A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Statewide Candidates</vt:lpstr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A Thomas</dc:creator>
  <cp:lastModifiedBy>Noah A Thomas</cp:lastModifiedBy>
  <dcterms:created xsi:type="dcterms:W3CDTF">2025-01-28T23:35:13Z</dcterms:created>
  <dcterms:modified xsi:type="dcterms:W3CDTF">2025-01-28T23:49:58Z</dcterms:modified>
</cp:coreProperties>
</file>