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906BB2C3-CEAD-8A4F-B921-6154AC387181}" xr6:coauthVersionLast="47" xr6:coauthVersionMax="47" xr10:uidLastSave="{00000000-0000-0000-0000-000000000000}"/>
  <bookViews>
    <workbookView xWindow="0" yWindow="500" windowWidth="28800" windowHeight="16280" activeTab="1" xr2:uid="{00000000-000D-0000-FFFF-FFFF00000000}"/>
  </bookViews>
  <sheets>
    <sheet name="PIVOT" sheetId="5" r:id="rId1"/>
    <sheet name="Sheet2" sheetId="6" r:id="rId2"/>
    <sheet name="Cleaning Log" sheetId="7" r:id="rId3"/>
    <sheet name="Precinct Results" sheetId="3" r:id="rId4"/>
  </sheets>
  <calcPr calcId="191029"/>
  <pivotCaches>
    <pivotCache cacheId="5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6" l="1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2" i="6"/>
  <c r="W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2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2" i="6"/>
</calcChain>
</file>

<file path=xl/sharedStrings.xml><?xml version="1.0" encoding="utf-8"?>
<sst xmlns="http://schemas.openxmlformats.org/spreadsheetml/2006/main" count="18364" uniqueCount="893">
  <si>
    <t>Office Name</t>
  </si>
  <si>
    <t>Contest ID</t>
  </si>
  <si>
    <t>Ballot Name</t>
  </si>
  <si>
    <t>Choice ID</t>
  </si>
  <si>
    <t>Party</t>
  </si>
  <si>
    <t>Total</t>
  </si>
  <si>
    <t xml:space="preserve">U.S. President </t>
  </si>
  <si>
    <t>State-1</t>
  </si>
  <si>
    <t>Ballots Cast</t>
  </si>
  <si>
    <t>CORNEL RONALD WEST / MELINA ABDULLAH</t>
  </si>
  <si>
    <t>9</t>
  </si>
  <si>
    <t>Unaffiliated</t>
  </si>
  <si>
    <t>LUCIFER "JUSTIN CASE" EVERYLOVE</t>
  </si>
  <si>
    <t>3</t>
  </si>
  <si>
    <t>JOEL SKOUSEN / RIK COMBS</t>
  </si>
  <si>
    <t>13</t>
  </si>
  <si>
    <t>Constitution</t>
  </si>
  <si>
    <t>JILL STEIN / RUDOLPH WARE</t>
  </si>
  <si>
    <t>8</t>
  </si>
  <si>
    <t>Green</t>
  </si>
  <si>
    <t>DONALD J. TRUMP / JD VANCE</t>
  </si>
  <si>
    <t>5</t>
  </si>
  <si>
    <t>Republican</t>
  </si>
  <si>
    <t>CHASE OLIVER / MIKE TER MAAT</t>
  </si>
  <si>
    <t>10</t>
  </si>
  <si>
    <t>Libertarian</t>
  </si>
  <si>
    <t>KAMALA D. HARRIS / TIM WALZ</t>
  </si>
  <si>
    <t>4</t>
  </si>
  <si>
    <t>Democratic</t>
  </si>
  <si>
    <t>CLAUDIA DE LA CRUZ / KARINA ALEXANDRA GARCIA</t>
  </si>
  <si>
    <t>15</t>
  </si>
  <si>
    <t>FUTURE MADAM POTUS</t>
  </si>
  <si>
    <t>1</t>
  </si>
  <si>
    <t>PETER SONSKI / LAUREN MICHELLE ONAK</t>
  </si>
  <si>
    <t>2</t>
  </si>
  <si>
    <t>JAY J BOWMAN / DE D. BOWMAN</t>
  </si>
  <si>
    <t>6</t>
  </si>
  <si>
    <t>STEVE M. JOHNSON</t>
  </si>
  <si>
    <t>7</t>
  </si>
  <si>
    <t>ANDRE RAMON MC NEIL</t>
  </si>
  <si>
    <t>11</t>
  </si>
  <si>
    <t>SHONDRA YEVETTE IRVING</t>
  </si>
  <si>
    <t>12</t>
  </si>
  <si>
    <t>BUDDIE ARDEN WILKERSON</t>
  </si>
  <si>
    <t>14</t>
  </si>
  <si>
    <t>Over Vote Count</t>
  </si>
  <si>
    <t>Under Vote Count</t>
  </si>
  <si>
    <t xml:space="preserve">U.S. Senate </t>
  </si>
  <si>
    <t>State-2</t>
  </si>
  <si>
    <t>CARLTON E. BOWEN</t>
  </si>
  <si>
    <t>19</t>
  </si>
  <si>
    <t>Independent American</t>
  </si>
  <si>
    <t>JOHN CURTIS</t>
  </si>
  <si>
    <t>18</t>
  </si>
  <si>
    <t>CAROLINE GLEICH</t>
  </si>
  <si>
    <t>17</t>
  </si>
  <si>
    <t>LAIRD FETZER HAMBLIN</t>
  </si>
  <si>
    <t>16</t>
  </si>
  <si>
    <t xml:space="preserve">U.S. House 1 </t>
  </si>
  <si>
    <t>State-3</t>
  </si>
  <si>
    <t>BILL CAMPBELL</t>
  </si>
  <si>
    <t>22</t>
  </si>
  <si>
    <t>DANIEL R. COTTAM</t>
  </si>
  <si>
    <t>20</t>
  </si>
  <si>
    <t>BLAKE D. MOORE</t>
  </si>
  <si>
    <t>21</t>
  </si>
  <si>
    <t xml:space="preserve">U.S. House 2 </t>
  </si>
  <si>
    <t>State-4</t>
  </si>
  <si>
    <t>NATHANIEL E  WOODWARD</t>
  </si>
  <si>
    <t>25</t>
  </si>
  <si>
    <t>CASSIE EASLEY</t>
  </si>
  <si>
    <t>26</t>
  </si>
  <si>
    <t>CELESTE MALOY</t>
  </si>
  <si>
    <t>24</t>
  </si>
  <si>
    <t>TYLER MURSET</t>
  </si>
  <si>
    <t>23</t>
  </si>
  <si>
    <t xml:space="preserve">U.S. House 3 </t>
  </si>
  <si>
    <t>State-5</t>
  </si>
  <si>
    <t>MIKE KENNEDY</t>
  </si>
  <si>
    <t>27</t>
  </si>
  <si>
    <t>GLENN J. WRIGHT</t>
  </si>
  <si>
    <t>28</t>
  </si>
  <si>
    <t xml:space="preserve">U.S. House 4 </t>
  </si>
  <si>
    <t>State-6</t>
  </si>
  <si>
    <t>M. EVAN BULLARD</t>
  </si>
  <si>
    <t>32</t>
  </si>
  <si>
    <t>VAUGHN R COOK</t>
  </si>
  <si>
    <t>29</t>
  </si>
  <si>
    <t>United Utah Party</t>
  </si>
  <si>
    <t>KATRINA FALLICK-WANG</t>
  </si>
  <si>
    <t>31</t>
  </si>
  <si>
    <t>BURGESS OWENS</t>
  </si>
  <si>
    <t>30</t>
  </si>
  <si>
    <t xml:space="preserve">Governor </t>
  </si>
  <si>
    <t>State-7</t>
  </si>
  <si>
    <t>SPENCER J. COX DEIDRE M. HENDERSON</t>
  </si>
  <si>
    <t>36</t>
  </si>
  <si>
    <t>TOMMY WILLIAMS ARCHIE A. WILLIAMS III</t>
  </si>
  <si>
    <t>40</t>
  </si>
  <si>
    <t>BRIAN SMITH KING REBEKAH CUMMINGS</t>
  </si>
  <si>
    <t>34</t>
  </si>
  <si>
    <t>J. ROBERT LATHAM BARRY EVAN SHORT</t>
  </si>
  <si>
    <t>33</t>
  </si>
  <si>
    <t>TOM TOMENY WILLIAM LANSING TAYLOR</t>
  </si>
  <si>
    <t>39</t>
  </si>
  <si>
    <t>PHIL LYMAN NATALIE CLAWSON</t>
  </si>
  <si>
    <t>37</t>
  </si>
  <si>
    <t>CHARLIE TAUTUAA SYLVIA MIERA FISK</t>
  </si>
  <si>
    <t>38</t>
  </si>
  <si>
    <t xml:space="preserve">Attorney General </t>
  </si>
  <si>
    <t>State-8</t>
  </si>
  <si>
    <t>DEREK BROWN</t>
  </si>
  <si>
    <t>45</t>
  </si>
  <si>
    <t>RUDY J BAUTISTA</t>
  </si>
  <si>
    <t>41</t>
  </si>
  <si>
    <t>W. ANDREW MCCULLOUGH</t>
  </si>
  <si>
    <t>42</t>
  </si>
  <si>
    <t>AUSTIN HEPWORTH</t>
  </si>
  <si>
    <t>43</t>
  </si>
  <si>
    <t>MICHELLE QUIST</t>
  </si>
  <si>
    <t>44</t>
  </si>
  <si>
    <t xml:space="preserve">State Auditor </t>
  </si>
  <si>
    <t>State-9</t>
  </si>
  <si>
    <t>TINA CANNON</t>
  </si>
  <si>
    <t>48</t>
  </si>
  <si>
    <t>JEFFREY L. OSTLER</t>
  </si>
  <si>
    <t>46</t>
  </si>
  <si>
    <t>CATHERINE VOUTAZ</t>
  </si>
  <si>
    <t>47</t>
  </si>
  <si>
    <t xml:space="preserve">State Treasurer </t>
  </si>
  <si>
    <t>State-10</t>
  </si>
  <si>
    <t>MILES POMEROY</t>
  </si>
  <si>
    <t>49</t>
  </si>
  <si>
    <t>Utah Forward</t>
  </si>
  <si>
    <t>MARLO M. OAKS</t>
  </si>
  <si>
    <t>50</t>
  </si>
  <si>
    <t>NEIL A HANSEN</t>
  </si>
  <si>
    <t>51</t>
  </si>
  <si>
    <t xml:space="preserve">State Senate 2 (Multi-County) </t>
  </si>
  <si>
    <t>State-11</t>
  </si>
  <si>
    <t>CHRIS WILSON</t>
  </si>
  <si>
    <t>52</t>
  </si>
  <si>
    <t>NANCY HUNTLY</t>
  </si>
  <si>
    <t>53</t>
  </si>
  <si>
    <t xml:space="preserve">State Senate 3 (Multi-County) </t>
  </si>
  <si>
    <t>State-12</t>
  </si>
  <si>
    <t>STACY BERNAL</t>
  </si>
  <si>
    <t>55</t>
  </si>
  <si>
    <t>JOHN D. JOHNSON</t>
  </si>
  <si>
    <t>54</t>
  </si>
  <si>
    <t xml:space="preserve">State Senate 4 (Multi-County) </t>
  </si>
  <si>
    <t>State-13</t>
  </si>
  <si>
    <t>CALVIN RAY MUSSELMAN</t>
  </si>
  <si>
    <t>56</t>
  </si>
  <si>
    <t xml:space="preserve">State Senate 8 (Multi-County) </t>
  </si>
  <si>
    <t>State-14</t>
  </si>
  <si>
    <t>TODD WEILER</t>
  </si>
  <si>
    <t>60</t>
  </si>
  <si>
    <t>AARON WILEY</t>
  </si>
  <si>
    <t>59</t>
  </si>
  <si>
    <t>LAREN C LIVINGSTON</t>
  </si>
  <si>
    <t>58</t>
  </si>
  <si>
    <t>ALISA COX VAN LANGEVELD</t>
  </si>
  <si>
    <t>57</t>
  </si>
  <si>
    <t xml:space="preserve">State Senate 10 </t>
  </si>
  <si>
    <t>State-15</t>
  </si>
  <si>
    <t>KYLE W.  ERB</t>
  </si>
  <si>
    <t>61</t>
  </si>
  <si>
    <t>LUZ ESCAMILLA</t>
  </si>
  <si>
    <t>62</t>
  </si>
  <si>
    <t xml:space="preserve">State Senate 12 (2 year term) </t>
  </si>
  <si>
    <t>State-16</t>
  </si>
  <si>
    <t>JUDY WEEKS-ROHNER</t>
  </si>
  <si>
    <t>64</t>
  </si>
  <si>
    <t>KAREN KWAN</t>
  </si>
  <si>
    <t>63</t>
  </si>
  <si>
    <t xml:space="preserve">State Senate 15 </t>
  </si>
  <si>
    <t>State-17</t>
  </si>
  <si>
    <t>SCOTT CUTHBERTSON</t>
  </si>
  <si>
    <t>66</t>
  </si>
  <si>
    <t>KATHLEEN ANN RIEBE</t>
  </si>
  <si>
    <t>65</t>
  </si>
  <si>
    <t xml:space="preserve">State Senate 16 </t>
  </si>
  <si>
    <t>State-18</t>
  </si>
  <si>
    <t>MONNICA MANUEL</t>
  </si>
  <si>
    <t>67</t>
  </si>
  <si>
    <t>WAYNE A HARPER</t>
  </si>
  <si>
    <t>68</t>
  </si>
  <si>
    <t xml:space="preserve">State Senate 17 </t>
  </si>
  <si>
    <t>State-19</t>
  </si>
  <si>
    <t>PAMELA BLOOM</t>
  </si>
  <si>
    <t>69</t>
  </si>
  <si>
    <t>LINCOLN FILLMORE</t>
  </si>
  <si>
    <t>70</t>
  </si>
  <si>
    <t xml:space="preserve">State Senate 22 (Multi-County) </t>
  </si>
  <si>
    <t>State-20</t>
  </si>
  <si>
    <t>HEIDI BALDERREE</t>
  </si>
  <si>
    <t>71</t>
  </si>
  <si>
    <t xml:space="preserve">State Senate 24 (Multi-County) </t>
  </si>
  <si>
    <t>State-21</t>
  </si>
  <si>
    <t>KEVEN J STRATTON</t>
  </si>
  <si>
    <t>72</t>
  </si>
  <si>
    <t>LORI ANDERSEN SPRUANCE</t>
  </si>
  <si>
    <t>73</t>
  </si>
  <si>
    <t xml:space="preserve">State Senate 25 </t>
  </si>
  <si>
    <t>State-22</t>
  </si>
  <si>
    <t>MIKE MCKELL</t>
  </si>
  <si>
    <t>74</t>
  </si>
  <si>
    <t>ALAN DALE HANSEN</t>
  </si>
  <si>
    <t>75</t>
  </si>
  <si>
    <t xml:space="preserve">State Senate 26 (Multi-County) </t>
  </si>
  <si>
    <t>State-23</t>
  </si>
  <si>
    <t>ORAN STAINBROOK</t>
  </si>
  <si>
    <t>78</t>
  </si>
  <si>
    <t>CORBIN DAVID FROST</t>
  </si>
  <si>
    <t>76</t>
  </si>
  <si>
    <t>DAVID HINKINS</t>
  </si>
  <si>
    <t>77</t>
  </si>
  <si>
    <t xml:space="preserve">State Senate 27 (Multi-County) </t>
  </si>
  <si>
    <t>State-24</t>
  </si>
  <si>
    <t>DERRIN R OWENS</t>
  </si>
  <si>
    <t>79</t>
  </si>
  <si>
    <t xml:space="preserve">State Senate 29  </t>
  </si>
  <si>
    <t>State-25</t>
  </si>
  <si>
    <t>DEIDRA RITCHHART</t>
  </si>
  <si>
    <t>80</t>
  </si>
  <si>
    <t>DON L. IPSON</t>
  </si>
  <si>
    <t>81</t>
  </si>
  <si>
    <t xml:space="preserve">State House 1 (Multi-County) </t>
  </si>
  <si>
    <t>State-26</t>
  </si>
  <si>
    <t>CLAUDIA BIGLER</t>
  </si>
  <si>
    <t>82</t>
  </si>
  <si>
    <t>THOMAS PETERSON</t>
  </si>
  <si>
    <t>83</t>
  </si>
  <si>
    <t xml:space="preserve">State House 2 </t>
  </si>
  <si>
    <t>State-27</t>
  </si>
  <si>
    <t>TOM LILJEGREN</t>
  </si>
  <si>
    <t>85</t>
  </si>
  <si>
    <t>MICHAEL J. PETERSEN</t>
  </si>
  <si>
    <t>84</t>
  </si>
  <si>
    <t xml:space="preserve">State House 3 </t>
  </si>
  <si>
    <t>State-28</t>
  </si>
  <si>
    <t>PATRICK BELMONT</t>
  </si>
  <si>
    <t>87</t>
  </si>
  <si>
    <t>JASON E. THOMPSON</t>
  </si>
  <si>
    <t>86</t>
  </si>
  <si>
    <t xml:space="preserve">State House 4 (Multi-County) </t>
  </si>
  <si>
    <t>State-29</t>
  </si>
  <si>
    <t>KERA YATES BIRKELAND</t>
  </si>
  <si>
    <t>89</t>
  </si>
  <si>
    <t>KRIS CAMPBELL</t>
  </si>
  <si>
    <t>88</t>
  </si>
  <si>
    <t xml:space="preserve">State House 5 </t>
  </si>
  <si>
    <t>State-30</t>
  </si>
  <si>
    <t>CASEY SNIDER</t>
  </si>
  <si>
    <t>90</t>
  </si>
  <si>
    <t xml:space="preserve">State House 6 (Multi-County) </t>
  </si>
  <si>
    <t>State-31</t>
  </si>
  <si>
    <t>MATTHEW H. GWYNN</t>
  </si>
  <si>
    <t>92</t>
  </si>
  <si>
    <t>AMBER HARDY</t>
  </si>
  <si>
    <t>91</t>
  </si>
  <si>
    <t xml:space="preserve">State House 7 </t>
  </si>
  <si>
    <t>State-32</t>
  </si>
  <si>
    <t>RYAN D. WILCOX</t>
  </si>
  <si>
    <t>93</t>
  </si>
  <si>
    <t xml:space="preserve">State House 8 (Multi-County) </t>
  </si>
  <si>
    <t>State-33</t>
  </si>
  <si>
    <t>JASON B KYLE</t>
  </si>
  <si>
    <t>94</t>
  </si>
  <si>
    <t xml:space="preserve">State House 9 </t>
  </si>
  <si>
    <t>State-34</t>
  </si>
  <si>
    <t>ANGELA CHOBERKA</t>
  </si>
  <si>
    <t>96</t>
  </si>
  <si>
    <t>JACOB K. JOHNSON</t>
  </si>
  <si>
    <t>95</t>
  </si>
  <si>
    <t>JAKE SAWYER</t>
  </si>
  <si>
    <t>97</t>
  </si>
  <si>
    <t xml:space="preserve">State House 10 </t>
  </si>
  <si>
    <t>State-35</t>
  </si>
  <si>
    <t>JILL KOFORD</t>
  </si>
  <si>
    <t>99</t>
  </si>
  <si>
    <t>ROSEMARY LESSER</t>
  </si>
  <si>
    <t>98</t>
  </si>
  <si>
    <t xml:space="preserve">State House 11 (Multi-County) </t>
  </si>
  <si>
    <t>State-36</t>
  </si>
  <si>
    <t>KATY HALL</t>
  </si>
  <si>
    <t>100</t>
  </si>
  <si>
    <t xml:space="preserve">State House 12 (Multi-County) </t>
  </si>
  <si>
    <t>State-37</t>
  </si>
  <si>
    <t>MIKE SCHULTZ</t>
  </si>
  <si>
    <t>102</t>
  </si>
  <si>
    <t>SHARON HILTON</t>
  </si>
  <si>
    <t>101</t>
  </si>
  <si>
    <t xml:space="preserve">State House 13 </t>
  </si>
  <si>
    <t>State-38</t>
  </si>
  <si>
    <t>LORRI ROGERS</t>
  </si>
  <si>
    <t>104</t>
  </si>
  <si>
    <t>KAREN M. PETERSON</t>
  </si>
  <si>
    <t>103</t>
  </si>
  <si>
    <t xml:space="preserve">State House 14 </t>
  </si>
  <si>
    <t>State-39</t>
  </si>
  <si>
    <t>KARIANNE LISONBEE</t>
  </si>
  <si>
    <t>105</t>
  </si>
  <si>
    <t xml:space="preserve">State House 15 </t>
  </si>
  <si>
    <t>State-40</t>
  </si>
  <si>
    <t>JOSH SMITH</t>
  </si>
  <si>
    <t>106</t>
  </si>
  <si>
    <t>ARIEL DEFAY</t>
  </si>
  <si>
    <t>107</t>
  </si>
  <si>
    <t xml:space="preserve">State House 16 </t>
  </si>
  <si>
    <t>State-41</t>
  </si>
  <si>
    <t>TREVOR LEE</t>
  </si>
  <si>
    <t>108</t>
  </si>
  <si>
    <t>ZEAID HASAN</t>
  </si>
  <si>
    <t>109</t>
  </si>
  <si>
    <t xml:space="preserve">State House 17 </t>
  </si>
  <si>
    <t>State-42</t>
  </si>
  <si>
    <t>STEWART E. BARLOW</t>
  </si>
  <si>
    <t>111</t>
  </si>
  <si>
    <t>ADAM FELLER</t>
  </si>
  <si>
    <t>110</t>
  </si>
  <si>
    <t xml:space="preserve">State House 18 </t>
  </si>
  <si>
    <t>State-43</t>
  </si>
  <si>
    <t>PAUL A. CUTLER</t>
  </si>
  <si>
    <t>113</t>
  </si>
  <si>
    <t>STEVE HARTWICK</t>
  </si>
  <si>
    <t>112</t>
  </si>
  <si>
    <t xml:space="preserve">State House 19 </t>
  </si>
  <si>
    <t>State-44</t>
  </si>
  <si>
    <t>RAYMOND P. WARD</t>
  </si>
  <si>
    <t>114</t>
  </si>
  <si>
    <t>NICK K WADSWORTH</t>
  </si>
  <si>
    <t>116</t>
  </si>
  <si>
    <t>CAMERON A DRANSFIELD</t>
  </si>
  <si>
    <t>115</t>
  </si>
  <si>
    <t xml:space="preserve">State House 20 </t>
  </si>
  <si>
    <t>State-45</t>
  </si>
  <si>
    <t>MELISSA GARFF BALLARD</t>
  </si>
  <si>
    <t>117</t>
  </si>
  <si>
    <t>LEW E JEPPSON</t>
  </si>
  <si>
    <t>118</t>
  </si>
  <si>
    <t xml:space="preserve">State House 21 </t>
  </si>
  <si>
    <t>State-46</t>
  </si>
  <si>
    <t>DAVID C. ATKIN</t>
  </si>
  <si>
    <t>119</t>
  </si>
  <si>
    <t>SANDRA HOLLINS</t>
  </si>
  <si>
    <t>120</t>
  </si>
  <si>
    <t xml:space="preserve">State House 22 </t>
  </si>
  <si>
    <t>State-47</t>
  </si>
  <si>
    <t>STEVE HARMSEN</t>
  </si>
  <si>
    <t>121</t>
  </si>
  <si>
    <t>JENNIFER L. DAILEY-PROVOST</t>
  </si>
  <si>
    <t>122</t>
  </si>
  <si>
    <t xml:space="preserve">State House 23 (Multi-County) </t>
  </si>
  <si>
    <t>State-48</t>
  </si>
  <si>
    <t>M.  SCOTT ROMNEY</t>
  </si>
  <si>
    <t>124</t>
  </si>
  <si>
    <t>CABOT WM. NELSON</t>
  </si>
  <si>
    <t>123</t>
  </si>
  <si>
    <t>HOANG NGUYEN</t>
  </si>
  <si>
    <t>125</t>
  </si>
  <si>
    <t xml:space="preserve">State House 24 </t>
  </si>
  <si>
    <t>State-49</t>
  </si>
  <si>
    <t>GRANT AMJAD MILLER</t>
  </si>
  <si>
    <t>126</t>
  </si>
  <si>
    <t xml:space="preserve">State House 25 </t>
  </si>
  <si>
    <t>State-50</t>
  </si>
  <si>
    <t>ANGELA ROMERO</t>
  </si>
  <si>
    <t>128</t>
  </si>
  <si>
    <t>RICHARD T NOWAK</t>
  </si>
  <si>
    <t>127</t>
  </si>
  <si>
    <t xml:space="preserve">State House 26 </t>
  </si>
  <si>
    <t>State-51</t>
  </si>
  <si>
    <t>JEANETTA WILLIAMS</t>
  </si>
  <si>
    <t>129</t>
  </si>
  <si>
    <t>MATT MACPHERSON</t>
  </si>
  <si>
    <t>130</t>
  </si>
  <si>
    <t xml:space="preserve">State House 27 </t>
  </si>
  <si>
    <t>State-52</t>
  </si>
  <si>
    <t>DAWN STEVENSON</t>
  </si>
  <si>
    <t>132</t>
  </si>
  <si>
    <t>ANTHONY EDWARD LOUBET</t>
  </si>
  <si>
    <t>131</t>
  </si>
  <si>
    <t xml:space="preserve">State House 28 </t>
  </si>
  <si>
    <t>State-53</t>
  </si>
  <si>
    <t>FRED L BAKER</t>
  </si>
  <si>
    <t>134</t>
  </si>
  <si>
    <t>NICHOLEEN P. PECK</t>
  </si>
  <si>
    <t>133</t>
  </si>
  <si>
    <t xml:space="preserve">State House 29 (Multi-County) </t>
  </si>
  <si>
    <t>State-54</t>
  </si>
  <si>
    <t>BRIDGER BOLINDER</t>
  </si>
  <si>
    <t>135</t>
  </si>
  <si>
    <t>RON DRAPER</t>
  </si>
  <si>
    <t>136</t>
  </si>
  <si>
    <t xml:space="preserve">State House 30 </t>
  </si>
  <si>
    <t>State-55</t>
  </si>
  <si>
    <t>FRED C COX</t>
  </si>
  <si>
    <t>137</t>
  </si>
  <si>
    <t>JAKE FITISEMANU</t>
  </si>
  <si>
    <t>138</t>
  </si>
  <si>
    <t xml:space="preserve">State House 31 </t>
  </si>
  <si>
    <t>State-56</t>
  </si>
  <si>
    <t>VERONA MAUGA</t>
  </si>
  <si>
    <t>139</t>
  </si>
  <si>
    <t>BILL SWANN</t>
  </si>
  <si>
    <t>140</t>
  </si>
  <si>
    <t xml:space="preserve">State House 32 </t>
  </si>
  <si>
    <t>State-57</t>
  </si>
  <si>
    <t>SARAH DAWN MONTES</t>
  </si>
  <si>
    <t>141</t>
  </si>
  <si>
    <t>SAHARA HAYES</t>
  </si>
  <si>
    <t>142</t>
  </si>
  <si>
    <t xml:space="preserve">State House 33 </t>
  </si>
  <si>
    <t>State-58</t>
  </si>
  <si>
    <t>SHERYL R FRASER</t>
  </si>
  <si>
    <t>144</t>
  </si>
  <si>
    <t>DOUG OWENS</t>
  </si>
  <si>
    <t>143</t>
  </si>
  <si>
    <t xml:space="preserve">State House 34 </t>
  </si>
  <si>
    <t>State-59</t>
  </si>
  <si>
    <t>DENNIS ROACH</t>
  </si>
  <si>
    <t>145</t>
  </si>
  <si>
    <t>KARL J. JUREK</t>
  </si>
  <si>
    <t>146</t>
  </si>
  <si>
    <t>CAROL SPACKMAN MOSS</t>
  </si>
  <si>
    <t>147</t>
  </si>
  <si>
    <t xml:space="preserve">State House 35 </t>
  </si>
  <si>
    <t>State-60</t>
  </si>
  <si>
    <t>MIKE BIRD</t>
  </si>
  <si>
    <t>148</t>
  </si>
  <si>
    <t>ROSALBA DOMINGUEZ</t>
  </si>
  <si>
    <t>149</t>
  </si>
  <si>
    <t xml:space="preserve">State House 36 </t>
  </si>
  <si>
    <t>State-61</t>
  </si>
  <si>
    <t>JIM DUNNIGAN</t>
  </si>
  <si>
    <t>150</t>
  </si>
  <si>
    <t xml:space="preserve">State House 37 </t>
  </si>
  <si>
    <t>State-62</t>
  </si>
  <si>
    <t>PAUL DOUGLAS JOHNSON</t>
  </si>
  <si>
    <t>152</t>
  </si>
  <si>
    <t>ASHLEE ANN MATTHEWS</t>
  </si>
  <si>
    <t>151</t>
  </si>
  <si>
    <t xml:space="preserve">State House 38 </t>
  </si>
  <si>
    <t>State-63</t>
  </si>
  <si>
    <t>CHERYL ACTON</t>
  </si>
  <si>
    <t>154</t>
  </si>
  <si>
    <t>STEVEN LAUDE  JR</t>
  </si>
  <si>
    <t>153</t>
  </si>
  <si>
    <t xml:space="preserve">State House 39 </t>
  </si>
  <si>
    <t>State-64</t>
  </si>
  <si>
    <t>JESSICA WIGNALL</t>
  </si>
  <si>
    <t>155</t>
  </si>
  <si>
    <t>KEN IVORY</t>
  </si>
  <si>
    <t>156</t>
  </si>
  <si>
    <t xml:space="preserve">State House 40 </t>
  </si>
  <si>
    <t>State-65</t>
  </si>
  <si>
    <t>JOHN JACKSON</t>
  </si>
  <si>
    <t>158</t>
  </si>
  <si>
    <t>ANDREW STODDARD</t>
  </si>
  <si>
    <t>159</t>
  </si>
  <si>
    <t>TYLER GLAITTLI</t>
  </si>
  <si>
    <t>157</t>
  </si>
  <si>
    <t xml:space="preserve">State House 41 </t>
  </si>
  <si>
    <t>State-66</t>
  </si>
  <si>
    <t>GAY LYNN BENNION</t>
  </si>
  <si>
    <t>161</t>
  </si>
  <si>
    <t>ROY PISKADLO</t>
  </si>
  <si>
    <t>160</t>
  </si>
  <si>
    <t xml:space="preserve">State House 42 </t>
  </si>
  <si>
    <t>State-67</t>
  </si>
  <si>
    <t>TRAVIS SMITH</t>
  </si>
  <si>
    <t>162</t>
  </si>
  <si>
    <t>CLINT OKERLUND</t>
  </si>
  <si>
    <t>163</t>
  </si>
  <si>
    <t xml:space="preserve">State House 43 </t>
  </si>
  <si>
    <t>State-68</t>
  </si>
  <si>
    <t>JASON R. BARBER</t>
  </si>
  <si>
    <t>164</t>
  </si>
  <si>
    <t>STEVE ELIASON</t>
  </si>
  <si>
    <t>165</t>
  </si>
  <si>
    <t xml:space="preserve">State House 44 </t>
  </si>
  <si>
    <t>State-69</t>
  </si>
  <si>
    <t>GREG GREEN</t>
  </si>
  <si>
    <t>167</t>
  </si>
  <si>
    <t>JORDAN DANIEL TEUSCHER</t>
  </si>
  <si>
    <t>166</t>
  </si>
  <si>
    <t xml:space="preserve">State House 45 </t>
  </si>
  <si>
    <t>State-70</t>
  </si>
  <si>
    <t>SARA ROSE CIMMERS</t>
  </si>
  <si>
    <t>168</t>
  </si>
  <si>
    <t>TRACY MILLER</t>
  </si>
  <si>
    <t>169</t>
  </si>
  <si>
    <t xml:space="preserve">State House 46 </t>
  </si>
  <si>
    <t>State-71</t>
  </si>
  <si>
    <t>CAL ROBERTS</t>
  </si>
  <si>
    <t>170</t>
  </si>
  <si>
    <t xml:space="preserve">State House 47 </t>
  </si>
  <si>
    <t>State-72</t>
  </si>
  <si>
    <t>MARK ASHBY STRONG</t>
  </si>
  <si>
    <t>172</t>
  </si>
  <si>
    <t>DAVID LUNDGREN</t>
  </si>
  <si>
    <t>171</t>
  </si>
  <si>
    <t xml:space="preserve">State House 48 </t>
  </si>
  <si>
    <t>State-73</t>
  </si>
  <si>
    <t>STEPHEN J MIDDLETON</t>
  </si>
  <si>
    <t>174</t>
  </si>
  <si>
    <t>DOUG K. FIEFIA</t>
  </si>
  <si>
    <t>173</t>
  </si>
  <si>
    <t xml:space="preserve">State House 49 </t>
  </si>
  <si>
    <t>State-74</t>
  </si>
  <si>
    <t>SAMUEL 'SGT SAM' WINKLER</t>
  </si>
  <si>
    <t>175</t>
  </si>
  <si>
    <t>CANDICE B. PIERUCCI</t>
  </si>
  <si>
    <t>176</t>
  </si>
  <si>
    <t xml:space="preserve">State House 50 </t>
  </si>
  <si>
    <t>State-75</t>
  </si>
  <si>
    <t>STEPHANIE GRICIUS</t>
  </si>
  <si>
    <t>177</t>
  </si>
  <si>
    <t xml:space="preserve">State House 51 </t>
  </si>
  <si>
    <t>State-76</t>
  </si>
  <si>
    <t>JEFFERSON R MOSS</t>
  </si>
  <si>
    <t>178</t>
  </si>
  <si>
    <t xml:space="preserve">State House 52 </t>
  </si>
  <si>
    <t>State-77</t>
  </si>
  <si>
    <t>CORY MALOY</t>
  </si>
  <si>
    <t>179</t>
  </si>
  <si>
    <t>MICHAEL KELLER</t>
  </si>
  <si>
    <t>180</t>
  </si>
  <si>
    <t xml:space="preserve">State House 53 </t>
  </si>
  <si>
    <t>State-78</t>
  </si>
  <si>
    <t>KAY JEFFERY CHRISTOFFERSON</t>
  </si>
  <si>
    <t>181</t>
  </si>
  <si>
    <t>ALEX DAY</t>
  </si>
  <si>
    <t>182</t>
  </si>
  <si>
    <t xml:space="preserve">State House 54 </t>
  </si>
  <si>
    <t>State-79</t>
  </si>
  <si>
    <t>BRADY BRAMMER</t>
  </si>
  <si>
    <t>183</t>
  </si>
  <si>
    <t xml:space="preserve">State House 55 </t>
  </si>
  <si>
    <t>State-80</t>
  </si>
  <si>
    <t>JON HAWKINS</t>
  </si>
  <si>
    <t>184</t>
  </si>
  <si>
    <t xml:space="preserve">State House 56  </t>
  </si>
  <si>
    <t>State-81</t>
  </si>
  <si>
    <t>VAL L PETERSON</t>
  </si>
  <si>
    <t>185</t>
  </si>
  <si>
    <t xml:space="preserve">State House 57 </t>
  </si>
  <si>
    <t>State-82</t>
  </si>
  <si>
    <t>NELSON ABBOTT</t>
  </si>
  <si>
    <t>186</t>
  </si>
  <si>
    <t>ALAN FRANK KEELE</t>
  </si>
  <si>
    <t>187</t>
  </si>
  <si>
    <t xml:space="preserve">State House 58 </t>
  </si>
  <si>
    <t>State-83</t>
  </si>
  <si>
    <t>JOSHUA SORENSEN</t>
  </si>
  <si>
    <t>188</t>
  </si>
  <si>
    <t>DAVID SHALLENBERGER</t>
  </si>
  <si>
    <t>189</t>
  </si>
  <si>
    <t xml:space="preserve">State House 59  (Multi-County) </t>
  </si>
  <si>
    <t>State-84</t>
  </si>
  <si>
    <t>JULIE A. MONAHAN</t>
  </si>
  <si>
    <t>190</t>
  </si>
  <si>
    <t>MIKE KOHLER</t>
  </si>
  <si>
    <t>191</t>
  </si>
  <si>
    <t xml:space="preserve">State House 60 </t>
  </si>
  <si>
    <t>State-85</t>
  </si>
  <si>
    <t>TYLER JAMES CLANCY</t>
  </si>
  <si>
    <t>192</t>
  </si>
  <si>
    <t xml:space="preserve">State House 61 </t>
  </si>
  <si>
    <t>State-86</t>
  </si>
  <si>
    <t>LISA SHEPHERD</t>
  </si>
  <si>
    <t>193</t>
  </si>
  <si>
    <t xml:space="preserve">State House 62 </t>
  </si>
  <si>
    <t>State-87</t>
  </si>
  <si>
    <t>KEVIN SLATER</t>
  </si>
  <si>
    <t>194</t>
  </si>
  <si>
    <t>NORM THURSTON</t>
  </si>
  <si>
    <t>195</t>
  </si>
  <si>
    <t xml:space="preserve">State House 63 </t>
  </si>
  <si>
    <t>State-88</t>
  </si>
  <si>
    <t>STEPHEN L. WHYTE</t>
  </si>
  <si>
    <t>197</t>
  </si>
  <si>
    <t>MARK YOUNGQUIST</t>
  </si>
  <si>
    <t>196</t>
  </si>
  <si>
    <t xml:space="preserve">State House 64 </t>
  </si>
  <si>
    <t>State-89</t>
  </si>
  <si>
    <t>JEFF BURTON</t>
  </si>
  <si>
    <t>198</t>
  </si>
  <si>
    <t>RICK TREVER DOUGAN</t>
  </si>
  <si>
    <t>199</t>
  </si>
  <si>
    <t xml:space="preserve">State House 65 </t>
  </si>
  <si>
    <t>State-90</t>
  </si>
  <si>
    <t>DOUGLAS R WELTON</t>
  </si>
  <si>
    <t>201</t>
  </si>
  <si>
    <t>JOSEPH M HANSEN</t>
  </si>
  <si>
    <t>200</t>
  </si>
  <si>
    <t xml:space="preserve">State House 66 (Multi-County) </t>
  </si>
  <si>
    <t>State-91</t>
  </si>
  <si>
    <t>TROY SHELLEY</t>
  </si>
  <si>
    <t>202</t>
  </si>
  <si>
    <t xml:space="preserve">State House 67 (Multi-County) </t>
  </si>
  <si>
    <t>State-92</t>
  </si>
  <si>
    <t>JOE CHRISTMAN</t>
  </si>
  <si>
    <t>204</t>
  </si>
  <si>
    <t>CHRISTINE FACER WATKINS</t>
  </si>
  <si>
    <t>203</t>
  </si>
  <si>
    <t xml:space="preserve">State House 68 (Multi-County) </t>
  </si>
  <si>
    <t>State-93</t>
  </si>
  <si>
    <t>SCOTT H CHEW</t>
  </si>
  <si>
    <t>205</t>
  </si>
  <si>
    <t xml:space="preserve">State House 69 (Multi-County) </t>
  </si>
  <si>
    <t>State-94</t>
  </si>
  <si>
    <t>LOGAN JAMES MONSON</t>
  </si>
  <si>
    <t>206</t>
  </si>
  <si>
    <t>DAVINA SMITH</t>
  </si>
  <si>
    <t>207</t>
  </si>
  <si>
    <t xml:space="preserve">State House 70 (Multi-County) </t>
  </si>
  <si>
    <t>State-95</t>
  </si>
  <si>
    <t>CARL R. ALBRECHT</t>
  </si>
  <si>
    <t>208</t>
  </si>
  <si>
    <t>ZENO B. PARRY</t>
  </si>
  <si>
    <t>209</t>
  </si>
  <si>
    <t xml:space="preserve">State House 71 </t>
  </si>
  <si>
    <t>State-96</t>
  </si>
  <si>
    <t>STEVE MERRILL</t>
  </si>
  <si>
    <t>211</t>
  </si>
  <si>
    <t>REX P. SHIPP</t>
  </si>
  <si>
    <t>210</t>
  </si>
  <si>
    <t xml:space="preserve">State House 72 </t>
  </si>
  <si>
    <t>State-97</t>
  </si>
  <si>
    <t>JOSEPH ELISON</t>
  </si>
  <si>
    <t>212</t>
  </si>
  <si>
    <t xml:space="preserve">State House 73 </t>
  </si>
  <si>
    <t>State-98</t>
  </si>
  <si>
    <t>COLIN W. JACK</t>
  </si>
  <si>
    <t>213</t>
  </si>
  <si>
    <t xml:space="preserve">State House 74 </t>
  </si>
  <si>
    <t>State-99</t>
  </si>
  <si>
    <t>R NEIL WALTER</t>
  </si>
  <si>
    <t>214</t>
  </si>
  <si>
    <t xml:space="preserve">State House 75 </t>
  </si>
  <si>
    <t>State-100</t>
  </si>
  <si>
    <t>WALT BROOKS</t>
  </si>
  <si>
    <t>215</t>
  </si>
  <si>
    <t>JOSHUA DUTSON</t>
  </si>
  <si>
    <t>216</t>
  </si>
  <si>
    <t xml:space="preserve">State School Board 3 (Multi-County) </t>
  </si>
  <si>
    <t>State-101</t>
  </si>
  <si>
    <t>ROD HALL</t>
  </si>
  <si>
    <t>217</t>
  </si>
  <si>
    <t>LAURA JOHNSON</t>
  </si>
  <si>
    <t>218</t>
  </si>
  <si>
    <t xml:space="preserve">State School Board 6 (Multi-County) </t>
  </si>
  <si>
    <t>State-102</t>
  </si>
  <si>
    <t>CAROL BARLOW LEAR</t>
  </si>
  <si>
    <t>219</t>
  </si>
  <si>
    <t>DIANE LIVINGSTON</t>
  </si>
  <si>
    <t>220</t>
  </si>
  <si>
    <t xml:space="preserve">State School Board 7 </t>
  </si>
  <si>
    <t>State-103</t>
  </si>
  <si>
    <t>MOLLY L HART</t>
  </si>
  <si>
    <t>221</t>
  </si>
  <si>
    <t>JOHN ARTHUR</t>
  </si>
  <si>
    <t>222</t>
  </si>
  <si>
    <t xml:space="preserve">State School Board 9 </t>
  </si>
  <si>
    <t>State-104</t>
  </si>
  <si>
    <t>AMANDA B BOLLINGER</t>
  </si>
  <si>
    <t>223</t>
  </si>
  <si>
    <t>WILL  SHIFLETT</t>
  </si>
  <si>
    <t>224</t>
  </si>
  <si>
    <t xml:space="preserve">State School Board 10 (Multi-County) </t>
  </si>
  <si>
    <t>State-105</t>
  </si>
  <si>
    <t>MATT HYMAS</t>
  </si>
  <si>
    <t>225</t>
  </si>
  <si>
    <t>DEBORAH L. GATRELL</t>
  </si>
  <si>
    <t>226</t>
  </si>
  <si>
    <t xml:space="preserve">State School Board 12 (Multi-County) </t>
  </si>
  <si>
    <t>State-106</t>
  </si>
  <si>
    <t>COLE J. KELLEY</t>
  </si>
  <si>
    <t>227</t>
  </si>
  <si>
    <t>JASON L ALLEN</t>
  </si>
  <si>
    <t>228</t>
  </si>
  <si>
    <t xml:space="preserve">State School Board 13 </t>
  </si>
  <si>
    <t>State-107</t>
  </si>
  <si>
    <t>RANDY BOOTHE</t>
  </si>
  <si>
    <t>229</t>
  </si>
  <si>
    <t xml:space="preserve">State School Board 15 (Multi-County) </t>
  </si>
  <si>
    <t>State-108</t>
  </si>
  <si>
    <t>JOANN BRINTON</t>
  </si>
  <si>
    <t>230</t>
  </si>
  <si>
    <t xml:space="preserve">Shall MATTHEW B. DURRANT be retained in the office of Justice of the Supreme Court of Utah? </t>
  </si>
  <si>
    <t>State-109</t>
  </si>
  <si>
    <t>YES</t>
  </si>
  <si>
    <t>232</t>
  </si>
  <si>
    <t>NO</t>
  </si>
  <si>
    <t>231</t>
  </si>
  <si>
    <t xml:space="preserve">Shall RYAN D. TENNEY be retained in the office of Judge of the Court of Appeals of Utah? </t>
  </si>
  <si>
    <t>State-110</t>
  </si>
  <si>
    <t>233</t>
  </si>
  <si>
    <t>234</t>
  </si>
  <si>
    <t xml:space="preserve">Shall BRANDON J. MAYNARD be retained in the office of Judge of the District Court of the First Judicial District? </t>
  </si>
  <si>
    <t>State-111</t>
  </si>
  <si>
    <t>235</t>
  </si>
  <si>
    <t>236</t>
  </si>
  <si>
    <t xml:space="preserve">Shall SPENCER D. WALSH be retained in the office of Judge of the District Court of the First Judicial District? </t>
  </si>
  <si>
    <t>State-112</t>
  </si>
  <si>
    <t>237</t>
  </si>
  <si>
    <t>238</t>
  </si>
  <si>
    <t xml:space="preserve">Shall JOSEPH M. BEAN be retained in the office of Judge of the District Court of the Second Judicial District? </t>
  </si>
  <si>
    <t>State-113</t>
  </si>
  <si>
    <t>239</t>
  </si>
  <si>
    <t>240</t>
  </si>
  <si>
    <t xml:space="preserve">Shall CRAIG HALL be retained in the office of Judge of the District Court of the Second Judicial District? </t>
  </si>
  <si>
    <t>State-114</t>
  </si>
  <si>
    <t>242</t>
  </si>
  <si>
    <t>241</t>
  </si>
  <si>
    <t xml:space="preserve">Shall CRISTINA PATRICIA ORTEGA be retained in the office of Judge of the District Court of the Second Judicial District? </t>
  </si>
  <si>
    <t>State-115</t>
  </si>
  <si>
    <t>244</t>
  </si>
  <si>
    <t>243</t>
  </si>
  <si>
    <t xml:space="preserve">Shall RONALD G. RUSSELL be retained in the office of Judge of the District Court of the Second Judicial District? </t>
  </si>
  <si>
    <t>State-116</t>
  </si>
  <si>
    <t>245</t>
  </si>
  <si>
    <t>246</t>
  </si>
  <si>
    <t xml:space="preserve">Shall TASHA WILLIAMS  be retained in the office of Judge of the Juvenile District Court of the Second Judicial District? </t>
  </si>
  <si>
    <t>State-117</t>
  </si>
  <si>
    <t>247</t>
  </si>
  <si>
    <t>248</t>
  </si>
  <si>
    <t xml:space="preserve">Shall HEATHER ANNETTE BRERETON be retained in the office of Judge of the District Court of the Third Judicial District? </t>
  </si>
  <si>
    <t>State-118</t>
  </si>
  <si>
    <t>249</t>
  </si>
  <si>
    <t>250</t>
  </si>
  <si>
    <t xml:space="preserve">Shall JAMES D. GARDNER be retained in the office of Judge of the District Court of the Third Judicial District? </t>
  </si>
  <si>
    <t>State-119</t>
  </si>
  <si>
    <t>252</t>
  </si>
  <si>
    <t>251</t>
  </si>
  <si>
    <t xml:space="preserve">Shall LELAND DOUGLAS HOGAN be retained in the office of Judge of the District Court of the Third Judicial District? </t>
  </si>
  <si>
    <t>State-120</t>
  </si>
  <si>
    <t>253</t>
  </si>
  <si>
    <t>254</t>
  </si>
  <si>
    <t xml:space="preserve">Shall KRISTINE EDDE JOHNSON be retained in the office of Judge of the District Court of the Third Judicial District? </t>
  </si>
  <si>
    <t>State-121</t>
  </si>
  <si>
    <t>255</t>
  </si>
  <si>
    <t>256</t>
  </si>
  <si>
    <t xml:space="preserve">Shall WILLIAM K. KENDALL  be retained in the office of Judge of the District Court of the Third Judicial District? </t>
  </si>
  <si>
    <t>State-122</t>
  </si>
  <si>
    <t>258</t>
  </si>
  <si>
    <t>257</t>
  </si>
  <si>
    <t xml:space="preserve">Shall KARA LEA PETTIT be retained in the office of Judge of the District Court of the Third Judicial District? </t>
  </si>
  <si>
    <t>State-123</t>
  </si>
  <si>
    <t>259</t>
  </si>
  <si>
    <t>260</t>
  </si>
  <si>
    <t xml:space="preserve">Shall LAURA S. SCOTT be retained in the office of Judge of the District Court of the Third Judicial District? </t>
  </si>
  <si>
    <t>State-124</t>
  </si>
  <si>
    <t>262</t>
  </si>
  <si>
    <t>261</t>
  </si>
  <si>
    <t xml:space="preserve">Shall TERESA LYNN WELCH be retained in the office of Judge of the District Court of the Third Judicial District? </t>
  </si>
  <si>
    <t>State-125</t>
  </si>
  <si>
    <t>263</t>
  </si>
  <si>
    <t>264</t>
  </si>
  <si>
    <t xml:space="preserve">Shall ROGER WADSWORTH GRIFFIN be retained in the office of Judge of the District Court of the Fourth Judicial District? </t>
  </si>
  <si>
    <t>State-126</t>
  </si>
  <si>
    <t>265</t>
  </si>
  <si>
    <t>266</t>
  </si>
  <si>
    <t xml:space="preserve">Shall CHRISTINE S. JOHNSON be retained in the office of Judge of the District Court of the Fourth Judicial District? </t>
  </si>
  <si>
    <t>State-127</t>
  </si>
  <si>
    <t>267</t>
  </si>
  <si>
    <t>268</t>
  </si>
  <si>
    <t xml:space="preserve">Shall JENNIFER A. MABEY be retained in the office of Judge of the District Court of the Fourth Judicial District? </t>
  </si>
  <si>
    <t>State-128</t>
  </si>
  <si>
    <t>270</t>
  </si>
  <si>
    <t>269</t>
  </si>
  <si>
    <t xml:space="preserve">Shall SEAN M. PETERSEN be retained in the office of Judge of the District Court of the Fourth Judicial District? </t>
  </si>
  <si>
    <t>State-129</t>
  </si>
  <si>
    <t>271</t>
  </si>
  <si>
    <t>272</t>
  </si>
  <si>
    <t xml:space="preserve">Shall DENISE M. PORTER be retained in the office of Judge of the District Court of the Fourth Judicial District? </t>
  </si>
  <si>
    <t>State-130</t>
  </si>
  <si>
    <t>273</t>
  </si>
  <si>
    <t>274</t>
  </si>
  <si>
    <t xml:space="preserve">Shall DEREK P. PULLAN be retained in the office of Judge of the District Court of the Fourth Judicial District? </t>
  </si>
  <si>
    <t>State-131</t>
  </si>
  <si>
    <t>275</t>
  </si>
  <si>
    <t>276</t>
  </si>
  <si>
    <t xml:space="preserve">Shall KEITH C. BARNES be retained in the office of Judge of the District Court of the Fifth Judicial District? </t>
  </si>
  <si>
    <t>State-132</t>
  </si>
  <si>
    <t>277</t>
  </si>
  <si>
    <t>278</t>
  </si>
  <si>
    <t xml:space="preserve">Shall JEREMIAH C. HUMES be retained in the office of Judge of the District Court of the Seventh Judicial District? </t>
  </si>
  <si>
    <t>State-133</t>
  </si>
  <si>
    <t>280</t>
  </si>
  <si>
    <t>279</t>
  </si>
  <si>
    <t xml:space="preserve">Shall GREG LAMB be retained in the office of Judge of the District Court of the Eighth Judicial District? </t>
  </si>
  <si>
    <t>State-134</t>
  </si>
  <si>
    <t>281</t>
  </si>
  <si>
    <t>282</t>
  </si>
  <si>
    <t xml:space="preserve">Shall JEFFRY K. ROSS be retained in the office of Judge of the Juvenile Court of the Eighth Juvenile Court District? </t>
  </si>
  <si>
    <t>State-135</t>
  </si>
  <si>
    <t>283</t>
  </si>
  <si>
    <t>284</t>
  </si>
  <si>
    <t xml:space="preserve">Shall BRYAN P GALLOWAY be retained in the office of Judge of the Juvenile Court of the First Juvenile Court District? </t>
  </si>
  <si>
    <t>State-136</t>
  </si>
  <si>
    <t>285</t>
  </si>
  <si>
    <t>286</t>
  </si>
  <si>
    <t xml:space="preserve">Shall MICHAEL DARIO DIREDA be retained in the office of Judge of the District Court of the Second Judicial District? </t>
  </si>
  <si>
    <t>State-137</t>
  </si>
  <si>
    <t>288</t>
  </si>
  <si>
    <t>287</t>
  </si>
  <si>
    <t xml:space="preserve">Shall MONICA DIAZ be retained in the office of Judge of the Juvenile Court of the Third Juvenile Court District? </t>
  </si>
  <si>
    <t>State-138</t>
  </si>
  <si>
    <t>289</t>
  </si>
  <si>
    <t>290</t>
  </si>
  <si>
    <t xml:space="preserve">Shall ANNETTE T. JAN be retained in the office of Judge of the Juvenile Court of the Third Juvenile Court District? </t>
  </si>
  <si>
    <t>State-139</t>
  </si>
  <si>
    <t>292</t>
  </si>
  <si>
    <t>291</t>
  </si>
  <si>
    <t xml:space="preserve">Shall ELIZABETH MARIE KNIGHT be retained in the office of Judge of the Juvenile Court of the Third Juvenile Court District? </t>
  </si>
  <si>
    <t>State-140</t>
  </si>
  <si>
    <t>294</t>
  </si>
  <si>
    <t>293</t>
  </si>
  <si>
    <t xml:space="preserve">Shall TUPAKK AMARU GUSTAVO RENTERIA be retained in the office of Judge of the Juvenile Court of the Third Juvenile Court District? </t>
  </si>
  <si>
    <t>State-141</t>
  </si>
  <si>
    <t>295</t>
  </si>
  <si>
    <t>296</t>
  </si>
  <si>
    <t xml:space="preserve">Shall BRENT H. BARTHOLOMEW  be retained in the office of Judge of the Juvenile Court of the Fourth Juvenile Court District? </t>
  </si>
  <si>
    <t>State-142</t>
  </si>
  <si>
    <t>297</t>
  </si>
  <si>
    <t>298</t>
  </si>
  <si>
    <t xml:space="preserve">Shall MICHAEL FLEMMING LEAVITT be retained in the office of Judge of the Juvenile Court of the Fifth Juvenile Court District? </t>
  </si>
  <si>
    <t>State-143</t>
  </si>
  <si>
    <t>299</t>
  </si>
  <si>
    <t>300</t>
  </si>
  <si>
    <t xml:space="preserve">Constitutional Amendment B </t>
  </si>
  <si>
    <t>State-145</t>
  </si>
  <si>
    <t>FOR</t>
  </si>
  <si>
    <t>303</t>
  </si>
  <si>
    <t>AGAINST</t>
  </si>
  <si>
    <t>304</t>
  </si>
  <si>
    <t xml:space="preserve">Constitutional Amendment C </t>
  </si>
  <si>
    <t>State-146</t>
  </si>
  <si>
    <t>305</t>
  </si>
  <si>
    <t>306</t>
  </si>
  <si>
    <t>Precinct</t>
  </si>
  <si>
    <t>Beaver County</t>
  </si>
  <si>
    <t>Box Elder County</t>
  </si>
  <si>
    <t>Cache County</t>
  </si>
  <si>
    <t>Carbon County</t>
  </si>
  <si>
    <t>Daggett County</t>
  </si>
  <si>
    <t>Davis County</t>
  </si>
  <si>
    <t>Duchesne County</t>
  </si>
  <si>
    <t>Emery County</t>
  </si>
  <si>
    <t>Garfield County</t>
  </si>
  <si>
    <t>Grand County</t>
  </si>
  <si>
    <t>Iron County</t>
  </si>
  <si>
    <t>Juab County</t>
  </si>
  <si>
    <t>Kane County</t>
  </si>
  <si>
    <t>Millard County</t>
  </si>
  <si>
    <t>Morgan County</t>
  </si>
  <si>
    <t>Piute County</t>
  </si>
  <si>
    <t>Rich County</t>
  </si>
  <si>
    <t>Salt Lake County</t>
  </si>
  <si>
    <t>San Juan County</t>
  </si>
  <si>
    <t>Sanpete County</t>
  </si>
  <si>
    <t>Sevier County</t>
  </si>
  <si>
    <t>Summit County</t>
  </si>
  <si>
    <t>Tooele County</t>
  </si>
  <si>
    <t>Uintah County</t>
  </si>
  <si>
    <t>Utah County</t>
  </si>
  <si>
    <t>Wasatch County</t>
  </si>
  <si>
    <t>Washington County</t>
  </si>
  <si>
    <t>Wayne County</t>
  </si>
  <si>
    <t>Weber County</t>
  </si>
  <si>
    <t>Row Labels</t>
  </si>
  <si>
    <t>Column Labels</t>
  </si>
  <si>
    <t>Sum of Total</t>
  </si>
  <si>
    <t>1. Reformated data via pivot table</t>
  </si>
  <si>
    <t>County</t>
  </si>
  <si>
    <t>County Total</t>
  </si>
  <si>
    <t>2. Calculated county totals via formulas</t>
  </si>
  <si>
    <t>Trump Votes</t>
  </si>
  <si>
    <t>Stein Votes</t>
  </si>
  <si>
    <t>Harris Votes</t>
  </si>
  <si>
    <t>3. Hid Irrelevant columns</t>
  </si>
  <si>
    <t>4. Labelled relevant columns (B-G),(I-J),l,(N-S)</t>
  </si>
  <si>
    <t>Trump Percent</t>
  </si>
  <si>
    <t>Harris Percent</t>
  </si>
  <si>
    <t>Stein Percent</t>
  </si>
  <si>
    <t>2024 Winner</t>
  </si>
  <si>
    <t>5. Calculated percents using formulas</t>
  </si>
  <si>
    <t>6. copy and pasted formulas into numeric values (highlighted)</t>
  </si>
  <si>
    <t>7. Added 2024 winner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</si>
</sst>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/>
    </xf>
    <xf numFmtId="172" fontId="0" fillId="0" borderId="0" xfId="0" applyNumberForma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ah Thomas" refreshedDate="45694.891540972225" createdVersion="8" refreshedVersion="8" minRefreshableVersion="3" recordCount="3712" xr:uid="{A1B262EC-19AA-244C-931A-F09B2AF040D7}">
  <cacheSource type="worksheet">
    <worksheetSource name="Table1"/>
  </cacheSource>
  <cacheFields count="7">
    <cacheField name="Precinct" numFmtId="0">
      <sharedItems count="29">
        <s v="Beaver County"/>
        <s v="Box Elder County"/>
        <s v="Cache County"/>
        <s v="Carbon County"/>
        <s v="Daggett County"/>
        <s v="Davis County"/>
        <s v="Duchesne County"/>
        <s v="Emery County"/>
        <s v="Garfield County"/>
        <s v="Grand County"/>
        <s v="Iron County"/>
        <s v="Juab County"/>
        <s v="Kane County"/>
        <s v="Millard County"/>
        <s v="Morgan County"/>
        <s v="Piute County"/>
        <s v="Rich County"/>
        <s v="Salt Lake County"/>
        <s v="San Juan County"/>
        <s v="Sanpete County"/>
        <s v="Sevier County"/>
        <s v="Summit County"/>
        <s v="Tooele County"/>
        <s v="Uintah County"/>
        <s v="Utah County"/>
        <s v="Wasatch County"/>
        <s v="Washington County"/>
        <s v="Wayne County"/>
        <s v="Weber County"/>
      </sharedItems>
    </cacheField>
    <cacheField name="Office Name" numFmtId="0">
      <sharedItems count="145">
        <s v="U.S. President "/>
        <s v="U.S. Senate "/>
        <s v="U.S. House 2 "/>
        <s v="Governor "/>
        <s v="Attorney General "/>
        <s v="State Auditor "/>
        <s v="State Treasurer "/>
        <s v="State House 70 (Multi-County) "/>
        <s v="Shall MATTHEW B. DURRANT be retained in the office of Justice of the Supreme Court of Utah? "/>
        <s v="Shall RYAN D. TENNEY be retained in the office of Judge of the Court of Appeals of Utah? "/>
        <s v="Shall KEITH C. BARNES be retained in the office of Judge of the District Court of the Fifth Judicial District? "/>
        <s v="Shall MICHAEL FLEMMING LEAVITT be retained in the office of Judge of the Juvenile Court of the Fifth Juvenile Court District? "/>
        <s v="Constitutional Amendment B "/>
        <s v="Constitutional Amendment C "/>
        <s v="U.S. House 1 "/>
        <s v="State House 1 (Multi-County) "/>
        <s v="State House 6 (Multi-County) "/>
        <s v="Shall BRANDON J. MAYNARD be retained in the office of Judge of the District Court of the First Judicial District? "/>
        <s v="Shall SPENCER D. WALSH be retained in the office of Judge of the District Court of the First Judicial District? "/>
        <s v="Shall BRYAN P GALLOWAY be retained in the office of Judge of the Juvenile Court of the First Juvenile Court District? "/>
        <s v="State Senate 2 (Multi-County) "/>
        <s v="State House 2 "/>
        <s v="State House 3 "/>
        <s v="State House 5 "/>
        <s v="U.S. House 3 "/>
        <s v="State Senate 26 (Multi-County) "/>
        <s v="State House 67 (Multi-County) "/>
        <s v="Shall JEREMIAH C. HUMES be retained in the office of Judge of the District Court of the Seventh Judicial District? "/>
        <s v="State House 68 (Multi-County) "/>
        <s v="State School Board 12 (Multi-County) "/>
        <s v="Shall GREG LAMB be retained in the office of Judge of the District Court of the Eighth Judicial District? "/>
        <s v="Shall JEFFRY K. ROSS be retained in the office of Judge of the Juvenile Court of the Eighth Juvenile Court District? "/>
        <s v="State Senate 4 (Multi-County) "/>
        <s v="State Senate 8 (Multi-County) "/>
        <s v="State House 11 (Multi-County) "/>
        <s v="State House 12 (Multi-County) "/>
        <s v="State House 13 "/>
        <s v="State House 14 "/>
        <s v="State House 15 "/>
        <s v="State House 16 "/>
        <s v="State House 17 "/>
        <s v="State House 18 "/>
        <s v="State House 19 "/>
        <s v="State House 20 "/>
        <s v="State School Board 3 (Multi-County) "/>
        <s v="Shall JOSEPH M. BEAN be retained in the office of Judge of the District Court of the Second Judicial District? "/>
        <s v="Shall CRAIG HALL be retained in the office of Judge of the District Court of the Second Judicial District? "/>
        <s v="Shall CRISTINA PATRICIA ORTEGA be retained in the office of Judge of the District Court of the Second Judicial District? "/>
        <s v="Shall RONALD G. RUSSELL be retained in the office of Judge of the District Court of the Second Judicial District? "/>
        <s v="Shall TASHA WILLIAMS  be retained in the office of Judge of the Juvenile District Court of the Second Judicial District? "/>
        <s v="Shall MICHAEL DARIO DIREDA be retained in the office of Judge of the District Court of the Second Judicial District? "/>
        <s v="State House 69 (Multi-County) "/>
        <s v="State Senate 27 (Multi-County) "/>
        <s v="State School Board 15 (Multi-County) "/>
        <s v="State House 71 "/>
        <s v="U.S. House 4 "/>
        <s v="State House 29 (Multi-County) "/>
        <s v="State House 66 (Multi-County) "/>
        <s v="Shall ROGER WADSWORTH GRIFFIN be retained in the office of Judge of the District Court of the Fourth Judicial District? "/>
        <s v="Shall CHRISTINE S. JOHNSON be retained in the office of Judge of the District Court of the Fourth Judicial District? "/>
        <s v="Shall JENNIFER A. MABEY be retained in the office of Judge of the District Court of the Fourth Judicial District? "/>
        <s v="Shall SEAN M. PETERSEN be retained in the office of Judge of the District Court of the Fourth Judicial District? "/>
        <s v="Shall DENISE M. PORTER be retained in the office of Judge of the District Court of the Fourth Judicial District? "/>
        <s v="Shall DEREK P. PULLAN be retained in the office of Judge of the District Court of the Fourth Judicial District? "/>
        <s v="Shall BRENT H. BARTHOLOMEW  be retained in the office of Judge of the Juvenile Court of the Fourth Juvenile Court District? "/>
        <s v="State Senate 3 (Multi-County) "/>
        <s v="State House 4 (Multi-County) "/>
        <s v="State House 8 (Multi-County) "/>
        <s v="State Senate 10 "/>
        <s v="State Senate 12 (2 year term) "/>
        <s v="State Senate 15 "/>
        <s v="State Senate 16 "/>
        <s v="State Senate 17 "/>
        <s v="State Senate 22 (Multi-County) "/>
        <s v="State House 21 "/>
        <s v="State House 22 "/>
        <s v="State House 23 (Multi-County) "/>
        <s v="State House 24 "/>
        <s v="State House 25 "/>
        <s v="State House 26 "/>
        <s v="State House 27 "/>
        <s v="State House 30 "/>
        <s v="State House 31 "/>
        <s v="State House 32 "/>
        <s v="State House 33 "/>
        <s v="State House 34 "/>
        <s v="State House 35 "/>
        <s v="State House 36 "/>
        <s v="State House 37 "/>
        <s v="State House 38 "/>
        <s v="State House 39 "/>
        <s v="State House 40 "/>
        <s v="State House 41 "/>
        <s v="State House 42 "/>
        <s v="State House 43 "/>
        <s v="State House 44 "/>
        <s v="State House 45 "/>
        <s v="State House 46 "/>
        <s v="State House 47 "/>
        <s v="State House 48 "/>
        <s v="State House 49 "/>
        <s v="State School Board 6 (Multi-County) "/>
        <s v="State School Board 7 "/>
        <s v="State School Board 9 "/>
        <s v="State School Board 10 (Multi-County) "/>
        <s v="Shall HEATHER ANNETTE BRERETON be retained in the office of Judge of the District Court of the Third Judicial District? "/>
        <s v="Shall JAMES D. GARDNER be retained in the office of Judge of the District Court of the Third Judicial District? "/>
        <s v="Shall LELAND DOUGLAS HOGAN be retained in the office of Judge of the District Court of the Third Judicial District? "/>
        <s v="Shall KRISTINE EDDE JOHNSON be retained in the office of Judge of the District Court of the Third Judicial District? "/>
        <s v="Shall WILLIAM K. KENDALL  be retained in the office of Judge of the District Court of the Third Judicial District? "/>
        <s v="Shall KARA LEA PETTIT be retained in the office of Judge of the District Court of the Third Judicial District? "/>
        <s v="Shall LAURA S. SCOTT be retained in the office of Judge of the District Court of the Third Judicial District? "/>
        <s v="Shall TERESA LYNN WELCH be retained in the office of Judge of the District Court of the Third Judicial District? "/>
        <s v="Shall MONICA DIAZ be retained in the office of Judge of the Juvenile Court of the Third Juvenile Court District? "/>
        <s v="Shall ANNETTE T. JAN be retained in the office of Judge of the Juvenile Court of the Third Juvenile Court District? "/>
        <s v="Shall ELIZABETH MARIE KNIGHT be retained in the office of Judge of the Juvenile Court of the Third Juvenile Court District? "/>
        <s v="Shall TUPAKK AMARU GUSTAVO RENTERIA be retained in the office of Judge of the Juvenile Court of the Third Juvenile Court District? "/>
        <s v="State House 59  (Multi-County) "/>
        <s v="State House 28 "/>
        <s v="State Senate 24 (Multi-County) "/>
        <s v="State Senate 25 "/>
        <s v="State House 50 "/>
        <s v="State House 51 "/>
        <s v="State House 52 "/>
        <s v="State House 53 "/>
        <s v="State House 54 "/>
        <s v="State House 55 "/>
        <s v="State House 56  "/>
        <s v="State House 57 "/>
        <s v="State House 58 "/>
        <s v="State House 60 "/>
        <s v="State House 61 "/>
        <s v="State House 62 "/>
        <s v="State House 63 "/>
        <s v="State House 64 "/>
        <s v="State House 65 "/>
        <s v="State School Board 13 "/>
        <s v="State Senate 29  "/>
        <s v="State House 72 "/>
        <s v="State House 73 "/>
        <s v="State House 74 "/>
        <s v="State House 75 "/>
        <s v="State House 7 "/>
        <s v="State House 9 "/>
        <s v="State House 10 "/>
      </sharedItems>
    </cacheField>
    <cacheField name="Contest ID" numFmtId="0">
      <sharedItems/>
    </cacheField>
    <cacheField name="Ballot Name" numFmtId="0">
      <sharedItems count="236">
        <s v="Ballots Cast"/>
        <s v="CORNEL RONALD WEST / MELINA ABDULLAH"/>
        <s v="LUCIFER &quot;JUSTIN CASE&quot; EVERYLOVE"/>
        <s v="JOEL SKOUSEN / RIK COMBS"/>
        <s v="JILL STEIN / RUDOLPH WARE"/>
        <s v="DONALD J. TRUMP / JD VANCE"/>
        <s v="CHASE OLIVER / MIKE TER MAAT"/>
        <s v="KAMALA D. HARRIS / TIM WALZ"/>
        <s v="CLAUDIA DE LA CRUZ / KARINA ALEXANDRA GARCIA"/>
        <s v="FUTURE MADAM POTUS"/>
        <s v="PETER SONSKI / LAUREN MICHELLE ONAK"/>
        <s v="JAY J BOWMAN / DE D. BOWMAN"/>
        <s v="STEVE M. JOHNSON"/>
        <s v="ANDRE RAMON MC NEIL"/>
        <s v="SHONDRA YEVETTE IRVING"/>
        <s v="BUDDIE ARDEN WILKERSON"/>
        <s v="Over Vote Count"/>
        <s v="Under Vote Count"/>
        <s v="CARLTON E. BOWEN"/>
        <s v="JOHN CURTIS"/>
        <s v="CAROLINE GLEICH"/>
        <s v="LAIRD FETZER HAMBLIN"/>
        <s v="NATHANIEL E  WOODWARD"/>
        <s v="CASSIE EASLEY"/>
        <s v="CELESTE MALOY"/>
        <s v="TYLER MURSET"/>
        <s v="SPENCER J. COX DEIDRE M. HENDERSON"/>
        <s v="TOMMY WILLIAMS ARCHIE A. WILLIAMS III"/>
        <s v="BRIAN SMITH KING REBEKAH CUMMINGS"/>
        <s v="J. ROBERT LATHAM BARRY EVAN SHORT"/>
        <s v="TOM TOMENY WILLIAM LANSING TAYLOR"/>
        <s v="PHIL LYMAN NATALIE CLAWSON"/>
        <s v="CHARLIE TAUTUAA SYLVIA MIERA FISK"/>
        <s v="DEREK BROWN"/>
        <s v="RUDY J BAUTISTA"/>
        <s v="W. ANDREW MCCULLOUGH"/>
        <s v="AUSTIN HEPWORTH"/>
        <s v="MICHELLE QUIST"/>
        <s v="TINA CANNON"/>
        <s v="JEFFREY L. OSTLER"/>
        <s v="CATHERINE VOUTAZ"/>
        <s v="MILES POMEROY"/>
        <s v="MARLO M. OAKS"/>
        <s v="NEIL A HANSEN"/>
        <s v="CARL R. ALBRECHT"/>
        <s v="ZENO B. PARRY"/>
        <s v="YES"/>
        <s v="NO"/>
        <s v="FOR"/>
        <s v="AGAINST"/>
        <s v="BILL CAMPBELL"/>
        <s v="DANIEL R. COTTAM"/>
        <s v="BLAKE D. MOORE"/>
        <s v="CLAUDIA BIGLER"/>
        <s v="THOMAS PETERSON"/>
        <s v="MATTHEW H. GWYNN"/>
        <s v="AMBER HARDY"/>
        <s v="CHRIS WILSON"/>
        <s v="NANCY HUNTLY"/>
        <s v="TOM LILJEGREN"/>
        <s v="MICHAEL J. PETERSEN"/>
        <s v="PATRICK BELMONT"/>
        <s v="JASON E. THOMPSON"/>
        <s v="CASEY SNIDER"/>
        <s v="MIKE KENNEDY"/>
        <s v="GLENN J. WRIGHT"/>
        <s v="ORAN STAINBROOK"/>
        <s v="CORBIN DAVID FROST"/>
        <s v="DAVID HINKINS"/>
        <s v="JOE CHRISTMAN"/>
        <s v="CHRISTINE FACER WATKINS"/>
        <s v="SCOTT H CHEW"/>
        <s v="COLE J. KELLEY"/>
        <s v="JASON L ALLEN"/>
        <s v="CALVIN RAY MUSSELMAN"/>
        <s v="TODD WEILER"/>
        <s v="AARON WILEY"/>
        <s v="LAREN C LIVINGSTON"/>
        <s v="ALISA COX VAN LANGEVELD"/>
        <s v="KATY HALL"/>
        <s v="MIKE SCHULTZ"/>
        <s v="SHARON HILTON"/>
        <s v="LORRI ROGERS"/>
        <s v="KAREN M. PETERSON"/>
        <s v="KARIANNE LISONBEE"/>
        <s v="JOSH SMITH"/>
        <s v="ARIEL DEFAY"/>
        <s v="TREVOR LEE"/>
        <s v="ZEAID HASAN"/>
        <s v="STEWART E. BARLOW"/>
        <s v="ADAM FELLER"/>
        <s v="PAUL A. CUTLER"/>
        <s v="STEVE HARTWICK"/>
        <s v="RAYMOND P. WARD"/>
        <s v="NICK K WADSWORTH"/>
        <s v="CAMERON A DRANSFIELD"/>
        <s v="MELISSA GARFF BALLARD"/>
        <s v="LEW E JEPPSON"/>
        <s v="ROD HALL"/>
        <s v="LAURA JOHNSON"/>
        <s v="LOGAN JAMES MONSON"/>
        <s v="DAVINA SMITH"/>
        <s v="DERRIN R OWENS"/>
        <s v="JOANN BRINTON"/>
        <s v="STEVE MERRILL"/>
        <s v="REX P. SHIPP"/>
        <s v="M. EVAN BULLARD"/>
        <s v="VAUGHN R COOK"/>
        <s v="KATRINA FALLICK-WANG"/>
        <s v="BURGESS OWENS"/>
        <s v="BRIDGER BOLINDER"/>
        <s v="RON DRAPER"/>
        <s v="TROY SHELLEY"/>
        <s v="STACY BERNAL"/>
        <s v="JOHN D. JOHNSON"/>
        <s v="KERA YATES BIRKELAND"/>
        <s v="KRIS CAMPBELL"/>
        <s v="JASON B KYLE"/>
        <s v="KYLE W.  ERB"/>
        <s v="LUZ ESCAMILLA"/>
        <s v="JUDY WEEKS-ROHNER"/>
        <s v="KAREN KWAN"/>
        <s v="SCOTT CUTHBERTSON"/>
        <s v="KATHLEEN ANN RIEBE"/>
        <s v="MONNICA MANUEL"/>
        <s v="WAYNE A HARPER"/>
        <s v="PAMELA BLOOM"/>
        <s v="LINCOLN FILLMORE"/>
        <s v="HEIDI BALDERREE"/>
        <s v="DAVID C. ATKIN"/>
        <s v="SANDRA HOLLINS"/>
        <s v="STEVE HARMSEN"/>
        <s v="JENNIFER L. DAILEY-PROVOST"/>
        <s v="M.  SCOTT ROMNEY"/>
        <s v="CABOT WM. NELSON"/>
        <s v="HOANG NGUYEN"/>
        <s v="GRANT AMJAD MILLER"/>
        <s v="ANGELA ROMERO"/>
        <s v="RICHARD T NOWAK"/>
        <s v="JEANETTA WILLIAMS"/>
        <s v="MATT MACPHERSON"/>
        <s v="DAWN STEVENSON"/>
        <s v="ANTHONY EDWARD LOUBET"/>
        <s v="FRED C COX"/>
        <s v="JAKE FITISEMANU"/>
        <s v="VERONA MAUGA"/>
        <s v="BILL SWANN"/>
        <s v="SARAH DAWN MONTES"/>
        <s v="SAHARA HAYES"/>
        <s v="SHERYL R FRASER"/>
        <s v="DOUG OWENS"/>
        <s v="DENNIS ROACH"/>
        <s v="KARL J. JUREK"/>
        <s v="CAROL SPACKMAN MOSS"/>
        <s v="MIKE BIRD"/>
        <s v="ROSALBA DOMINGUEZ"/>
        <s v="JIM DUNNIGAN"/>
        <s v="PAUL DOUGLAS JOHNSON"/>
        <s v="ASHLEE ANN MATTHEWS"/>
        <s v="CHERYL ACTON"/>
        <s v="STEVEN LAUDE  JR"/>
        <s v="JESSICA WIGNALL"/>
        <s v="KEN IVORY"/>
        <s v="JOHN JACKSON"/>
        <s v="ANDREW STODDARD"/>
        <s v="TYLER GLAITTLI"/>
        <s v="GAY LYNN BENNION"/>
        <s v="ROY PISKADLO"/>
        <s v="TRAVIS SMITH"/>
        <s v="CLINT OKERLUND"/>
        <s v="JASON R. BARBER"/>
        <s v="STEVE ELIASON"/>
        <s v="GREG GREEN"/>
        <s v="JORDAN DANIEL TEUSCHER"/>
        <s v="SARA ROSE CIMMERS"/>
        <s v="TRACY MILLER"/>
        <s v="CAL ROBERTS"/>
        <s v="MARK ASHBY STRONG"/>
        <s v="DAVID LUNDGREN"/>
        <s v="STEPHEN J MIDDLETON"/>
        <s v="DOUG K. FIEFIA"/>
        <s v="SAMUEL 'SGT SAM' WINKLER"/>
        <s v="CANDICE B. PIERUCCI"/>
        <s v="CAROL BARLOW LEAR"/>
        <s v="DIANE LIVINGSTON"/>
        <s v="MOLLY L HART"/>
        <s v="JOHN ARTHUR"/>
        <s v="AMANDA B BOLLINGER"/>
        <s v="WILL  SHIFLETT"/>
        <s v="MATT HYMAS"/>
        <s v="DEBORAH L. GATRELL"/>
        <s v="JULIE A. MONAHAN"/>
        <s v="MIKE KOHLER"/>
        <s v="FRED L BAKER"/>
        <s v="NICHOLEEN P. PECK"/>
        <s v="KEVEN J STRATTON"/>
        <s v="LORI ANDERSEN SPRUANCE"/>
        <s v="MIKE MCKELL"/>
        <s v="ALAN DALE HANSEN"/>
        <s v="STEPHANIE GRICIUS"/>
        <s v="JEFFERSON R MOSS"/>
        <s v="CORY MALOY"/>
        <s v="MICHAEL KELLER"/>
        <s v="KAY JEFFERY CHRISTOFFERSON"/>
        <s v="ALEX DAY"/>
        <s v="BRADY BRAMMER"/>
        <s v="JON HAWKINS"/>
        <s v="VAL L PETERSON"/>
        <s v="NELSON ABBOTT"/>
        <s v="ALAN FRANK KEELE"/>
        <s v="JOSHUA SORENSEN"/>
        <s v="DAVID SHALLENBERGER"/>
        <s v="TYLER JAMES CLANCY"/>
        <s v="LISA SHEPHERD"/>
        <s v="KEVIN SLATER"/>
        <s v="NORM THURSTON"/>
        <s v="STEPHEN L. WHYTE"/>
        <s v="MARK YOUNGQUIST"/>
        <s v="JEFF BURTON"/>
        <s v="RICK TREVER DOUGAN"/>
        <s v="DOUGLAS R WELTON"/>
        <s v="JOSEPH M HANSEN"/>
        <s v="RANDY BOOTHE"/>
        <s v="DEIDRA RITCHHART"/>
        <s v="DON L. IPSON"/>
        <s v="JOSEPH ELISON"/>
        <s v="COLIN W. JACK"/>
        <s v="R NEIL WALTER"/>
        <s v="WALT BROOKS"/>
        <s v="JOSHUA DUTSON"/>
        <s v="RYAN D. WILCOX"/>
        <s v="ANGELA CHOBERKA"/>
        <s v="JACOB K. JOHNSON"/>
        <s v="JAKE SAWYER"/>
        <s v="JILL KOFORD"/>
        <s v="ROSEMARY LESSER"/>
      </sharedItems>
    </cacheField>
    <cacheField name="Choice ID" numFmtId="0">
      <sharedItems containsBlank="1"/>
    </cacheField>
    <cacheField name="Party" numFmtId="0">
      <sharedItems containsBlank="1"/>
    </cacheField>
    <cacheField name="Total" numFmtId="0">
      <sharedItems containsSemiMixedTypes="0" containsString="0" containsNumber="1" containsInteger="1" minValue="0" maxValue="5217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12">
  <r>
    <x v="0"/>
    <x v="0"/>
    <s v="State-1"/>
    <x v="0"/>
    <m/>
    <m/>
    <n v="0"/>
  </r>
  <r>
    <x v="0"/>
    <x v="0"/>
    <s v="State-1"/>
    <x v="1"/>
    <s v="9"/>
    <s v="Unaffiliated"/>
    <n v="0"/>
  </r>
  <r>
    <x v="0"/>
    <x v="0"/>
    <s v="State-1"/>
    <x v="2"/>
    <s v="3"/>
    <s v="Unaffiliated"/>
    <n v="1"/>
  </r>
  <r>
    <x v="0"/>
    <x v="0"/>
    <s v="State-1"/>
    <x v="3"/>
    <s v="13"/>
    <s v="Constitution"/>
    <n v="14"/>
  </r>
  <r>
    <x v="0"/>
    <x v="0"/>
    <s v="State-1"/>
    <x v="4"/>
    <s v="8"/>
    <s v="Green"/>
    <n v="8"/>
  </r>
  <r>
    <x v="0"/>
    <x v="0"/>
    <s v="State-1"/>
    <x v="5"/>
    <s v="5"/>
    <s v="Republican"/>
    <n v="2781"/>
  </r>
  <r>
    <x v="0"/>
    <x v="0"/>
    <s v="State-1"/>
    <x v="6"/>
    <s v="10"/>
    <s v="Libertarian"/>
    <n v="10"/>
  </r>
  <r>
    <x v="0"/>
    <x v="0"/>
    <s v="State-1"/>
    <x v="7"/>
    <s v="4"/>
    <s v="Democratic"/>
    <n v="394"/>
  </r>
  <r>
    <x v="0"/>
    <x v="0"/>
    <s v="State-1"/>
    <x v="8"/>
    <s v="15"/>
    <s v="Unaffiliated"/>
    <n v="4"/>
  </r>
  <r>
    <x v="0"/>
    <x v="0"/>
    <s v="State-1"/>
    <x v="9"/>
    <s v="1"/>
    <s v="Unaffiliated"/>
    <n v="0"/>
  </r>
  <r>
    <x v="0"/>
    <x v="0"/>
    <s v="State-1"/>
    <x v="10"/>
    <s v="2"/>
    <s v="Unaffiliated"/>
    <n v="0"/>
  </r>
  <r>
    <x v="0"/>
    <x v="0"/>
    <s v="State-1"/>
    <x v="11"/>
    <s v="6"/>
    <s v="Unaffiliated"/>
    <n v="0"/>
  </r>
  <r>
    <x v="0"/>
    <x v="0"/>
    <s v="State-1"/>
    <x v="12"/>
    <s v="7"/>
    <s v="Unaffiliated"/>
    <n v="0"/>
  </r>
  <r>
    <x v="0"/>
    <x v="0"/>
    <s v="State-1"/>
    <x v="13"/>
    <s v="11"/>
    <s v="Unaffiliated"/>
    <n v="0"/>
  </r>
  <r>
    <x v="0"/>
    <x v="0"/>
    <s v="State-1"/>
    <x v="14"/>
    <s v="12"/>
    <s v="Unaffiliated"/>
    <n v="0"/>
  </r>
  <r>
    <x v="0"/>
    <x v="0"/>
    <s v="State-1"/>
    <x v="15"/>
    <s v="14"/>
    <s v="Unaffiliated"/>
    <n v="0"/>
  </r>
  <r>
    <x v="0"/>
    <x v="0"/>
    <s v="State-1"/>
    <x v="16"/>
    <m/>
    <m/>
    <n v="0"/>
  </r>
  <r>
    <x v="0"/>
    <x v="0"/>
    <s v="State-1"/>
    <x v="17"/>
    <m/>
    <m/>
    <n v="0"/>
  </r>
  <r>
    <x v="0"/>
    <x v="1"/>
    <s v="State-2"/>
    <x v="0"/>
    <m/>
    <m/>
    <n v="0"/>
  </r>
  <r>
    <x v="0"/>
    <x v="1"/>
    <s v="State-2"/>
    <x v="18"/>
    <s v="19"/>
    <s v="Independent American"/>
    <n v="214"/>
  </r>
  <r>
    <x v="0"/>
    <x v="1"/>
    <s v="State-2"/>
    <x v="19"/>
    <s v="18"/>
    <s v="Republican"/>
    <n v="2605"/>
  </r>
  <r>
    <x v="0"/>
    <x v="1"/>
    <s v="State-2"/>
    <x v="20"/>
    <s v="17"/>
    <s v="Democratic"/>
    <n v="327"/>
  </r>
  <r>
    <x v="0"/>
    <x v="1"/>
    <s v="State-2"/>
    <x v="21"/>
    <s v="16"/>
    <s v="Unaffiliated"/>
    <n v="0"/>
  </r>
  <r>
    <x v="0"/>
    <x v="1"/>
    <s v="State-2"/>
    <x v="16"/>
    <m/>
    <m/>
    <n v="0"/>
  </r>
  <r>
    <x v="0"/>
    <x v="1"/>
    <s v="State-2"/>
    <x v="17"/>
    <m/>
    <m/>
    <n v="0"/>
  </r>
  <r>
    <x v="0"/>
    <x v="2"/>
    <s v="State-4"/>
    <x v="0"/>
    <m/>
    <m/>
    <n v="0"/>
  </r>
  <r>
    <x v="0"/>
    <x v="2"/>
    <s v="State-4"/>
    <x v="22"/>
    <s v="25"/>
    <s v="Democratic"/>
    <n v="334"/>
  </r>
  <r>
    <x v="0"/>
    <x v="2"/>
    <s v="State-4"/>
    <x v="23"/>
    <s v="26"/>
    <s v="Constitution"/>
    <n v="154"/>
  </r>
  <r>
    <x v="0"/>
    <x v="2"/>
    <s v="State-4"/>
    <x v="24"/>
    <s v="24"/>
    <s v="Republican"/>
    <n v="2629"/>
  </r>
  <r>
    <x v="0"/>
    <x v="2"/>
    <s v="State-4"/>
    <x v="25"/>
    <s v="23"/>
    <s v="Unaffiliated"/>
    <n v="36"/>
  </r>
  <r>
    <x v="0"/>
    <x v="2"/>
    <s v="State-4"/>
    <x v="16"/>
    <m/>
    <m/>
    <n v="0"/>
  </r>
  <r>
    <x v="0"/>
    <x v="2"/>
    <s v="State-4"/>
    <x v="17"/>
    <m/>
    <m/>
    <n v="0"/>
  </r>
  <r>
    <x v="0"/>
    <x v="3"/>
    <s v="State-7"/>
    <x v="0"/>
    <m/>
    <m/>
    <n v="0"/>
  </r>
  <r>
    <x v="0"/>
    <x v="3"/>
    <s v="State-7"/>
    <x v="26"/>
    <s v="36"/>
    <s v="Republican"/>
    <n v="2120"/>
  </r>
  <r>
    <x v="0"/>
    <x v="3"/>
    <s v="State-7"/>
    <x v="27"/>
    <s v="40"/>
    <s v="Independent American"/>
    <n v="70"/>
  </r>
  <r>
    <x v="0"/>
    <x v="3"/>
    <s v="State-7"/>
    <x v="28"/>
    <s v="34"/>
    <s v="Democratic"/>
    <n v="251"/>
  </r>
  <r>
    <x v="0"/>
    <x v="3"/>
    <s v="State-7"/>
    <x v="29"/>
    <s v="33"/>
    <s v="Libertarian"/>
    <n v="73"/>
  </r>
  <r>
    <x v="0"/>
    <x v="3"/>
    <s v="State-7"/>
    <x v="30"/>
    <s v="39"/>
    <s v="Unaffiliated"/>
    <n v="22"/>
  </r>
  <r>
    <x v="0"/>
    <x v="3"/>
    <s v="State-7"/>
    <x v="31"/>
    <s v="37"/>
    <s v="Unaffiliated"/>
    <n v="592"/>
  </r>
  <r>
    <x v="0"/>
    <x v="3"/>
    <s v="State-7"/>
    <x v="32"/>
    <s v="38"/>
    <s v="Unaffiliated"/>
    <n v="1"/>
  </r>
  <r>
    <x v="0"/>
    <x v="3"/>
    <s v="State-7"/>
    <x v="16"/>
    <m/>
    <m/>
    <n v="0"/>
  </r>
  <r>
    <x v="0"/>
    <x v="3"/>
    <s v="State-7"/>
    <x v="17"/>
    <m/>
    <m/>
    <n v="0"/>
  </r>
  <r>
    <x v="0"/>
    <x v="4"/>
    <s v="State-8"/>
    <x v="0"/>
    <m/>
    <m/>
    <n v="0"/>
  </r>
  <r>
    <x v="0"/>
    <x v="4"/>
    <s v="State-8"/>
    <x v="33"/>
    <s v="45"/>
    <s v="Republican"/>
    <n v="2537"/>
  </r>
  <r>
    <x v="0"/>
    <x v="4"/>
    <s v="State-8"/>
    <x v="34"/>
    <s v="41"/>
    <s v="Democratic"/>
    <n v="299"/>
  </r>
  <r>
    <x v="0"/>
    <x v="4"/>
    <s v="State-8"/>
    <x v="35"/>
    <s v="42"/>
    <s v="Libertarian"/>
    <n v="107"/>
  </r>
  <r>
    <x v="0"/>
    <x v="4"/>
    <s v="State-8"/>
    <x v="36"/>
    <s v="43"/>
    <s v="Unaffiliated"/>
    <n v="93"/>
  </r>
  <r>
    <x v="0"/>
    <x v="4"/>
    <s v="State-8"/>
    <x v="37"/>
    <s v="44"/>
    <s v="United Utah Party"/>
    <n v="78"/>
  </r>
  <r>
    <x v="0"/>
    <x v="4"/>
    <s v="State-8"/>
    <x v="16"/>
    <m/>
    <m/>
    <n v="0"/>
  </r>
  <r>
    <x v="0"/>
    <x v="4"/>
    <s v="State-8"/>
    <x v="17"/>
    <m/>
    <m/>
    <n v="0"/>
  </r>
  <r>
    <x v="0"/>
    <x v="5"/>
    <s v="State-9"/>
    <x v="0"/>
    <m/>
    <m/>
    <n v="0"/>
  </r>
  <r>
    <x v="0"/>
    <x v="5"/>
    <s v="State-9"/>
    <x v="38"/>
    <s v="48"/>
    <s v="Republican"/>
    <n v="2589"/>
  </r>
  <r>
    <x v="0"/>
    <x v="5"/>
    <s v="State-9"/>
    <x v="39"/>
    <s v="46"/>
    <s v="Constitution"/>
    <n v="186"/>
  </r>
  <r>
    <x v="0"/>
    <x v="5"/>
    <s v="State-9"/>
    <x v="40"/>
    <s v="47"/>
    <s v="Democratic"/>
    <n v="314"/>
  </r>
  <r>
    <x v="0"/>
    <x v="5"/>
    <s v="State-9"/>
    <x v="16"/>
    <m/>
    <m/>
    <n v="0"/>
  </r>
  <r>
    <x v="0"/>
    <x v="5"/>
    <s v="State-9"/>
    <x v="17"/>
    <m/>
    <m/>
    <n v="0"/>
  </r>
  <r>
    <x v="0"/>
    <x v="6"/>
    <s v="State-10"/>
    <x v="0"/>
    <m/>
    <m/>
    <n v="0"/>
  </r>
  <r>
    <x v="0"/>
    <x v="6"/>
    <s v="State-10"/>
    <x v="41"/>
    <s v="49"/>
    <s v="Utah Forward"/>
    <n v="74"/>
  </r>
  <r>
    <x v="0"/>
    <x v="6"/>
    <s v="State-10"/>
    <x v="42"/>
    <s v="50"/>
    <s v="Republican"/>
    <n v="2644"/>
  </r>
  <r>
    <x v="0"/>
    <x v="6"/>
    <s v="State-10"/>
    <x v="43"/>
    <s v="51"/>
    <s v="Democratic"/>
    <n v="335"/>
  </r>
  <r>
    <x v="0"/>
    <x v="6"/>
    <s v="State-10"/>
    <x v="16"/>
    <m/>
    <m/>
    <n v="0"/>
  </r>
  <r>
    <x v="0"/>
    <x v="6"/>
    <s v="State-10"/>
    <x v="17"/>
    <m/>
    <m/>
    <n v="0"/>
  </r>
  <r>
    <x v="0"/>
    <x v="7"/>
    <s v="State-95"/>
    <x v="0"/>
    <m/>
    <m/>
    <n v="0"/>
  </r>
  <r>
    <x v="0"/>
    <x v="7"/>
    <s v="State-95"/>
    <x v="44"/>
    <s v="208"/>
    <s v="Republican"/>
    <n v="2815"/>
  </r>
  <r>
    <x v="0"/>
    <x v="7"/>
    <s v="State-95"/>
    <x v="45"/>
    <s v="209"/>
    <s v="United Utah Party"/>
    <n v="173"/>
  </r>
  <r>
    <x v="0"/>
    <x v="7"/>
    <s v="State-95"/>
    <x v="16"/>
    <m/>
    <m/>
    <n v="0"/>
  </r>
  <r>
    <x v="0"/>
    <x v="7"/>
    <s v="State-95"/>
    <x v="17"/>
    <m/>
    <m/>
    <n v="0"/>
  </r>
  <r>
    <x v="0"/>
    <x v="8"/>
    <s v="State-109"/>
    <x v="0"/>
    <m/>
    <m/>
    <n v="0"/>
  </r>
  <r>
    <x v="0"/>
    <x v="8"/>
    <s v="State-109"/>
    <x v="46"/>
    <s v="232"/>
    <m/>
    <n v="2261"/>
  </r>
  <r>
    <x v="0"/>
    <x v="8"/>
    <s v="State-109"/>
    <x v="47"/>
    <s v="231"/>
    <m/>
    <n v="487"/>
  </r>
  <r>
    <x v="0"/>
    <x v="8"/>
    <s v="State-109"/>
    <x v="16"/>
    <m/>
    <m/>
    <n v="0"/>
  </r>
  <r>
    <x v="0"/>
    <x v="8"/>
    <s v="State-109"/>
    <x v="17"/>
    <m/>
    <m/>
    <n v="0"/>
  </r>
  <r>
    <x v="0"/>
    <x v="9"/>
    <s v="State-110"/>
    <x v="0"/>
    <m/>
    <m/>
    <n v="0"/>
  </r>
  <r>
    <x v="0"/>
    <x v="9"/>
    <s v="State-110"/>
    <x v="46"/>
    <s v="233"/>
    <m/>
    <n v="2250"/>
  </r>
  <r>
    <x v="0"/>
    <x v="9"/>
    <s v="State-110"/>
    <x v="47"/>
    <s v="234"/>
    <m/>
    <n v="477"/>
  </r>
  <r>
    <x v="0"/>
    <x v="9"/>
    <s v="State-110"/>
    <x v="16"/>
    <m/>
    <m/>
    <n v="0"/>
  </r>
  <r>
    <x v="0"/>
    <x v="9"/>
    <s v="State-110"/>
    <x v="17"/>
    <m/>
    <m/>
    <n v="0"/>
  </r>
  <r>
    <x v="0"/>
    <x v="10"/>
    <s v="State-132"/>
    <x v="0"/>
    <m/>
    <m/>
    <n v="0"/>
  </r>
  <r>
    <x v="0"/>
    <x v="10"/>
    <s v="State-132"/>
    <x v="46"/>
    <s v="277"/>
    <m/>
    <n v="2348"/>
  </r>
  <r>
    <x v="0"/>
    <x v="10"/>
    <s v="State-132"/>
    <x v="47"/>
    <s v="278"/>
    <m/>
    <n v="409"/>
  </r>
  <r>
    <x v="0"/>
    <x v="10"/>
    <s v="State-132"/>
    <x v="16"/>
    <m/>
    <m/>
    <n v="0"/>
  </r>
  <r>
    <x v="0"/>
    <x v="10"/>
    <s v="State-132"/>
    <x v="17"/>
    <m/>
    <m/>
    <n v="0"/>
  </r>
  <r>
    <x v="0"/>
    <x v="11"/>
    <s v="State-143"/>
    <x v="0"/>
    <m/>
    <m/>
    <n v="0"/>
  </r>
  <r>
    <x v="0"/>
    <x v="11"/>
    <s v="State-143"/>
    <x v="46"/>
    <s v="299"/>
    <m/>
    <n v="2306"/>
  </r>
  <r>
    <x v="0"/>
    <x v="11"/>
    <s v="State-143"/>
    <x v="47"/>
    <s v="300"/>
    <m/>
    <n v="442"/>
  </r>
  <r>
    <x v="0"/>
    <x v="11"/>
    <s v="State-143"/>
    <x v="16"/>
    <m/>
    <m/>
    <n v="0"/>
  </r>
  <r>
    <x v="0"/>
    <x v="11"/>
    <s v="State-143"/>
    <x v="17"/>
    <m/>
    <m/>
    <n v="0"/>
  </r>
  <r>
    <x v="0"/>
    <x v="12"/>
    <s v="State-145"/>
    <x v="0"/>
    <m/>
    <m/>
    <n v="0"/>
  </r>
  <r>
    <x v="0"/>
    <x v="12"/>
    <s v="State-145"/>
    <x v="48"/>
    <s v="303"/>
    <m/>
    <n v="2133"/>
  </r>
  <r>
    <x v="0"/>
    <x v="12"/>
    <s v="State-145"/>
    <x v="49"/>
    <s v="304"/>
    <m/>
    <n v="890"/>
  </r>
  <r>
    <x v="0"/>
    <x v="12"/>
    <s v="State-145"/>
    <x v="16"/>
    <m/>
    <m/>
    <n v="0"/>
  </r>
  <r>
    <x v="0"/>
    <x v="12"/>
    <s v="State-145"/>
    <x v="17"/>
    <m/>
    <m/>
    <n v="0"/>
  </r>
  <r>
    <x v="0"/>
    <x v="13"/>
    <s v="State-146"/>
    <x v="0"/>
    <m/>
    <m/>
    <n v="0"/>
  </r>
  <r>
    <x v="0"/>
    <x v="13"/>
    <s v="State-146"/>
    <x v="48"/>
    <s v="305"/>
    <m/>
    <n v="2808"/>
  </r>
  <r>
    <x v="0"/>
    <x v="13"/>
    <s v="State-146"/>
    <x v="49"/>
    <s v="306"/>
    <m/>
    <n v="263"/>
  </r>
  <r>
    <x v="0"/>
    <x v="13"/>
    <s v="State-146"/>
    <x v="16"/>
    <m/>
    <m/>
    <n v="0"/>
  </r>
  <r>
    <x v="0"/>
    <x v="13"/>
    <s v="State-146"/>
    <x v="17"/>
    <m/>
    <m/>
    <n v="0"/>
  </r>
  <r>
    <x v="1"/>
    <x v="0"/>
    <s v="State-1"/>
    <x v="0"/>
    <m/>
    <m/>
    <n v="29668"/>
  </r>
  <r>
    <x v="1"/>
    <x v="0"/>
    <s v="State-1"/>
    <x v="1"/>
    <s v="9"/>
    <s v="Unaffiliated"/>
    <n v="32"/>
  </r>
  <r>
    <x v="1"/>
    <x v="0"/>
    <s v="State-1"/>
    <x v="2"/>
    <s v="3"/>
    <s v="Unaffiliated"/>
    <n v="49"/>
  </r>
  <r>
    <x v="1"/>
    <x v="0"/>
    <s v="State-1"/>
    <x v="3"/>
    <s v="13"/>
    <s v="Constitution"/>
    <n v="196"/>
  </r>
  <r>
    <x v="1"/>
    <x v="0"/>
    <s v="State-1"/>
    <x v="4"/>
    <s v="8"/>
    <s v="Green"/>
    <n v="119"/>
  </r>
  <r>
    <x v="1"/>
    <x v="0"/>
    <s v="State-1"/>
    <x v="5"/>
    <s v="5"/>
    <s v="Republican"/>
    <n v="22853"/>
  </r>
  <r>
    <x v="1"/>
    <x v="0"/>
    <s v="State-1"/>
    <x v="6"/>
    <s v="10"/>
    <s v="Libertarian"/>
    <n v="342"/>
  </r>
  <r>
    <x v="1"/>
    <x v="0"/>
    <s v="State-1"/>
    <x v="7"/>
    <s v="4"/>
    <s v="Democratic"/>
    <n v="5274"/>
  </r>
  <r>
    <x v="1"/>
    <x v="0"/>
    <s v="State-1"/>
    <x v="8"/>
    <s v="15"/>
    <s v="Unaffiliated"/>
    <n v="44"/>
  </r>
  <r>
    <x v="1"/>
    <x v="0"/>
    <s v="State-1"/>
    <x v="9"/>
    <s v="1"/>
    <s v="Unaffiliated"/>
    <n v="0"/>
  </r>
  <r>
    <x v="1"/>
    <x v="0"/>
    <s v="State-1"/>
    <x v="10"/>
    <s v="2"/>
    <s v="Unaffiliated"/>
    <n v="10"/>
  </r>
  <r>
    <x v="1"/>
    <x v="0"/>
    <s v="State-1"/>
    <x v="11"/>
    <s v="6"/>
    <s v="Unaffiliated"/>
    <n v="1"/>
  </r>
  <r>
    <x v="1"/>
    <x v="0"/>
    <s v="State-1"/>
    <x v="12"/>
    <s v="7"/>
    <s v="Unaffiliated"/>
    <n v="0"/>
  </r>
  <r>
    <x v="1"/>
    <x v="0"/>
    <s v="State-1"/>
    <x v="13"/>
    <s v="11"/>
    <s v="Unaffiliated"/>
    <n v="0"/>
  </r>
  <r>
    <x v="1"/>
    <x v="0"/>
    <s v="State-1"/>
    <x v="14"/>
    <s v="12"/>
    <s v="Unaffiliated"/>
    <n v="0"/>
  </r>
  <r>
    <x v="1"/>
    <x v="0"/>
    <s v="State-1"/>
    <x v="15"/>
    <s v="14"/>
    <s v="Unaffiliated"/>
    <n v="0"/>
  </r>
  <r>
    <x v="1"/>
    <x v="0"/>
    <s v="State-1"/>
    <x v="16"/>
    <m/>
    <m/>
    <n v="15"/>
  </r>
  <r>
    <x v="1"/>
    <x v="0"/>
    <s v="State-1"/>
    <x v="17"/>
    <m/>
    <m/>
    <n v="321"/>
  </r>
  <r>
    <x v="1"/>
    <x v="1"/>
    <s v="State-2"/>
    <x v="0"/>
    <m/>
    <m/>
    <n v="29668"/>
  </r>
  <r>
    <x v="1"/>
    <x v="1"/>
    <s v="State-2"/>
    <x v="18"/>
    <s v="19"/>
    <s v="Independent American"/>
    <n v="1791"/>
  </r>
  <r>
    <x v="1"/>
    <x v="1"/>
    <s v="State-2"/>
    <x v="19"/>
    <s v="18"/>
    <s v="Republican"/>
    <n v="22803"/>
  </r>
  <r>
    <x v="1"/>
    <x v="1"/>
    <s v="State-2"/>
    <x v="20"/>
    <s v="17"/>
    <s v="Democratic"/>
    <n v="4050"/>
  </r>
  <r>
    <x v="1"/>
    <x v="1"/>
    <s v="State-2"/>
    <x v="21"/>
    <s v="16"/>
    <s v="Unaffiliated"/>
    <n v="7"/>
  </r>
  <r>
    <x v="1"/>
    <x v="1"/>
    <s v="State-2"/>
    <x v="16"/>
    <m/>
    <m/>
    <n v="13"/>
  </r>
  <r>
    <x v="1"/>
    <x v="1"/>
    <s v="State-2"/>
    <x v="17"/>
    <m/>
    <m/>
    <n v="801"/>
  </r>
  <r>
    <x v="1"/>
    <x v="14"/>
    <s v="State-3"/>
    <x v="0"/>
    <m/>
    <m/>
    <n v="29668"/>
  </r>
  <r>
    <x v="1"/>
    <x v="14"/>
    <s v="State-3"/>
    <x v="50"/>
    <s v="22"/>
    <s v="Democratic"/>
    <n v="4130"/>
  </r>
  <r>
    <x v="1"/>
    <x v="14"/>
    <s v="State-3"/>
    <x v="51"/>
    <s v="20"/>
    <s v="Libertarian"/>
    <n v="1431"/>
  </r>
  <r>
    <x v="1"/>
    <x v="14"/>
    <s v="State-3"/>
    <x v="52"/>
    <s v="21"/>
    <s v="Republican"/>
    <n v="22902"/>
  </r>
  <r>
    <x v="1"/>
    <x v="14"/>
    <s v="State-3"/>
    <x v="16"/>
    <m/>
    <m/>
    <n v="1"/>
  </r>
  <r>
    <x v="1"/>
    <x v="14"/>
    <s v="State-3"/>
    <x v="17"/>
    <m/>
    <m/>
    <n v="1204"/>
  </r>
  <r>
    <x v="1"/>
    <x v="3"/>
    <s v="State-7"/>
    <x v="0"/>
    <m/>
    <m/>
    <n v="29668"/>
  </r>
  <r>
    <x v="1"/>
    <x v="3"/>
    <s v="State-7"/>
    <x v="26"/>
    <s v="36"/>
    <s v="Republican"/>
    <n v="18423"/>
  </r>
  <r>
    <x v="1"/>
    <x v="3"/>
    <s v="State-7"/>
    <x v="27"/>
    <s v="40"/>
    <s v="Independent American"/>
    <n v="776"/>
  </r>
  <r>
    <x v="1"/>
    <x v="3"/>
    <s v="State-7"/>
    <x v="28"/>
    <s v="34"/>
    <s v="Democratic"/>
    <n v="3535"/>
  </r>
  <r>
    <x v="1"/>
    <x v="3"/>
    <s v="State-7"/>
    <x v="29"/>
    <s v="33"/>
    <s v="Libertarian"/>
    <n v="1083"/>
  </r>
  <r>
    <x v="1"/>
    <x v="3"/>
    <s v="State-7"/>
    <x v="30"/>
    <s v="39"/>
    <s v="Unaffiliated"/>
    <n v="136"/>
  </r>
  <r>
    <x v="1"/>
    <x v="3"/>
    <s v="State-7"/>
    <x v="31"/>
    <s v="37"/>
    <s v="Unaffiliated"/>
    <n v="4682"/>
  </r>
  <r>
    <x v="1"/>
    <x v="3"/>
    <s v="State-7"/>
    <x v="32"/>
    <s v="38"/>
    <s v="Unaffiliated"/>
    <n v="17"/>
  </r>
  <r>
    <x v="1"/>
    <x v="3"/>
    <s v="State-7"/>
    <x v="16"/>
    <m/>
    <m/>
    <n v="13"/>
  </r>
  <r>
    <x v="1"/>
    <x v="3"/>
    <s v="State-7"/>
    <x v="17"/>
    <m/>
    <m/>
    <n v="933"/>
  </r>
  <r>
    <x v="1"/>
    <x v="4"/>
    <s v="State-8"/>
    <x v="0"/>
    <m/>
    <m/>
    <n v="29668"/>
  </r>
  <r>
    <x v="1"/>
    <x v="4"/>
    <s v="State-8"/>
    <x v="33"/>
    <s v="45"/>
    <s v="Republican"/>
    <n v="21581"/>
  </r>
  <r>
    <x v="1"/>
    <x v="4"/>
    <s v="State-8"/>
    <x v="34"/>
    <s v="41"/>
    <s v="Democratic"/>
    <n v="3647"/>
  </r>
  <r>
    <x v="1"/>
    <x v="4"/>
    <s v="State-8"/>
    <x v="35"/>
    <s v="42"/>
    <s v="Libertarian"/>
    <n v="1174"/>
  </r>
  <r>
    <x v="1"/>
    <x v="4"/>
    <s v="State-8"/>
    <x v="36"/>
    <s v="43"/>
    <s v="Unaffiliated"/>
    <n v="883"/>
  </r>
  <r>
    <x v="1"/>
    <x v="4"/>
    <s v="State-8"/>
    <x v="37"/>
    <s v="44"/>
    <s v="United Utah Party"/>
    <n v="1229"/>
  </r>
  <r>
    <x v="1"/>
    <x v="4"/>
    <s v="State-8"/>
    <x v="16"/>
    <m/>
    <m/>
    <n v="5"/>
  </r>
  <r>
    <x v="1"/>
    <x v="4"/>
    <s v="State-8"/>
    <x v="17"/>
    <m/>
    <m/>
    <n v="1149"/>
  </r>
  <r>
    <x v="1"/>
    <x v="5"/>
    <s v="State-9"/>
    <x v="0"/>
    <m/>
    <m/>
    <n v="29668"/>
  </r>
  <r>
    <x v="1"/>
    <x v="5"/>
    <s v="State-9"/>
    <x v="38"/>
    <s v="48"/>
    <s v="Republican"/>
    <n v="22577"/>
  </r>
  <r>
    <x v="1"/>
    <x v="5"/>
    <s v="State-9"/>
    <x v="39"/>
    <s v="46"/>
    <s v="Constitution"/>
    <n v="1868"/>
  </r>
  <r>
    <x v="1"/>
    <x v="5"/>
    <s v="State-9"/>
    <x v="40"/>
    <s v="47"/>
    <s v="Democratic"/>
    <n v="3800"/>
  </r>
  <r>
    <x v="1"/>
    <x v="5"/>
    <s v="State-9"/>
    <x v="16"/>
    <m/>
    <m/>
    <n v="8"/>
  </r>
  <r>
    <x v="1"/>
    <x v="5"/>
    <s v="State-9"/>
    <x v="17"/>
    <m/>
    <m/>
    <n v="1415"/>
  </r>
  <r>
    <x v="1"/>
    <x v="6"/>
    <s v="State-10"/>
    <x v="0"/>
    <m/>
    <m/>
    <n v="29668"/>
  </r>
  <r>
    <x v="1"/>
    <x v="6"/>
    <s v="State-10"/>
    <x v="41"/>
    <s v="49"/>
    <s v="Utah Forward"/>
    <n v="1233"/>
  </r>
  <r>
    <x v="1"/>
    <x v="6"/>
    <s v="State-10"/>
    <x v="42"/>
    <s v="50"/>
    <s v="Republican"/>
    <n v="22908"/>
  </r>
  <r>
    <x v="1"/>
    <x v="6"/>
    <s v="State-10"/>
    <x v="43"/>
    <s v="51"/>
    <s v="Democratic"/>
    <n v="4020"/>
  </r>
  <r>
    <x v="1"/>
    <x v="6"/>
    <s v="State-10"/>
    <x v="16"/>
    <m/>
    <m/>
    <n v="6"/>
  </r>
  <r>
    <x v="1"/>
    <x v="6"/>
    <s v="State-10"/>
    <x v="17"/>
    <m/>
    <m/>
    <n v="1501"/>
  </r>
  <r>
    <x v="1"/>
    <x v="15"/>
    <s v="State-26"/>
    <x v="0"/>
    <m/>
    <m/>
    <n v="21130"/>
  </r>
  <r>
    <x v="1"/>
    <x v="15"/>
    <s v="State-26"/>
    <x v="53"/>
    <s v="82"/>
    <s v="Democratic"/>
    <n v="3546"/>
  </r>
  <r>
    <x v="1"/>
    <x v="15"/>
    <s v="State-26"/>
    <x v="54"/>
    <s v="83"/>
    <s v="Republican"/>
    <n v="16393"/>
  </r>
  <r>
    <x v="1"/>
    <x v="15"/>
    <s v="State-26"/>
    <x v="16"/>
    <m/>
    <m/>
    <n v="1"/>
  </r>
  <r>
    <x v="1"/>
    <x v="15"/>
    <s v="State-26"/>
    <x v="17"/>
    <m/>
    <m/>
    <n v="1190"/>
  </r>
  <r>
    <x v="1"/>
    <x v="16"/>
    <s v="State-31"/>
    <x v="0"/>
    <m/>
    <m/>
    <n v="8538"/>
  </r>
  <r>
    <x v="1"/>
    <x v="16"/>
    <s v="State-31"/>
    <x v="55"/>
    <s v="92"/>
    <s v="Republican"/>
    <n v="6483"/>
  </r>
  <r>
    <x v="1"/>
    <x v="16"/>
    <s v="State-31"/>
    <x v="56"/>
    <s v="91"/>
    <s v="Democratic"/>
    <n v="1510"/>
  </r>
  <r>
    <x v="1"/>
    <x v="16"/>
    <s v="State-31"/>
    <x v="16"/>
    <m/>
    <m/>
    <n v="0"/>
  </r>
  <r>
    <x v="1"/>
    <x v="16"/>
    <s v="State-31"/>
    <x v="17"/>
    <m/>
    <m/>
    <n v="545"/>
  </r>
  <r>
    <x v="1"/>
    <x v="8"/>
    <s v="State-109"/>
    <x v="0"/>
    <m/>
    <m/>
    <n v="29668"/>
  </r>
  <r>
    <x v="1"/>
    <x v="8"/>
    <s v="State-109"/>
    <x v="46"/>
    <s v="232"/>
    <m/>
    <n v="20888"/>
  </r>
  <r>
    <x v="1"/>
    <x v="8"/>
    <s v="State-109"/>
    <x v="47"/>
    <s v="231"/>
    <m/>
    <n v="4235"/>
  </r>
  <r>
    <x v="1"/>
    <x v="8"/>
    <s v="State-109"/>
    <x v="16"/>
    <m/>
    <m/>
    <n v="17"/>
  </r>
  <r>
    <x v="1"/>
    <x v="8"/>
    <s v="State-109"/>
    <x v="17"/>
    <m/>
    <m/>
    <n v="4528"/>
  </r>
  <r>
    <x v="1"/>
    <x v="9"/>
    <s v="State-110"/>
    <x v="0"/>
    <m/>
    <m/>
    <n v="29668"/>
  </r>
  <r>
    <x v="1"/>
    <x v="9"/>
    <s v="State-110"/>
    <x v="46"/>
    <s v="233"/>
    <m/>
    <n v="20692"/>
  </r>
  <r>
    <x v="1"/>
    <x v="9"/>
    <s v="State-110"/>
    <x v="47"/>
    <s v="234"/>
    <m/>
    <n v="4338"/>
  </r>
  <r>
    <x v="1"/>
    <x v="9"/>
    <s v="State-110"/>
    <x v="16"/>
    <m/>
    <m/>
    <n v="10"/>
  </r>
  <r>
    <x v="1"/>
    <x v="9"/>
    <s v="State-110"/>
    <x v="17"/>
    <m/>
    <m/>
    <n v="4628"/>
  </r>
  <r>
    <x v="1"/>
    <x v="17"/>
    <s v="State-111"/>
    <x v="0"/>
    <m/>
    <m/>
    <n v="29668"/>
  </r>
  <r>
    <x v="1"/>
    <x v="17"/>
    <s v="State-111"/>
    <x v="46"/>
    <s v="235"/>
    <m/>
    <n v="20502"/>
  </r>
  <r>
    <x v="1"/>
    <x v="17"/>
    <s v="State-111"/>
    <x v="47"/>
    <s v="236"/>
    <m/>
    <n v="4845"/>
  </r>
  <r>
    <x v="1"/>
    <x v="17"/>
    <s v="State-111"/>
    <x v="16"/>
    <m/>
    <m/>
    <n v="5"/>
  </r>
  <r>
    <x v="1"/>
    <x v="17"/>
    <s v="State-111"/>
    <x v="17"/>
    <m/>
    <m/>
    <n v="4316"/>
  </r>
  <r>
    <x v="1"/>
    <x v="18"/>
    <s v="State-112"/>
    <x v="0"/>
    <m/>
    <m/>
    <n v="29668"/>
  </r>
  <r>
    <x v="1"/>
    <x v="18"/>
    <s v="State-112"/>
    <x v="46"/>
    <s v="237"/>
    <m/>
    <n v="20728"/>
  </r>
  <r>
    <x v="1"/>
    <x v="18"/>
    <s v="State-112"/>
    <x v="47"/>
    <s v="238"/>
    <m/>
    <n v="4294"/>
  </r>
  <r>
    <x v="1"/>
    <x v="18"/>
    <s v="State-112"/>
    <x v="16"/>
    <m/>
    <m/>
    <n v="8"/>
  </r>
  <r>
    <x v="1"/>
    <x v="18"/>
    <s v="State-112"/>
    <x v="17"/>
    <m/>
    <m/>
    <n v="4638"/>
  </r>
  <r>
    <x v="1"/>
    <x v="19"/>
    <s v="State-136"/>
    <x v="0"/>
    <m/>
    <m/>
    <n v="29668"/>
  </r>
  <r>
    <x v="1"/>
    <x v="19"/>
    <s v="State-136"/>
    <x v="46"/>
    <s v="285"/>
    <m/>
    <n v="20889"/>
  </r>
  <r>
    <x v="1"/>
    <x v="19"/>
    <s v="State-136"/>
    <x v="47"/>
    <s v="286"/>
    <m/>
    <n v="4129"/>
  </r>
  <r>
    <x v="1"/>
    <x v="19"/>
    <s v="State-136"/>
    <x v="16"/>
    <m/>
    <m/>
    <n v="3"/>
  </r>
  <r>
    <x v="1"/>
    <x v="19"/>
    <s v="State-136"/>
    <x v="17"/>
    <m/>
    <m/>
    <n v="4647"/>
  </r>
  <r>
    <x v="1"/>
    <x v="12"/>
    <s v="State-145"/>
    <x v="0"/>
    <m/>
    <m/>
    <n v="29668"/>
  </r>
  <r>
    <x v="1"/>
    <x v="12"/>
    <s v="State-145"/>
    <x v="48"/>
    <s v="303"/>
    <m/>
    <n v="17783"/>
  </r>
  <r>
    <x v="1"/>
    <x v="12"/>
    <s v="State-145"/>
    <x v="49"/>
    <s v="304"/>
    <m/>
    <n v="9945"/>
  </r>
  <r>
    <x v="1"/>
    <x v="12"/>
    <s v="State-145"/>
    <x v="16"/>
    <m/>
    <m/>
    <n v="6"/>
  </r>
  <r>
    <x v="1"/>
    <x v="12"/>
    <s v="State-145"/>
    <x v="17"/>
    <m/>
    <m/>
    <n v="1934"/>
  </r>
  <r>
    <x v="1"/>
    <x v="13"/>
    <s v="State-146"/>
    <x v="0"/>
    <m/>
    <m/>
    <n v="29668"/>
  </r>
  <r>
    <x v="1"/>
    <x v="13"/>
    <s v="State-146"/>
    <x v="48"/>
    <s v="305"/>
    <m/>
    <n v="23770"/>
  </r>
  <r>
    <x v="1"/>
    <x v="13"/>
    <s v="State-146"/>
    <x v="49"/>
    <s v="306"/>
    <m/>
    <n v="4068"/>
  </r>
  <r>
    <x v="1"/>
    <x v="13"/>
    <s v="State-146"/>
    <x v="16"/>
    <m/>
    <m/>
    <n v="12"/>
  </r>
  <r>
    <x v="1"/>
    <x v="13"/>
    <s v="State-146"/>
    <x v="17"/>
    <m/>
    <m/>
    <n v="1818"/>
  </r>
  <r>
    <x v="2"/>
    <x v="0"/>
    <s v="State-1"/>
    <x v="0"/>
    <m/>
    <m/>
    <n v="62148"/>
  </r>
  <r>
    <x v="2"/>
    <x v="0"/>
    <s v="State-1"/>
    <x v="1"/>
    <s v="9"/>
    <s v="Unaffiliated"/>
    <n v="94"/>
  </r>
  <r>
    <x v="2"/>
    <x v="0"/>
    <s v="State-1"/>
    <x v="2"/>
    <s v="3"/>
    <s v="Unaffiliated"/>
    <n v="107"/>
  </r>
  <r>
    <x v="2"/>
    <x v="0"/>
    <s v="State-1"/>
    <x v="3"/>
    <s v="13"/>
    <s v="Constitution"/>
    <n v="506"/>
  </r>
  <r>
    <x v="2"/>
    <x v="0"/>
    <s v="State-1"/>
    <x v="4"/>
    <s v="8"/>
    <s v="Green"/>
    <n v="343"/>
  </r>
  <r>
    <x v="2"/>
    <x v="0"/>
    <s v="State-1"/>
    <x v="5"/>
    <s v="5"/>
    <s v="Republican"/>
    <n v="39457"/>
  </r>
  <r>
    <x v="2"/>
    <x v="0"/>
    <s v="State-1"/>
    <x v="6"/>
    <s v="10"/>
    <s v="Libertarian"/>
    <n v="885"/>
  </r>
  <r>
    <x v="2"/>
    <x v="0"/>
    <s v="State-1"/>
    <x v="7"/>
    <s v="4"/>
    <s v="Democratic"/>
    <n v="18718"/>
  </r>
  <r>
    <x v="2"/>
    <x v="0"/>
    <s v="State-1"/>
    <x v="8"/>
    <s v="15"/>
    <s v="Unaffiliated"/>
    <n v="119"/>
  </r>
  <r>
    <x v="2"/>
    <x v="0"/>
    <s v="State-1"/>
    <x v="9"/>
    <s v="1"/>
    <s v="Unaffiliated"/>
    <n v="0"/>
  </r>
  <r>
    <x v="2"/>
    <x v="0"/>
    <s v="State-1"/>
    <x v="10"/>
    <s v="2"/>
    <s v="Unaffiliated"/>
    <n v="28"/>
  </r>
  <r>
    <x v="2"/>
    <x v="0"/>
    <s v="State-1"/>
    <x v="11"/>
    <s v="6"/>
    <s v="Unaffiliated"/>
    <n v="1"/>
  </r>
  <r>
    <x v="2"/>
    <x v="0"/>
    <s v="State-1"/>
    <x v="12"/>
    <s v="7"/>
    <s v="Unaffiliated"/>
    <n v="0"/>
  </r>
  <r>
    <x v="2"/>
    <x v="0"/>
    <s v="State-1"/>
    <x v="13"/>
    <s v="11"/>
    <s v="Unaffiliated"/>
    <n v="0"/>
  </r>
  <r>
    <x v="2"/>
    <x v="0"/>
    <s v="State-1"/>
    <x v="14"/>
    <s v="12"/>
    <s v="Unaffiliated"/>
    <n v="0"/>
  </r>
  <r>
    <x v="2"/>
    <x v="0"/>
    <s v="State-1"/>
    <x v="15"/>
    <s v="14"/>
    <s v="Unaffiliated"/>
    <n v="0"/>
  </r>
  <r>
    <x v="2"/>
    <x v="0"/>
    <s v="State-1"/>
    <x v="16"/>
    <m/>
    <m/>
    <n v="29"/>
  </r>
  <r>
    <x v="2"/>
    <x v="0"/>
    <s v="State-1"/>
    <x v="17"/>
    <m/>
    <m/>
    <n v="731"/>
  </r>
  <r>
    <x v="2"/>
    <x v="1"/>
    <s v="State-2"/>
    <x v="0"/>
    <m/>
    <m/>
    <n v="62148"/>
  </r>
  <r>
    <x v="2"/>
    <x v="1"/>
    <s v="State-2"/>
    <x v="18"/>
    <s v="19"/>
    <s v="Independent American"/>
    <n v="3396"/>
  </r>
  <r>
    <x v="2"/>
    <x v="1"/>
    <s v="State-2"/>
    <x v="19"/>
    <s v="18"/>
    <s v="Republican"/>
    <n v="41451"/>
  </r>
  <r>
    <x v="2"/>
    <x v="1"/>
    <s v="State-2"/>
    <x v="20"/>
    <s v="17"/>
    <s v="Democratic"/>
    <n v="15067"/>
  </r>
  <r>
    <x v="2"/>
    <x v="1"/>
    <s v="State-2"/>
    <x v="21"/>
    <s v="16"/>
    <s v="Unaffiliated"/>
    <n v="18"/>
  </r>
  <r>
    <x v="2"/>
    <x v="1"/>
    <s v="State-2"/>
    <x v="16"/>
    <m/>
    <m/>
    <n v="13"/>
  </r>
  <r>
    <x v="2"/>
    <x v="1"/>
    <s v="State-2"/>
    <x v="17"/>
    <m/>
    <m/>
    <n v="1877"/>
  </r>
  <r>
    <x v="2"/>
    <x v="14"/>
    <s v="State-3"/>
    <x v="0"/>
    <m/>
    <m/>
    <n v="62148"/>
  </r>
  <r>
    <x v="2"/>
    <x v="14"/>
    <s v="State-3"/>
    <x v="50"/>
    <s v="22"/>
    <s v="Democratic"/>
    <n v="14324"/>
  </r>
  <r>
    <x v="2"/>
    <x v="14"/>
    <s v="State-3"/>
    <x v="51"/>
    <s v="20"/>
    <s v="Libertarian"/>
    <n v="2573"/>
  </r>
  <r>
    <x v="2"/>
    <x v="14"/>
    <s v="State-3"/>
    <x v="52"/>
    <s v="21"/>
    <s v="Republican"/>
    <n v="42080"/>
  </r>
  <r>
    <x v="2"/>
    <x v="14"/>
    <s v="State-3"/>
    <x v="16"/>
    <m/>
    <m/>
    <n v="1"/>
  </r>
  <r>
    <x v="2"/>
    <x v="14"/>
    <s v="State-3"/>
    <x v="17"/>
    <m/>
    <m/>
    <n v="3170"/>
  </r>
  <r>
    <x v="2"/>
    <x v="3"/>
    <s v="State-7"/>
    <x v="0"/>
    <m/>
    <m/>
    <n v="62147"/>
  </r>
  <r>
    <x v="2"/>
    <x v="3"/>
    <s v="State-7"/>
    <x v="26"/>
    <s v="36"/>
    <s v="Republican"/>
    <n v="36185"/>
  </r>
  <r>
    <x v="2"/>
    <x v="3"/>
    <s v="State-7"/>
    <x v="27"/>
    <s v="40"/>
    <s v="Independent American"/>
    <n v="1278"/>
  </r>
  <r>
    <x v="2"/>
    <x v="3"/>
    <s v="State-7"/>
    <x v="28"/>
    <s v="34"/>
    <s v="Democratic"/>
    <n v="13061"/>
  </r>
  <r>
    <x v="2"/>
    <x v="3"/>
    <s v="State-7"/>
    <x v="29"/>
    <s v="33"/>
    <s v="Libertarian"/>
    <n v="1787"/>
  </r>
  <r>
    <x v="2"/>
    <x v="3"/>
    <s v="State-7"/>
    <x v="30"/>
    <s v="39"/>
    <s v="Unaffiliated"/>
    <n v="225"/>
  </r>
  <r>
    <x v="2"/>
    <x v="3"/>
    <s v="State-7"/>
    <x v="31"/>
    <s v="37"/>
    <s v="Unaffiliated"/>
    <n v="7483"/>
  </r>
  <r>
    <x v="2"/>
    <x v="3"/>
    <s v="State-7"/>
    <x v="32"/>
    <s v="38"/>
    <s v="Unaffiliated"/>
    <n v="16"/>
  </r>
  <r>
    <x v="2"/>
    <x v="3"/>
    <s v="State-7"/>
    <x v="16"/>
    <m/>
    <m/>
    <n v="21"/>
  </r>
  <r>
    <x v="2"/>
    <x v="3"/>
    <s v="State-7"/>
    <x v="17"/>
    <m/>
    <m/>
    <n v="1946"/>
  </r>
  <r>
    <x v="2"/>
    <x v="4"/>
    <s v="State-8"/>
    <x v="0"/>
    <m/>
    <m/>
    <n v="62147"/>
  </r>
  <r>
    <x v="2"/>
    <x v="4"/>
    <s v="State-8"/>
    <x v="33"/>
    <s v="45"/>
    <s v="Republican"/>
    <n v="38140"/>
  </r>
  <r>
    <x v="2"/>
    <x v="4"/>
    <s v="State-8"/>
    <x v="34"/>
    <s v="41"/>
    <s v="Democratic"/>
    <n v="12343"/>
  </r>
  <r>
    <x v="2"/>
    <x v="4"/>
    <s v="State-8"/>
    <x v="35"/>
    <s v="42"/>
    <s v="Libertarian"/>
    <n v="2405"/>
  </r>
  <r>
    <x v="2"/>
    <x v="4"/>
    <s v="State-8"/>
    <x v="36"/>
    <s v="43"/>
    <s v="Unaffiliated"/>
    <n v="2100"/>
  </r>
  <r>
    <x v="2"/>
    <x v="4"/>
    <s v="State-8"/>
    <x v="37"/>
    <s v="44"/>
    <s v="United Utah Party"/>
    <n v="3954"/>
  </r>
  <r>
    <x v="2"/>
    <x v="4"/>
    <s v="State-8"/>
    <x v="16"/>
    <m/>
    <m/>
    <n v="12"/>
  </r>
  <r>
    <x v="2"/>
    <x v="4"/>
    <s v="State-8"/>
    <x v="17"/>
    <m/>
    <m/>
    <n v="3193"/>
  </r>
  <r>
    <x v="2"/>
    <x v="5"/>
    <s v="State-9"/>
    <x v="0"/>
    <m/>
    <m/>
    <n v="62147"/>
  </r>
  <r>
    <x v="2"/>
    <x v="5"/>
    <s v="State-9"/>
    <x v="38"/>
    <s v="48"/>
    <s v="Republican"/>
    <n v="41060"/>
  </r>
  <r>
    <x v="2"/>
    <x v="5"/>
    <s v="State-9"/>
    <x v="39"/>
    <s v="46"/>
    <s v="Constitution"/>
    <n v="3069"/>
  </r>
  <r>
    <x v="2"/>
    <x v="5"/>
    <s v="State-9"/>
    <x v="40"/>
    <s v="47"/>
    <s v="Democratic"/>
    <n v="13831"/>
  </r>
  <r>
    <x v="2"/>
    <x v="5"/>
    <s v="State-9"/>
    <x v="16"/>
    <m/>
    <m/>
    <n v="2"/>
  </r>
  <r>
    <x v="2"/>
    <x v="5"/>
    <s v="State-9"/>
    <x v="17"/>
    <m/>
    <m/>
    <n v="4185"/>
  </r>
  <r>
    <x v="2"/>
    <x v="6"/>
    <s v="State-10"/>
    <x v="0"/>
    <m/>
    <m/>
    <n v="62147"/>
  </r>
  <r>
    <x v="2"/>
    <x v="6"/>
    <s v="State-10"/>
    <x v="41"/>
    <s v="49"/>
    <s v="Utah Forward"/>
    <n v="3054"/>
  </r>
  <r>
    <x v="2"/>
    <x v="6"/>
    <s v="State-10"/>
    <x v="42"/>
    <s v="50"/>
    <s v="Republican"/>
    <n v="41373"/>
  </r>
  <r>
    <x v="2"/>
    <x v="6"/>
    <s v="State-10"/>
    <x v="43"/>
    <s v="51"/>
    <s v="Democratic"/>
    <n v="12733"/>
  </r>
  <r>
    <x v="2"/>
    <x v="6"/>
    <s v="State-10"/>
    <x v="16"/>
    <m/>
    <m/>
    <n v="3"/>
  </r>
  <r>
    <x v="2"/>
    <x v="6"/>
    <s v="State-10"/>
    <x v="17"/>
    <m/>
    <m/>
    <n v="4984"/>
  </r>
  <r>
    <x v="2"/>
    <x v="20"/>
    <s v="State-11"/>
    <x v="0"/>
    <m/>
    <m/>
    <n v="49353"/>
  </r>
  <r>
    <x v="2"/>
    <x v="20"/>
    <s v="State-11"/>
    <x v="57"/>
    <s v="52"/>
    <s v="Republican"/>
    <n v="31805"/>
  </r>
  <r>
    <x v="2"/>
    <x v="20"/>
    <s v="State-11"/>
    <x v="58"/>
    <s v="53"/>
    <s v="Democratic"/>
    <n v="14072"/>
  </r>
  <r>
    <x v="2"/>
    <x v="20"/>
    <s v="State-11"/>
    <x v="16"/>
    <m/>
    <m/>
    <n v="0"/>
  </r>
  <r>
    <x v="2"/>
    <x v="20"/>
    <s v="State-11"/>
    <x v="17"/>
    <m/>
    <m/>
    <n v="3476"/>
  </r>
  <r>
    <x v="2"/>
    <x v="15"/>
    <s v="State-26"/>
    <x v="0"/>
    <m/>
    <m/>
    <n v="1156"/>
  </r>
  <r>
    <x v="2"/>
    <x v="15"/>
    <s v="State-26"/>
    <x v="53"/>
    <s v="82"/>
    <s v="Democratic"/>
    <n v="161"/>
  </r>
  <r>
    <x v="2"/>
    <x v="15"/>
    <s v="State-26"/>
    <x v="54"/>
    <s v="83"/>
    <s v="Republican"/>
    <n v="915"/>
  </r>
  <r>
    <x v="2"/>
    <x v="15"/>
    <s v="State-26"/>
    <x v="16"/>
    <m/>
    <m/>
    <n v="0"/>
  </r>
  <r>
    <x v="2"/>
    <x v="15"/>
    <s v="State-26"/>
    <x v="17"/>
    <m/>
    <m/>
    <n v="80"/>
  </r>
  <r>
    <x v="2"/>
    <x v="21"/>
    <s v="State-27"/>
    <x v="0"/>
    <m/>
    <m/>
    <n v="21075"/>
  </r>
  <r>
    <x v="2"/>
    <x v="21"/>
    <s v="State-27"/>
    <x v="59"/>
    <s v="85"/>
    <s v="Democratic"/>
    <n v="5032"/>
  </r>
  <r>
    <x v="2"/>
    <x v="21"/>
    <s v="State-27"/>
    <x v="60"/>
    <s v="84"/>
    <s v="Republican"/>
    <n v="14303"/>
  </r>
  <r>
    <x v="2"/>
    <x v="21"/>
    <s v="State-27"/>
    <x v="16"/>
    <m/>
    <m/>
    <n v="4"/>
  </r>
  <r>
    <x v="2"/>
    <x v="21"/>
    <s v="State-27"/>
    <x v="17"/>
    <m/>
    <m/>
    <n v="1736"/>
  </r>
  <r>
    <x v="2"/>
    <x v="22"/>
    <s v="State-28"/>
    <x v="0"/>
    <m/>
    <m/>
    <n v="16717"/>
  </r>
  <r>
    <x v="2"/>
    <x v="22"/>
    <s v="State-28"/>
    <x v="61"/>
    <s v="87"/>
    <s v="Unaffiliated"/>
    <n v="6988"/>
  </r>
  <r>
    <x v="2"/>
    <x v="22"/>
    <s v="State-28"/>
    <x v="62"/>
    <s v="86"/>
    <s v="Republican"/>
    <n v="8209"/>
  </r>
  <r>
    <x v="2"/>
    <x v="22"/>
    <s v="State-28"/>
    <x v="16"/>
    <m/>
    <m/>
    <n v="3"/>
  </r>
  <r>
    <x v="2"/>
    <x v="22"/>
    <s v="State-28"/>
    <x v="17"/>
    <m/>
    <m/>
    <n v="1517"/>
  </r>
  <r>
    <x v="2"/>
    <x v="23"/>
    <s v="State-30"/>
    <x v="0"/>
    <m/>
    <m/>
    <n v="23199"/>
  </r>
  <r>
    <x v="2"/>
    <x v="23"/>
    <s v="State-30"/>
    <x v="63"/>
    <s v="90"/>
    <s v="Republican"/>
    <n v="17572"/>
  </r>
  <r>
    <x v="2"/>
    <x v="23"/>
    <s v="State-30"/>
    <x v="16"/>
    <m/>
    <m/>
    <n v="0"/>
  </r>
  <r>
    <x v="2"/>
    <x v="23"/>
    <s v="State-30"/>
    <x v="17"/>
    <m/>
    <m/>
    <n v="5627"/>
  </r>
  <r>
    <x v="2"/>
    <x v="8"/>
    <s v="State-109"/>
    <x v="0"/>
    <m/>
    <m/>
    <n v="62147"/>
  </r>
  <r>
    <x v="2"/>
    <x v="8"/>
    <s v="State-109"/>
    <x v="46"/>
    <s v="232"/>
    <m/>
    <n v="41698"/>
  </r>
  <r>
    <x v="2"/>
    <x v="8"/>
    <s v="State-109"/>
    <x v="47"/>
    <s v="231"/>
    <m/>
    <n v="8007"/>
  </r>
  <r>
    <x v="2"/>
    <x v="8"/>
    <s v="State-109"/>
    <x v="16"/>
    <m/>
    <m/>
    <n v="14"/>
  </r>
  <r>
    <x v="2"/>
    <x v="8"/>
    <s v="State-109"/>
    <x v="17"/>
    <m/>
    <m/>
    <n v="12428"/>
  </r>
  <r>
    <x v="2"/>
    <x v="9"/>
    <s v="State-110"/>
    <x v="0"/>
    <m/>
    <m/>
    <n v="62147"/>
  </r>
  <r>
    <x v="2"/>
    <x v="9"/>
    <s v="State-110"/>
    <x v="46"/>
    <s v="233"/>
    <m/>
    <n v="41233"/>
  </r>
  <r>
    <x v="2"/>
    <x v="9"/>
    <s v="State-110"/>
    <x v="47"/>
    <s v="234"/>
    <m/>
    <n v="7737"/>
  </r>
  <r>
    <x v="2"/>
    <x v="9"/>
    <s v="State-110"/>
    <x v="16"/>
    <m/>
    <m/>
    <n v="17"/>
  </r>
  <r>
    <x v="2"/>
    <x v="9"/>
    <s v="State-110"/>
    <x v="17"/>
    <m/>
    <m/>
    <n v="13160"/>
  </r>
  <r>
    <x v="2"/>
    <x v="17"/>
    <s v="State-111"/>
    <x v="0"/>
    <m/>
    <m/>
    <n v="62147"/>
  </r>
  <r>
    <x v="2"/>
    <x v="17"/>
    <s v="State-111"/>
    <x v="46"/>
    <s v="235"/>
    <m/>
    <n v="40026"/>
  </r>
  <r>
    <x v="2"/>
    <x v="17"/>
    <s v="State-111"/>
    <x v="47"/>
    <s v="236"/>
    <m/>
    <n v="8848"/>
  </r>
  <r>
    <x v="2"/>
    <x v="17"/>
    <s v="State-111"/>
    <x v="16"/>
    <m/>
    <m/>
    <n v="13"/>
  </r>
  <r>
    <x v="2"/>
    <x v="17"/>
    <s v="State-111"/>
    <x v="17"/>
    <m/>
    <m/>
    <n v="13260"/>
  </r>
  <r>
    <x v="2"/>
    <x v="18"/>
    <s v="State-112"/>
    <x v="0"/>
    <m/>
    <m/>
    <n v="62147"/>
  </r>
  <r>
    <x v="2"/>
    <x v="18"/>
    <s v="State-112"/>
    <x v="46"/>
    <s v="237"/>
    <m/>
    <n v="41698"/>
  </r>
  <r>
    <x v="2"/>
    <x v="18"/>
    <s v="State-112"/>
    <x v="47"/>
    <s v="238"/>
    <m/>
    <n v="7631"/>
  </r>
  <r>
    <x v="2"/>
    <x v="18"/>
    <s v="State-112"/>
    <x v="16"/>
    <m/>
    <m/>
    <n v="16"/>
  </r>
  <r>
    <x v="2"/>
    <x v="18"/>
    <s v="State-112"/>
    <x v="17"/>
    <m/>
    <m/>
    <n v="12802"/>
  </r>
  <r>
    <x v="2"/>
    <x v="19"/>
    <s v="State-136"/>
    <x v="0"/>
    <m/>
    <m/>
    <n v="62147"/>
  </r>
  <r>
    <x v="2"/>
    <x v="19"/>
    <s v="State-136"/>
    <x v="46"/>
    <s v="285"/>
    <m/>
    <n v="42396"/>
  </r>
  <r>
    <x v="2"/>
    <x v="19"/>
    <s v="State-136"/>
    <x v="47"/>
    <s v="286"/>
    <m/>
    <n v="7002"/>
  </r>
  <r>
    <x v="2"/>
    <x v="19"/>
    <s v="State-136"/>
    <x v="16"/>
    <m/>
    <m/>
    <n v="5"/>
  </r>
  <r>
    <x v="2"/>
    <x v="19"/>
    <s v="State-136"/>
    <x v="17"/>
    <m/>
    <m/>
    <n v="12744"/>
  </r>
  <r>
    <x v="2"/>
    <x v="12"/>
    <s v="State-145"/>
    <x v="0"/>
    <m/>
    <m/>
    <n v="62147"/>
  </r>
  <r>
    <x v="2"/>
    <x v="12"/>
    <s v="State-145"/>
    <x v="48"/>
    <s v="303"/>
    <m/>
    <n v="41782"/>
  </r>
  <r>
    <x v="2"/>
    <x v="12"/>
    <s v="State-145"/>
    <x v="49"/>
    <s v="304"/>
    <m/>
    <n v="15595"/>
  </r>
  <r>
    <x v="2"/>
    <x v="12"/>
    <s v="State-145"/>
    <x v="16"/>
    <m/>
    <m/>
    <n v="8"/>
  </r>
  <r>
    <x v="2"/>
    <x v="12"/>
    <s v="State-145"/>
    <x v="17"/>
    <m/>
    <m/>
    <n v="4762"/>
  </r>
  <r>
    <x v="2"/>
    <x v="13"/>
    <s v="State-146"/>
    <x v="0"/>
    <m/>
    <m/>
    <n v="62147"/>
  </r>
  <r>
    <x v="2"/>
    <x v="13"/>
    <s v="State-146"/>
    <x v="48"/>
    <s v="305"/>
    <m/>
    <n v="46880"/>
  </r>
  <r>
    <x v="2"/>
    <x v="13"/>
    <s v="State-146"/>
    <x v="49"/>
    <s v="306"/>
    <m/>
    <n v="10593"/>
  </r>
  <r>
    <x v="2"/>
    <x v="13"/>
    <s v="State-146"/>
    <x v="16"/>
    <m/>
    <m/>
    <n v="6"/>
  </r>
  <r>
    <x v="2"/>
    <x v="13"/>
    <s v="State-146"/>
    <x v="17"/>
    <m/>
    <m/>
    <n v="4668"/>
  </r>
  <r>
    <x v="3"/>
    <x v="0"/>
    <s v="State-1"/>
    <x v="0"/>
    <m/>
    <m/>
    <n v="9610"/>
  </r>
  <r>
    <x v="3"/>
    <x v="0"/>
    <s v="State-1"/>
    <x v="1"/>
    <s v="9"/>
    <s v="Unaffiliated"/>
    <n v="8"/>
  </r>
  <r>
    <x v="3"/>
    <x v="0"/>
    <s v="State-1"/>
    <x v="2"/>
    <s v="3"/>
    <s v="Unaffiliated"/>
    <n v="19"/>
  </r>
  <r>
    <x v="3"/>
    <x v="0"/>
    <s v="State-1"/>
    <x v="3"/>
    <s v="13"/>
    <s v="Constitution"/>
    <n v="32"/>
  </r>
  <r>
    <x v="3"/>
    <x v="0"/>
    <s v="State-1"/>
    <x v="4"/>
    <s v="8"/>
    <s v="Green"/>
    <n v="38"/>
  </r>
  <r>
    <x v="3"/>
    <x v="0"/>
    <s v="State-1"/>
    <x v="5"/>
    <s v="5"/>
    <s v="Republican"/>
    <n v="6719"/>
  </r>
  <r>
    <x v="3"/>
    <x v="0"/>
    <s v="State-1"/>
    <x v="6"/>
    <s v="10"/>
    <s v="Libertarian"/>
    <n v="90"/>
  </r>
  <r>
    <x v="3"/>
    <x v="0"/>
    <s v="State-1"/>
    <x v="7"/>
    <s v="4"/>
    <s v="Democratic"/>
    <n v="2525"/>
  </r>
  <r>
    <x v="3"/>
    <x v="0"/>
    <s v="State-1"/>
    <x v="8"/>
    <s v="15"/>
    <s v="Unaffiliated"/>
    <n v="14"/>
  </r>
  <r>
    <x v="3"/>
    <x v="0"/>
    <s v="State-1"/>
    <x v="9"/>
    <s v="1"/>
    <s v="Unaffiliated"/>
    <n v="0"/>
  </r>
  <r>
    <x v="3"/>
    <x v="0"/>
    <s v="State-1"/>
    <x v="10"/>
    <s v="2"/>
    <s v="Unaffiliated"/>
    <n v="0"/>
  </r>
  <r>
    <x v="3"/>
    <x v="0"/>
    <s v="State-1"/>
    <x v="11"/>
    <s v="6"/>
    <s v="Unaffiliated"/>
    <n v="0"/>
  </r>
  <r>
    <x v="3"/>
    <x v="0"/>
    <s v="State-1"/>
    <x v="12"/>
    <s v="7"/>
    <s v="Unaffiliated"/>
    <n v="0"/>
  </r>
  <r>
    <x v="3"/>
    <x v="0"/>
    <s v="State-1"/>
    <x v="13"/>
    <s v="11"/>
    <s v="Unaffiliated"/>
    <n v="0"/>
  </r>
  <r>
    <x v="3"/>
    <x v="0"/>
    <s v="State-1"/>
    <x v="14"/>
    <s v="12"/>
    <s v="Unaffiliated"/>
    <n v="0"/>
  </r>
  <r>
    <x v="3"/>
    <x v="0"/>
    <s v="State-1"/>
    <x v="15"/>
    <s v="14"/>
    <s v="Unaffiliated"/>
    <n v="0"/>
  </r>
  <r>
    <x v="3"/>
    <x v="0"/>
    <s v="State-1"/>
    <x v="16"/>
    <m/>
    <m/>
    <n v="2"/>
  </r>
  <r>
    <x v="3"/>
    <x v="0"/>
    <s v="State-1"/>
    <x v="17"/>
    <m/>
    <m/>
    <n v="81"/>
  </r>
  <r>
    <x v="3"/>
    <x v="1"/>
    <s v="State-2"/>
    <x v="0"/>
    <m/>
    <m/>
    <n v="9610"/>
  </r>
  <r>
    <x v="3"/>
    <x v="1"/>
    <s v="State-2"/>
    <x v="18"/>
    <s v="19"/>
    <s v="Independent American"/>
    <n v="435"/>
  </r>
  <r>
    <x v="3"/>
    <x v="1"/>
    <s v="State-2"/>
    <x v="19"/>
    <s v="18"/>
    <s v="Republican"/>
    <n v="6751"/>
  </r>
  <r>
    <x v="3"/>
    <x v="1"/>
    <s v="State-2"/>
    <x v="20"/>
    <s v="17"/>
    <s v="Democratic"/>
    <n v="2140"/>
  </r>
  <r>
    <x v="3"/>
    <x v="1"/>
    <s v="State-2"/>
    <x v="21"/>
    <s v="16"/>
    <s v="Unaffiliated"/>
    <n v="0"/>
  </r>
  <r>
    <x v="3"/>
    <x v="1"/>
    <s v="State-2"/>
    <x v="16"/>
    <m/>
    <m/>
    <n v="1"/>
  </r>
  <r>
    <x v="3"/>
    <x v="1"/>
    <s v="State-2"/>
    <x v="17"/>
    <m/>
    <m/>
    <n v="242"/>
  </r>
  <r>
    <x v="3"/>
    <x v="24"/>
    <s v="State-5"/>
    <x v="0"/>
    <m/>
    <m/>
    <n v="9610"/>
  </r>
  <r>
    <x v="3"/>
    <x v="24"/>
    <s v="State-5"/>
    <x v="64"/>
    <s v="27"/>
    <s v="Republican"/>
    <n v="6744"/>
  </r>
  <r>
    <x v="3"/>
    <x v="24"/>
    <s v="State-5"/>
    <x v="65"/>
    <s v="28"/>
    <s v="Democratic"/>
    <n v="2410"/>
  </r>
  <r>
    <x v="3"/>
    <x v="24"/>
    <s v="State-5"/>
    <x v="16"/>
    <m/>
    <m/>
    <n v="0"/>
  </r>
  <r>
    <x v="3"/>
    <x v="24"/>
    <s v="State-5"/>
    <x v="17"/>
    <m/>
    <m/>
    <n v="456"/>
  </r>
  <r>
    <x v="3"/>
    <x v="3"/>
    <s v="State-7"/>
    <x v="0"/>
    <m/>
    <m/>
    <n v="9603"/>
  </r>
  <r>
    <x v="3"/>
    <x v="3"/>
    <s v="State-7"/>
    <x v="26"/>
    <s v="36"/>
    <s v="Republican"/>
    <n v="5710"/>
  </r>
  <r>
    <x v="3"/>
    <x v="3"/>
    <s v="State-7"/>
    <x v="27"/>
    <s v="40"/>
    <s v="Independent American"/>
    <n v="229"/>
  </r>
  <r>
    <x v="3"/>
    <x v="3"/>
    <s v="State-7"/>
    <x v="28"/>
    <s v="34"/>
    <s v="Democratic"/>
    <n v="2094"/>
  </r>
  <r>
    <x v="3"/>
    <x v="3"/>
    <s v="State-7"/>
    <x v="29"/>
    <s v="33"/>
    <s v="Libertarian"/>
    <n v="231"/>
  </r>
  <r>
    <x v="3"/>
    <x v="3"/>
    <s v="State-7"/>
    <x v="30"/>
    <s v="39"/>
    <s v="Unaffiliated"/>
    <n v="40"/>
  </r>
  <r>
    <x v="3"/>
    <x v="3"/>
    <s v="State-7"/>
    <x v="31"/>
    <s v="37"/>
    <s v="Unaffiliated"/>
    <n v="1006"/>
  </r>
  <r>
    <x v="3"/>
    <x v="3"/>
    <s v="State-7"/>
    <x v="32"/>
    <s v="38"/>
    <s v="Unaffiliated"/>
    <n v="3"/>
  </r>
  <r>
    <x v="3"/>
    <x v="3"/>
    <s v="State-7"/>
    <x v="16"/>
    <m/>
    <m/>
    <n v="0"/>
  </r>
  <r>
    <x v="3"/>
    <x v="3"/>
    <s v="State-7"/>
    <x v="17"/>
    <m/>
    <m/>
    <n v="255"/>
  </r>
  <r>
    <x v="3"/>
    <x v="4"/>
    <s v="State-8"/>
    <x v="0"/>
    <m/>
    <m/>
    <n v="9603"/>
  </r>
  <r>
    <x v="3"/>
    <x v="4"/>
    <s v="State-8"/>
    <x v="33"/>
    <s v="45"/>
    <s v="Republican"/>
    <n v="6126"/>
  </r>
  <r>
    <x v="3"/>
    <x v="4"/>
    <s v="State-8"/>
    <x v="34"/>
    <s v="41"/>
    <s v="Democratic"/>
    <n v="2196"/>
  </r>
  <r>
    <x v="3"/>
    <x v="4"/>
    <s v="State-8"/>
    <x v="35"/>
    <s v="42"/>
    <s v="Libertarian"/>
    <n v="366"/>
  </r>
  <r>
    <x v="3"/>
    <x v="4"/>
    <s v="State-8"/>
    <x v="36"/>
    <s v="43"/>
    <s v="Unaffiliated"/>
    <n v="224"/>
  </r>
  <r>
    <x v="3"/>
    <x v="4"/>
    <s v="State-8"/>
    <x v="37"/>
    <s v="44"/>
    <s v="United Utah Party"/>
    <n v="294"/>
  </r>
  <r>
    <x v="3"/>
    <x v="4"/>
    <s v="State-8"/>
    <x v="16"/>
    <m/>
    <m/>
    <n v="2"/>
  </r>
  <r>
    <x v="3"/>
    <x v="4"/>
    <s v="State-8"/>
    <x v="17"/>
    <m/>
    <m/>
    <n v="395"/>
  </r>
  <r>
    <x v="3"/>
    <x v="5"/>
    <s v="State-9"/>
    <x v="0"/>
    <m/>
    <m/>
    <n v="9603"/>
  </r>
  <r>
    <x v="3"/>
    <x v="5"/>
    <s v="State-9"/>
    <x v="38"/>
    <s v="48"/>
    <s v="Republican"/>
    <n v="6346"/>
  </r>
  <r>
    <x v="3"/>
    <x v="5"/>
    <s v="State-9"/>
    <x v="39"/>
    <s v="46"/>
    <s v="Constitution"/>
    <n v="505"/>
  </r>
  <r>
    <x v="3"/>
    <x v="5"/>
    <s v="State-9"/>
    <x v="40"/>
    <s v="47"/>
    <s v="Democratic"/>
    <n v="2294"/>
  </r>
  <r>
    <x v="3"/>
    <x v="5"/>
    <s v="State-9"/>
    <x v="16"/>
    <m/>
    <m/>
    <n v="0"/>
  </r>
  <r>
    <x v="3"/>
    <x v="5"/>
    <s v="State-9"/>
    <x v="17"/>
    <m/>
    <m/>
    <n v="458"/>
  </r>
  <r>
    <x v="3"/>
    <x v="6"/>
    <s v="State-10"/>
    <x v="0"/>
    <m/>
    <m/>
    <n v="9603"/>
  </r>
  <r>
    <x v="3"/>
    <x v="6"/>
    <s v="State-10"/>
    <x v="41"/>
    <s v="49"/>
    <s v="Utah Forward"/>
    <n v="346"/>
  </r>
  <r>
    <x v="3"/>
    <x v="6"/>
    <s v="State-10"/>
    <x v="42"/>
    <s v="50"/>
    <s v="Republican"/>
    <n v="6402"/>
  </r>
  <r>
    <x v="3"/>
    <x v="6"/>
    <s v="State-10"/>
    <x v="43"/>
    <s v="51"/>
    <s v="Democratic"/>
    <n v="2374"/>
  </r>
  <r>
    <x v="3"/>
    <x v="6"/>
    <s v="State-10"/>
    <x v="16"/>
    <m/>
    <m/>
    <n v="0"/>
  </r>
  <r>
    <x v="3"/>
    <x v="6"/>
    <s v="State-10"/>
    <x v="17"/>
    <m/>
    <m/>
    <n v="481"/>
  </r>
  <r>
    <x v="3"/>
    <x v="25"/>
    <s v="State-23"/>
    <x v="0"/>
    <m/>
    <m/>
    <n v="9603"/>
  </r>
  <r>
    <x v="3"/>
    <x v="25"/>
    <s v="State-23"/>
    <x v="66"/>
    <s v="78"/>
    <s v="Unaffiliated"/>
    <n v="691"/>
  </r>
  <r>
    <x v="3"/>
    <x v="25"/>
    <s v="State-23"/>
    <x v="67"/>
    <s v="76"/>
    <s v="Democratic"/>
    <n v="1913"/>
  </r>
  <r>
    <x v="3"/>
    <x v="25"/>
    <s v="State-23"/>
    <x v="68"/>
    <s v="77"/>
    <s v="Republican"/>
    <n v="6660"/>
  </r>
  <r>
    <x v="3"/>
    <x v="25"/>
    <s v="State-23"/>
    <x v="16"/>
    <m/>
    <m/>
    <n v="0"/>
  </r>
  <r>
    <x v="3"/>
    <x v="25"/>
    <s v="State-23"/>
    <x v="17"/>
    <m/>
    <m/>
    <n v="339"/>
  </r>
  <r>
    <x v="3"/>
    <x v="26"/>
    <s v="State-92"/>
    <x v="0"/>
    <m/>
    <m/>
    <n v="9603"/>
  </r>
  <r>
    <x v="3"/>
    <x v="26"/>
    <s v="State-92"/>
    <x v="69"/>
    <s v="204"/>
    <s v="Democratic"/>
    <n v="3261"/>
  </r>
  <r>
    <x v="3"/>
    <x v="26"/>
    <s v="State-92"/>
    <x v="70"/>
    <s v="203"/>
    <s v="Republican"/>
    <n v="6026"/>
  </r>
  <r>
    <x v="3"/>
    <x v="26"/>
    <s v="State-92"/>
    <x v="16"/>
    <m/>
    <m/>
    <n v="0"/>
  </r>
  <r>
    <x v="3"/>
    <x v="26"/>
    <s v="State-92"/>
    <x v="17"/>
    <m/>
    <m/>
    <n v="316"/>
  </r>
  <r>
    <x v="3"/>
    <x v="8"/>
    <s v="State-109"/>
    <x v="0"/>
    <m/>
    <m/>
    <n v="9603"/>
  </r>
  <r>
    <x v="3"/>
    <x v="8"/>
    <s v="State-109"/>
    <x v="46"/>
    <s v="232"/>
    <m/>
    <n v="6804"/>
  </r>
  <r>
    <x v="3"/>
    <x v="8"/>
    <s v="State-109"/>
    <x v="47"/>
    <s v="231"/>
    <m/>
    <n v="1676"/>
  </r>
  <r>
    <x v="3"/>
    <x v="8"/>
    <s v="State-109"/>
    <x v="16"/>
    <m/>
    <m/>
    <n v="0"/>
  </r>
  <r>
    <x v="3"/>
    <x v="8"/>
    <s v="State-109"/>
    <x v="17"/>
    <m/>
    <m/>
    <n v="1123"/>
  </r>
  <r>
    <x v="3"/>
    <x v="9"/>
    <s v="State-110"/>
    <x v="0"/>
    <m/>
    <m/>
    <n v="9603"/>
  </r>
  <r>
    <x v="3"/>
    <x v="9"/>
    <s v="State-110"/>
    <x v="46"/>
    <s v="233"/>
    <m/>
    <n v="6760"/>
  </r>
  <r>
    <x v="3"/>
    <x v="9"/>
    <s v="State-110"/>
    <x v="47"/>
    <s v="234"/>
    <m/>
    <n v="1662"/>
  </r>
  <r>
    <x v="3"/>
    <x v="9"/>
    <s v="State-110"/>
    <x v="16"/>
    <m/>
    <m/>
    <n v="3"/>
  </r>
  <r>
    <x v="3"/>
    <x v="9"/>
    <s v="State-110"/>
    <x v="17"/>
    <m/>
    <m/>
    <n v="1178"/>
  </r>
  <r>
    <x v="3"/>
    <x v="27"/>
    <s v="State-133"/>
    <x v="0"/>
    <m/>
    <m/>
    <n v="9603"/>
  </r>
  <r>
    <x v="3"/>
    <x v="27"/>
    <s v="State-133"/>
    <x v="46"/>
    <s v="280"/>
    <m/>
    <n v="6947"/>
  </r>
  <r>
    <x v="3"/>
    <x v="27"/>
    <s v="State-133"/>
    <x v="47"/>
    <s v="279"/>
    <m/>
    <n v="1747"/>
  </r>
  <r>
    <x v="3"/>
    <x v="27"/>
    <s v="State-133"/>
    <x v="16"/>
    <m/>
    <m/>
    <n v="2"/>
  </r>
  <r>
    <x v="3"/>
    <x v="27"/>
    <s v="State-133"/>
    <x v="17"/>
    <m/>
    <m/>
    <n v="907"/>
  </r>
  <r>
    <x v="3"/>
    <x v="12"/>
    <s v="State-145"/>
    <x v="0"/>
    <m/>
    <m/>
    <n v="9603"/>
  </r>
  <r>
    <x v="3"/>
    <x v="12"/>
    <s v="State-145"/>
    <x v="48"/>
    <s v="303"/>
    <m/>
    <n v="5934"/>
  </r>
  <r>
    <x v="3"/>
    <x v="12"/>
    <s v="State-145"/>
    <x v="49"/>
    <s v="304"/>
    <m/>
    <n v="3171"/>
  </r>
  <r>
    <x v="3"/>
    <x v="12"/>
    <s v="State-145"/>
    <x v="16"/>
    <m/>
    <m/>
    <n v="0"/>
  </r>
  <r>
    <x v="3"/>
    <x v="12"/>
    <s v="State-145"/>
    <x v="17"/>
    <m/>
    <m/>
    <n v="498"/>
  </r>
  <r>
    <x v="3"/>
    <x v="13"/>
    <s v="State-146"/>
    <x v="0"/>
    <m/>
    <m/>
    <n v="9603"/>
  </r>
  <r>
    <x v="3"/>
    <x v="13"/>
    <s v="State-146"/>
    <x v="48"/>
    <s v="305"/>
    <m/>
    <n v="8093"/>
  </r>
  <r>
    <x v="3"/>
    <x v="13"/>
    <s v="State-146"/>
    <x v="49"/>
    <s v="306"/>
    <m/>
    <n v="1090"/>
  </r>
  <r>
    <x v="3"/>
    <x v="13"/>
    <s v="State-146"/>
    <x v="16"/>
    <m/>
    <m/>
    <n v="2"/>
  </r>
  <r>
    <x v="3"/>
    <x v="13"/>
    <s v="State-146"/>
    <x v="17"/>
    <m/>
    <m/>
    <n v="418"/>
  </r>
  <r>
    <x v="4"/>
    <x v="0"/>
    <s v="State-1"/>
    <x v="0"/>
    <m/>
    <m/>
    <n v="557"/>
  </r>
  <r>
    <x v="4"/>
    <x v="0"/>
    <s v="State-1"/>
    <x v="1"/>
    <s v="9"/>
    <s v="Unaffiliated"/>
    <n v="1"/>
  </r>
  <r>
    <x v="4"/>
    <x v="0"/>
    <s v="State-1"/>
    <x v="2"/>
    <s v="3"/>
    <s v="Unaffiliated"/>
    <n v="0"/>
  </r>
  <r>
    <x v="4"/>
    <x v="0"/>
    <s v="State-1"/>
    <x v="3"/>
    <s v="13"/>
    <s v="Constitution"/>
    <n v="1"/>
  </r>
  <r>
    <x v="4"/>
    <x v="0"/>
    <s v="State-1"/>
    <x v="4"/>
    <s v="8"/>
    <s v="Green"/>
    <n v="2"/>
  </r>
  <r>
    <x v="4"/>
    <x v="0"/>
    <s v="State-1"/>
    <x v="5"/>
    <s v="5"/>
    <s v="Republican"/>
    <n v="443"/>
  </r>
  <r>
    <x v="4"/>
    <x v="0"/>
    <s v="State-1"/>
    <x v="6"/>
    <s v="10"/>
    <s v="Libertarian"/>
    <n v="2"/>
  </r>
  <r>
    <x v="4"/>
    <x v="0"/>
    <s v="State-1"/>
    <x v="7"/>
    <s v="4"/>
    <s v="Democratic"/>
    <n v="101"/>
  </r>
  <r>
    <x v="4"/>
    <x v="0"/>
    <s v="State-1"/>
    <x v="8"/>
    <s v="15"/>
    <s v="Unaffiliated"/>
    <n v="0"/>
  </r>
  <r>
    <x v="4"/>
    <x v="0"/>
    <s v="State-1"/>
    <x v="9"/>
    <s v="1"/>
    <s v="Unaffiliated"/>
    <n v="0"/>
  </r>
  <r>
    <x v="4"/>
    <x v="0"/>
    <s v="State-1"/>
    <x v="10"/>
    <s v="2"/>
    <s v="Unaffiliated"/>
    <n v="0"/>
  </r>
  <r>
    <x v="4"/>
    <x v="0"/>
    <s v="State-1"/>
    <x v="11"/>
    <s v="6"/>
    <s v="Unaffiliated"/>
    <n v="0"/>
  </r>
  <r>
    <x v="4"/>
    <x v="0"/>
    <s v="State-1"/>
    <x v="12"/>
    <s v="7"/>
    <s v="Unaffiliated"/>
    <n v="0"/>
  </r>
  <r>
    <x v="4"/>
    <x v="0"/>
    <s v="State-1"/>
    <x v="13"/>
    <s v="11"/>
    <s v="Unaffiliated"/>
    <n v="0"/>
  </r>
  <r>
    <x v="4"/>
    <x v="0"/>
    <s v="State-1"/>
    <x v="14"/>
    <s v="12"/>
    <s v="Unaffiliated"/>
    <n v="0"/>
  </r>
  <r>
    <x v="4"/>
    <x v="0"/>
    <s v="State-1"/>
    <x v="15"/>
    <s v="14"/>
    <s v="Unaffiliated"/>
    <n v="0"/>
  </r>
  <r>
    <x v="4"/>
    <x v="0"/>
    <s v="State-1"/>
    <x v="16"/>
    <m/>
    <m/>
    <n v="1"/>
  </r>
  <r>
    <x v="4"/>
    <x v="0"/>
    <s v="State-1"/>
    <x v="17"/>
    <m/>
    <m/>
    <n v="5"/>
  </r>
  <r>
    <x v="4"/>
    <x v="1"/>
    <s v="State-2"/>
    <x v="0"/>
    <m/>
    <m/>
    <n v="557"/>
  </r>
  <r>
    <x v="4"/>
    <x v="1"/>
    <s v="State-2"/>
    <x v="18"/>
    <s v="19"/>
    <s v="Independent American"/>
    <n v="13"/>
  </r>
  <r>
    <x v="4"/>
    <x v="1"/>
    <s v="State-2"/>
    <x v="19"/>
    <s v="18"/>
    <s v="Republican"/>
    <n v="451"/>
  </r>
  <r>
    <x v="4"/>
    <x v="1"/>
    <s v="State-2"/>
    <x v="20"/>
    <s v="17"/>
    <s v="Democratic"/>
    <n v="78"/>
  </r>
  <r>
    <x v="4"/>
    <x v="1"/>
    <s v="State-2"/>
    <x v="21"/>
    <s v="16"/>
    <s v="Unaffiliated"/>
    <n v="0"/>
  </r>
  <r>
    <x v="4"/>
    <x v="1"/>
    <s v="State-2"/>
    <x v="16"/>
    <m/>
    <m/>
    <n v="0"/>
  </r>
  <r>
    <x v="4"/>
    <x v="1"/>
    <s v="State-2"/>
    <x v="17"/>
    <m/>
    <m/>
    <n v="13"/>
  </r>
  <r>
    <x v="4"/>
    <x v="24"/>
    <s v="State-5"/>
    <x v="0"/>
    <m/>
    <m/>
    <n v="557"/>
  </r>
  <r>
    <x v="4"/>
    <x v="24"/>
    <s v="State-5"/>
    <x v="64"/>
    <s v="27"/>
    <s v="Republican"/>
    <n v="444"/>
  </r>
  <r>
    <x v="4"/>
    <x v="24"/>
    <s v="State-5"/>
    <x v="65"/>
    <s v="28"/>
    <s v="Democratic"/>
    <n v="83"/>
  </r>
  <r>
    <x v="4"/>
    <x v="24"/>
    <s v="State-5"/>
    <x v="16"/>
    <m/>
    <m/>
    <n v="0"/>
  </r>
  <r>
    <x v="4"/>
    <x v="24"/>
    <s v="State-5"/>
    <x v="17"/>
    <m/>
    <m/>
    <n v="30"/>
  </r>
  <r>
    <x v="4"/>
    <x v="3"/>
    <s v="State-7"/>
    <x v="0"/>
    <m/>
    <m/>
    <n v="557"/>
  </r>
  <r>
    <x v="4"/>
    <x v="3"/>
    <s v="State-7"/>
    <x v="26"/>
    <s v="36"/>
    <s v="Republican"/>
    <n v="391"/>
  </r>
  <r>
    <x v="4"/>
    <x v="3"/>
    <s v="State-7"/>
    <x v="27"/>
    <s v="40"/>
    <s v="Independent American"/>
    <n v="11"/>
  </r>
  <r>
    <x v="4"/>
    <x v="3"/>
    <s v="State-7"/>
    <x v="28"/>
    <s v="34"/>
    <s v="Democratic"/>
    <n v="72"/>
  </r>
  <r>
    <x v="4"/>
    <x v="3"/>
    <s v="State-7"/>
    <x v="29"/>
    <s v="33"/>
    <s v="Libertarian"/>
    <n v="11"/>
  </r>
  <r>
    <x v="4"/>
    <x v="3"/>
    <s v="State-7"/>
    <x v="30"/>
    <s v="39"/>
    <s v="Unaffiliated"/>
    <n v="0"/>
  </r>
  <r>
    <x v="4"/>
    <x v="3"/>
    <s v="State-7"/>
    <x v="31"/>
    <s v="37"/>
    <s v="Unaffiliated"/>
    <n v="52"/>
  </r>
  <r>
    <x v="4"/>
    <x v="3"/>
    <s v="State-7"/>
    <x v="32"/>
    <s v="38"/>
    <s v="Unaffiliated"/>
    <n v="0"/>
  </r>
  <r>
    <x v="4"/>
    <x v="3"/>
    <s v="State-7"/>
    <x v="16"/>
    <m/>
    <m/>
    <n v="0"/>
  </r>
  <r>
    <x v="4"/>
    <x v="3"/>
    <s v="State-7"/>
    <x v="17"/>
    <m/>
    <m/>
    <n v="17"/>
  </r>
  <r>
    <x v="4"/>
    <x v="4"/>
    <s v="State-8"/>
    <x v="0"/>
    <m/>
    <m/>
    <n v="557"/>
  </r>
  <r>
    <x v="4"/>
    <x v="4"/>
    <s v="State-8"/>
    <x v="33"/>
    <s v="45"/>
    <s v="Republican"/>
    <n v="426"/>
  </r>
  <r>
    <x v="4"/>
    <x v="4"/>
    <s v="State-8"/>
    <x v="34"/>
    <s v="41"/>
    <s v="Democratic"/>
    <n v="78"/>
  </r>
  <r>
    <x v="4"/>
    <x v="4"/>
    <s v="State-8"/>
    <x v="35"/>
    <s v="42"/>
    <s v="Libertarian"/>
    <n v="6"/>
  </r>
  <r>
    <x v="4"/>
    <x v="4"/>
    <s v="State-8"/>
    <x v="36"/>
    <s v="43"/>
    <s v="Unaffiliated"/>
    <n v="4"/>
  </r>
  <r>
    <x v="4"/>
    <x v="4"/>
    <s v="State-8"/>
    <x v="37"/>
    <s v="44"/>
    <s v="United Utah Party"/>
    <n v="18"/>
  </r>
  <r>
    <x v="4"/>
    <x v="4"/>
    <s v="State-8"/>
    <x v="16"/>
    <m/>
    <m/>
    <n v="0"/>
  </r>
  <r>
    <x v="4"/>
    <x v="4"/>
    <s v="State-8"/>
    <x v="17"/>
    <m/>
    <m/>
    <n v="25"/>
  </r>
  <r>
    <x v="4"/>
    <x v="5"/>
    <s v="State-9"/>
    <x v="0"/>
    <m/>
    <m/>
    <n v="557"/>
  </r>
  <r>
    <x v="4"/>
    <x v="5"/>
    <s v="State-9"/>
    <x v="38"/>
    <s v="48"/>
    <s v="Republican"/>
    <n v="414"/>
  </r>
  <r>
    <x v="4"/>
    <x v="5"/>
    <s v="State-9"/>
    <x v="39"/>
    <s v="46"/>
    <s v="Constitution"/>
    <n v="24"/>
  </r>
  <r>
    <x v="4"/>
    <x v="5"/>
    <s v="State-9"/>
    <x v="40"/>
    <s v="47"/>
    <s v="Democratic"/>
    <n v="77"/>
  </r>
  <r>
    <x v="4"/>
    <x v="5"/>
    <s v="State-9"/>
    <x v="16"/>
    <m/>
    <m/>
    <n v="0"/>
  </r>
  <r>
    <x v="4"/>
    <x v="5"/>
    <s v="State-9"/>
    <x v="17"/>
    <m/>
    <m/>
    <n v="42"/>
  </r>
  <r>
    <x v="4"/>
    <x v="6"/>
    <s v="State-10"/>
    <x v="0"/>
    <m/>
    <m/>
    <n v="557"/>
  </r>
  <r>
    <x v="4"/>
    <x v="6"/>
    <s v="State-10"/>
    <x v="41"/>
    <s v="49"/>
    <s v="Utah Forward"/>
    <n v="15"/>
  </r>
  <r>
    <x v="4"/>
    <x v="6"/>
    <s v="State-10"/>
    <x v="42"/>
    <s v="50"/>
    <s v="Republican"/>
    <n v="419"/>
  </r>
  <r>
    <x v="4"/>
    <x v="6"/>
    <s v="State-10"/>
    <x v="43"/>
    <s v="51"/>
    <s v="Democratic"/>
    <n v="81"/>
  </r>
  <r>
    <x v="4"/>
    <x v="6"/>
    <s v="State-10"/>
    <x v="16"/>
    <m/>
    <m/>
    <n v="0"/>
  </r>
  <r>
    <x v="4"/>
    <x v="6"/>
    <s v="State-10"/>
    <x v="17"/>
    <m/>
    <m/>
    <n v="42"/>
  </r>
  <r>
    <x v="4"/>
    <x v="28"/>
    <s v="State-93"/>
    <x v="0"/>
    <m/>
    <m/>
    <n v="557"/>
  </r>
  <r>
    <x v="4"/>
    <x v="28"/>
    <s v="State-93"/>
    <x v="71"/>
    <s v="205"/>
    <s v="Republican"/>
    <n v="460"/>
  </r>
  <r>
    <x v="4"/>
    <x v="28"/>
    <s v="State-93"/>
    <x v="16"/>
    <m/>
    <m/>
    <n v="0"/>
  </r>
  <r>
    <x v="4"/>
    <x v="28"/>
    <s v="State-93"/>
    <x v="17"/>
    <m/>
    <m/>
    <n v="97"/>
  </r>
  <r>
    <x v="4"/>
    <x v="29"/>
    <s v="State-106"/>
    <x v="0"/>
    <m/>
    <m/>
    <n v="557"/>
  </r>
  <r>
    <x v="4"/>
    <x v="29"/>
    <s v="State-106"/>
    <x v="72"/>
    <s v="227"/>
    <s v="Republican"/>
    <n v="387"/>
  </r>
  <r>
    <x v="4"/>
    <x v="29"/>
    <s v="State-106"/>
    <x v="73"/>
    <s v="228"/>
    <s v="Unaffiliated"/>
    <n v="87"/>
  </r>
  <r>
    <x v="4"/>
    <x v="29"/>
    <s v="State-106"/>
    <x v="16"/>
    <m/>
    <m/>
    <n v="0"/>
  </r>
  <r>
    <x v="4"/>
    <x v="29"/>
    <s v="State-106"/>
    <x v="17"/>
    <m/>
    <m/>
    <n v="83"/>
  </r>
  <r>
    <x v="4"/>
    <x v="8"/>
    <s v="State-109"/>
    <x v="0"/>
    <m/>
    <m/>
    <n v="557"/>
  </r>
  <r>
    <x v="4"/>
    <x v="8"/>
    <s v="State-109"/>
    <x v="46"/>
    <s v="232"/>
    <m/>
    <n v="369"/>
  </r>
  <r>
    <x v="4"/>
    <x v="8"/>
    <s v="State-109"/>
    <x v="47"/>
    <s v="231"/>
    <m/>
    <n v="78"/>
  </r>
  <r>
    <x v="4"/>
    <x v="8"/>
    <s v="State-109"/>
    <x v="16"/>
    <m/>
    <m/>
    <n v="0"/>
  </r>
  <r>
    <x v="4"/>
    <x v="8"/>
    <s v="State-109"/>
    <x v="17"/>
    <m/>
    <m/>
    <n v="110"/>
  </r>
  <r>
    <x v="4"/>
    <x v="9"/>
    <s v="State-110"/>
    <x v="0"/>
    <m/>
    <m/>
    <n v="557"/>
  </r>
  <r>
    <x v="4"/>
    <x v="9"/>
    <s v="State-110"/>
    <x v="46"/>
    <s v="233"/>
    <m/>
    <n v="362"/>
  </r>
  <r>
    <x v="4"/>
    <x v="9"/>
    <s v="State-110"/>
    <x v="47"/>
    <s v="234"/>
    <m/>
    <n v="75"/>
  </r>
  <r>
    <x v="4"/>
    <x v="9"/>
    <s v="State-110"/>
    <x v="16"/>
    <m/>
    <m/>
    <n v="0"/>
  </r>
  <r>
    <x v="4"/>
    <x v="9"/>
    <s v="State-110"/>
    <x v="17"/>
    <m/>
    <m/>
    <n v="120"/>
  </r>
  <r>
    <x v="4"/>
    <x v="30"/>
    <s v="State-134"/>
    <x v="0"/>
    <m/>
    <m/>
    <n v="557"/>
  </r>
  <r>
    <x v="4"/>
    <x v="30"/>
    <s v="State-134"/>
    <x v="46"/>
    <s v="281"/>
    <m/>
    <n v="363"/>
  </r>
  <r>
    <x v="4"/>
    <x v="30"/>
    <s v="State-134"/>
    <x v="47"/>
    <s v="282"/>
    <m/>
    <n v="81"/>
  </r>
  <r>
    <x v="4"/>
    <x v="30"/>
    <s v="State-134"/>
    <x v="16"/>
    <m/>
    <m/>
    <n v="0"/>
  </r>
  <r>
    <x v="4"/>
    <x v="30"/>
    <s v="State-134"/>
    <x v="17"/>
    <m/>
    <m/>
    <n v="113"/>
  </r>
  <r>
    <x v="4"/>
    <x v="31"/>
    <s v="State-135"/>
    <x v="0"/>
    <m/>
    <m/>
    <n v="557"/>
  </r>
  <r>
    <x v="4"/>
    <x v="31"/>
    <s v="State-135"/>
    <x v="46"/>
    <s v="283"/>
    <m/>
    <n v="373"/>
  </r>
  <r>
    <x v="4"/>
    <x v="31"/>
    <s v="State-135"/>
    <x v="47"/>
    <s v="284"/>
    <m/>
    <n v="72"/>
  </r>
  <r>
    <x v="4"/>
    <x v="31"/>
    <s v="State-135"/>
    <x v="16"/>
    <m/>
    <m/>
    <n v="0"/>
  </r>
  <r>
    <x v="4"/>
    <x v="31"/>
    <s v="State-135"/>
    <x v="17"/>
    <m/>
    <m/>
    <n v="112"/>
  </r>
  <r>
    <x v="4"/>
    <x v="12"/>
    <s v="State-145"/>
    <x v="0"/>
    <m/>
    <m/>
    <n v="557"/>
  </r>
  <r>
    <x v="4"/>
    <x v="12"/>
    <s v="State-145"/>
    <x v="48"/>
    <s v="303"/>
    <m/>
    <n v="306"/>
  </r>
  <r>
    <x v="4"/>
    <x v="12"/>
    <s v="State-145"/>
    <x v="49"/>
    <s v="304"/>
    <m/>
    <n v="195"/>
  </r>
  <r>
    <x v="4"/>
    <x v="12"/>
    <s v="State-145"/>
    <x v="16"/>
    <m/>
    <m/>
    <n v="0"/>
  </r>
  <r>
    <x v="4"/>
    <x v="12"/>
    <s v="State-145"/>
    <x v="17"/>
    <m/>
    <m/>
    <n v="56"/>
  </r>
  <r>
    <x v="4"/>
    <x v="13"/>
    <s v="State-146"/>
    <x v="0"/>
    <m/>
    <m/>
    <n v="557"/>
  </r>
  <r>
    <x v="4"/>
    <x v="13"/>
    <s v="State-146"/>
    <x v="48"/>
    <s v="305"/>
    <m/>
    <n v="456"/>
  </r>
  <r>
    <x v="4"/>
    <x v="13"/>
    <s v="State-146"/>
    <x v="49"/>
    <s v="306"/>
    <m/>
    <n v="62"/>
  </r>
  <r>
    <x v="4"/>
    <x v="13"/>
    <s v="State-146"/>
    <x v="16"/>
    <m/>
    <m/>
    <n v="0"/>
  </r>
  <r>
    <x v="4"/>
    <x v="13"/>
    <s v="State-146"/>
    <x v="17"/>
    <m/>
    <m/>
    <n v="39"/>
  </r>
  <r>
    <x v="5"/>
    <x v="0"/>
    <s v="State-1"/>
    <x v="0"/>
    <m/>
    <m/>
    <n v="172869"/>
  </r>
  <r>
    <x v="5"/>
    <x v="0"/>
    <s v="State-1"/>
    <x v="1"/>
    <s v="9"/>
    <s v="Unaffiliated"/>
    <n v="291"/>
  </r>
  <r>
    <x v="5"/>
    <x v="0"/>
    <s v="State-1"/>
    <x v="2"/>
    <s v="3"/>
    <s v="Unaffiliated"/>
    <n v="365"/>
  </r>
  <r>
    <x v="5"/>
    <x v="0"/>
    <s v="State-1"/>
    <x v="3"/>
    <s v="13"/>
    <s v="Constitution"/>
    <n v="1208"/>
  </r>
  <r>
    <x v="5"/>
    <x v="0"/>
    <s v="State-1"/>
    <x v="4"/>
    <s v="8"/>
    <s v="Green"/>
    <n v="890"/>
  </r>
  <r>
    <x v="5"/>
    <x v="0"/>
    <s v="State-1"/>
    <x v="5"/>
    <s v="5"/>
    <s v="Republican"/>
    <n v="101293"/>
  </r>
  <r>
    <x v="5"/>
    <x v="0"/>
    <s v="State-1"/>
    <x v="6"/>
    <s v="10"/>
    <s v="Libertarian"/>
    <n v="2137"/>
  </r>
  <r>
    <x v="5"/>
    <x v="0"/>
    <s v="State-1"/>
    <x v="7"/>
    <s v="4"/>
    <s v="Democratic"/>
    <n v="59895"/>
  </r>
  <r>
    <x v="5"/>
    <x v="0"/>
    <s v="State-1"/>
    <x v="8"/>
    <s v="15"/>
    <s v="Unaffiliated"/>
    <n v="413"/>
  </r>
  <r>
    <x v="5"/>
    <x v="0"/>
    <s v="State-1"/>
    <x v="9"/>
    <s v="1"/>
    <s v="Unaffiliated"/>
    <n v="1"/>
  </r>
  <r>
    <x v="5"/>
    <x v="0"/>
    <s v="State-1"/>
    <x v="10"/>
    <s v="2"/>
    <s v="Unaffiliated"/>
    <n v="58"/>
  </r>
  <r>
    <x v="5"/>
    <x v="0"/>
    <s v="State-1"/>
    <x v="11"/>
    <s v="6"/>
    <s v="Unaffiliated"/>
    <n v="18"/>
  </r>
  <r>
    <x v="5"/>
    <x v="0"/>
    <s v="State-1"/>
    <x v="12"/>
    <s v="7"/>
    <s v="Unaffiliated"/>
    <n v="0"/>
  </r>
  <r>
    <x v="5"/>
    <x v="0"/>
    <s v="State-1"/>
    <x v="13"/>
    <s v="11"/>
    <s v="Unaffiliated"/>
    <n v="1"/>
  </r>
  <r>
    <x v="5"/>
    <x v="0"/>
    <s v="State-1"/>
    <x v="14"/>
    <s v="12"/>
    <s v="Unaffiliated"/>
    <n v="0"/>
  </r>
  <r>
    <x v="5"/>
    <x v="0"/>
    <s v="State-1"/>
    <x v="15"/>
    <s v="14"/>
    <s v="Unaffiliated"/>
    <n v="0"/>
  </r>
  <r>
    <x v="5"/>
    <x v="0"/>
    <s v="State-1"/>
    <x v="16"/>
    <m/>
    <m/>
    <n v="51"/>
  </r>
  <r>
    <x v="5"/>
    <x v="0"/>
    <s v="State-1"/>
    <x v="17"/>
    <m/>
    <m/>
    <n v="2202"/>
  </r>
  <r>
    <x v="5"/>
    <x v="1"/>
    <s v="State-2"/>
    <x v="0"/>
    <m/>
    <m/>
    <n v="172869"/>
  </r>
  <r>
    <x v="5"/>
    <x v="1"/>
    <s v="State-2"/>
    <x v="18"/>
    <s v="19"/>
    <s v="Independent American"/>
    <n v="12055"/>
  </r>
  <r>
    <x v="5"/>
    <x v="1"/>
    <s v="State-2"/>
    <x v="19"/>
    <s v="18"/>
    <s v="Republican"/>
    <n v="108083"/>
  </r>
  <r>
    <x v="5"/>
    <x v="1"/>
    <s v="State-2"/>
    <x v="20"/>
    <s v="17"/>
    <s v="Democratic"/>
    <n v="45688"/>
  </r>
  <r>
    <x v="5"/>
    <x v="1"/>
    <s v="State-2"/>
    <x v="21"/>
    <s v="16"/>
    <s v="Unaffiliated"/>
    <n v="44"/>
  </r>
  <r>
    <x v="5"/>
    <x v="1"/>
    <s v="State-2"/>
    <x v="16"/>
    <m/>
    <m/>
    <n v="27"/>
  </r>
  <r>
    <x v="5"/>
    <x v="1"/>
    <s v="State-2"/>
    <x v="17"/>
    <m/>
    <m/>
    <n v="5970"/>
  </r>
  <r>
    <x v="5"/>
    <x v="14"/>
    <s v="State-3"/>
    <x v="0"/>
    <m/>
    <m/>
    <n v="108668"/>
  </r>
  <r>
    <x v="5"/>
    <x v="14"/>
    <s v="State-3"/>
    <x v="50"/>
    <s v="22"/>
    <s v="Democratic"/>
    <n v="26654"/>
  </r>
  <r>
    <x v="5"/>
    <x v="14"/>
    <s v="State-3"/>
    <x v="51"/>
    <s v="20"/>
    <s v="Libertarian"/>
    <n v="5902"/>
  </r>
  <r>
    <x v="5"/>
    <x v="14"/>
    <s v="State-3"/>
    <x v="52"/>
    <s v="21"/>
    <s v="Republican"/>
    <n v="70522"/>
  </r>
  <r>
    <x v="5"/>
    <x v="14"/>
    <s v="State-3"/>
    <x v="16"/>
    <m/>
    <m/>
    <n v="13"/>
  </r>
  <r>
    <x v="5"/>
    <x v="14"/>
    <s v="State-3"/>
    <x v="17"/>
    <m/>
    <m/>
    <n v="5577"/>
  </r>
  <r>
    <x v="5"/>
    <x v="2"/>
    <s v="State-4"/>
    <x v="0"/>
    <m/>
    <m/>
    <n v="64201"/>
  </r>
  <r>
    <x v="5"/>
    <x v="2"/>
    <s v="State-4"/>
    <x v="22"/>
    <s v="25"/>
    <s v="Democratic"/>
    <n v="19167"/>
  </r>
  <r>
    <x v="5"/>
    <x v="2"/>
    <s v="State-4"/>
    <x v="23"/>
    <s v="26"/>
    <s v="Constitution"/>
    <n v="3183"/>
  </r>
  <r>
    <x v="5"/>
    <x v="2"/>
    <s v="State-4"/>
    <x v="24"/>
    <s v="24"/>
    <s v="Republican"/>
    <n v="36741"/>
  </r>
  <r>
    <x v="5"/>
    <x v="2"/>
    <s v="State-4"/>
    <x v="25"/>
    <s v="23"/>
    <s v="Unaffiliated"/>
    <n v="1825"/>
  </r>
  <r>
    <x v="5"/>
    <x v="2"/>
    <s v="State-4"/>
    <x v="16"/>
    <m/>
    <m/>
    <n v="20"/>
  </r>
  <r>
    <x v="5"/>
    <x v="2"/>
    <s v="State-4"/>
    <x v="17"/>
    <m/>
    <m/>
    <n v="3265"/>
  </r>
  <r>
    <x v="5"/>
    <x v="3"/>
    <s v="State-7"/>
    <x v="0"/>
    <m/>
    <m/>
    <n v="172869"/>
  </r>
  <r>
    <x v="5"/>
    <x v="3"/>
    <s v="State-7"/>
    <x v="26"/>
    <s v="36"/>
    <s v="Republican"/>
    <n v="95679"/>
  </r>
  <r>
    <x v="5"/>
    <x v="3"/>
    <s v="State-7"/>
    <x v="27"/>
    <s v="40"/>
    <s v="Independent American"/>
    <n v="3767"/>
  </r>
  <r>
    <x v="5"/>
    <x v="3"/>
    <s v="State-7"/>
    <x v="28"/>
    <s v="34"/>
    <s v="Democratic"/>
    <n v="40181"/>
  </r>
  <r>
    <x v="5"/>
    <x v="3"/>
    <s v="State-7"/>
    <x v="29"/>
    <s v="33"/>
    <s v="Libertarian"/>
    <n v="4802"/>
  </r>
  <r>
    <x v="5"/>
    <x v="3"/>
    <s v="State-7"/>
    <x v="30"/>
    <s v="39"/>
    <s v="Unaffiliated"/>
    <n v="1439"/>
  </r>
  <r>
    <x v="5"/>
    <x v="3"/>
    <s v="State-7"/>
    <x v="31"/>
    <s v="37"/>
    <s v="Unaffiliated"/>
    <n v="20103"/>
  </r>
  <r>
    <x v="5"/>
    <x v="3"/>
    <s v="State-7"/>
    <x v="32"/>
    <s v="38"/>
    <s v="Unaffiliated"/>
    <n v="49"/>
  </r>
  <r>
    <x v="5"/>
    <x v="3"/>
    <s v="State-7"/>
    <x v="16"/>
    <m/>
    <m/>
    <n v="44"/>
  </r>
  <r>
    <x v="5"/>
    <x v="3"/>
    <s v="State-7"/>
    <x v="17"/>
    <m/>
    <m/>
    <n v="6250"/>
  </r>
  <r>
    <x v="5"/>
    <x v="4"/>
    <s v="State-8"/>
    <x v="0"/>
    <m/>
    <m/>
    <n v="172869"/>
  </r>
  <r>
    <x v="5"/>
    <x v="4"/>
    <s v="State-8"/>
    <x v="33"/>
    <s v="45"/>
    <s v="Republican"/>
    <n v="96989"/>
  </r>
  <r>
    <x v="5"/>
    <x v="4"/>
    <s v="State-8"/>
    <x v="34"/>
    <s v="41"/>
    <s v="Democratic"/>
    <n v="37809"/>
  </r>
  <r>
    <x v="5"/>
    <x v="4"/>
    <s v="State-8"/>
    <x v="35"/>
    <s v="42"/>
    <s v="Libertarian"/>
    <n v="6150"/>
  </r>
  <r>
    <x v="5"/>
    <x v="4"/>
    <s v="State-8"/>
    <x v="36"/>
    <s v="43"/>
    <s v="Unaffiliated"/>
    <n v="7617"/>
  </r>
  <r>
    <x v="5"/>
    <x v="4"/>
    <s v="State-8"/>
    <x v="37"/>
    <s v="44"/>
    <s v="United Utah Party"/>
    <n v="13799"/>
  </r>
  <r>
    <x v="5"/>
    <x v="4"/>
    <s v="State-8"/>
    <x v="16"/>
    <m/>
    <m/>
    <n v="58"/>
  </r>
  <r>
    <x v="5"/>
    <x v="4"/>
    <s v="State-8"/>
    <x v="17"/>
    <m/>
    <m/>
    <n v="10447"/>
  </r>
  <r>
    <x v="5"/>
    <x v="5"/>
    <s v="State-9"/>
    <x v="0"/>
    <m/>
    <m/>
    <n v="172869"/>
  </r>
  <r>
    <x v="5"/>
    <x v="5"/>
    <s v="State-9"/>
    <x v="38"/>
    <s v="48"/>
    <s v="Republican"/>
    <n v="105079"/>
  </r>
  <r>
    <x v="5"/>
    <x v="5"/>
    <s v="State-9"/>
    <x v="39"/>
    <s v="46"/>
    <s v="Constitution"/>
    <n v="11876"/>
  </r>
  <r>
    <x v="5"/>
    <x v="5"/>
    <s v="State-9"/>
    <x v="40"/>
    <s v="47"/>
    <s v="Democratic"/>
    <n v="43968"/>
  </r>
  <r>
    <x v="5"/>
    <x v="5"/>
    <s v="State-9"/>
    <x v="16"/>
    <m/>
    <m/>
    <n v="7"/>
  </r>
  <r>
    <x v="5"/>
    <x v="5"/>
    <s v="State-9"/>
    <x v="17"/>
    <m/>
    <m/>
    <n v="11939"/>
  </r>
  <r>
    <x v="5"/>
    <x v="6"/>
    <s v="State-10"/>
    <x v="0"/>
    <m/>
    <m/>
    <n v="172869"/>
  </r>
  <r>
    <x v="5"/>
    <x v="6"/>
    <s v="State-10"/>
    <x v="41"/>
    <s v="49"/>
    <s v="Utah Forward"/>
    <n v="13177"/>
  </r>
  <r>
    <x v="5"/>
    <x v="6"/>
    <s v="State-10"/>
    <x v="42"/>
    <s v="50"/>
    <s v="Republican"/>
    <n v="106700"/>
  </r>
  <r>
    <x v="5"/>
    <x v="6"/>
    <s v="State-10"/>
    <x v="43"/>
    <s v="51"/>
    <s v="Democratic"/>
    <n v="39407"/>
  </r>
  <r>
    <x v="5"/>
    <x v="6"/>
    <s v="State-10"/>
    <x v="16"/>
    <m/>
    <m/>
    <n v="16"/>
  </r>
  <r>
    <x v="5"/>
    <x v="6"/>
    <s v="State-10"/>
    <x v="17"/>
    <m/>
    <m/>
    <n v="13569"/>
  </r>
  <r>
    <x v="5"/>
    <x v="32"/>
    <s v="State-13"/>
    <x v="0"/>
    <m/>
    <m/>
    <n v="12027"/>
  </r>
  <r>
    <x v="5"/>
    <x v="32"/>
    <s v="State-13"/>
    <x v="74"/>
    <s v="56"/>
    <s v="Republican"/>
    <n v="9099"/>
  </r>
  <r>
    <x v="5"/>
    <x v="32"/>
    <s v="State-13"/>
    <x v="16"/>
    <m/>
    <m/>
    <n v="0"/>
  </r>
  <r>
    <x v="5"/>
    <x v="32"/>
    <s v="State-13"/>
    <x v="17"/>
    <m/>
    <m/>
    <n v="2928"/>
  </r>
  <r>
    <x v="5"/>
    <x v="33"/>
    <s v="State-14"/>
    <x v="0"/>
    <m/>
    <m/>
    <n v="43893"/>
  </r>
  <r>
    <x v="5"/>
    <x v="33"/>
    <s v="State-14"/>
    <x v="75"/>
    <s v="60"/>
    <s v="Republican"/>
    <n v="22256"/>
  </r>
  <r>
    <x v="5"/>
    <x v="33"/>
    <s v="State-14"/>
    <x v="76"/>
    <s v="59"/>
    <s v="Democratic"/>
    <n v="10471"/>
  </r>
  <r>
    <x v="5"/>
    <x v="33"/>
    <s v="State-14"/>
    <x v="77"/>
    <s v="58"/>
    <s v="Constitution"/>
    <n v="1573"/>
  </r>
  <r>
    <x v="5"/>
    <x v="33"/>
    <s v="State-14"/>
    <x v="78"/>
    <s v="57"/>
    <s v="Unaffiliated"/>
    <n v="6967"/>
  </r>
  <r>
    <x v="5"/>
    <x v="33"/>
    <s v="State-14"/>
    <x v="16"/>
    <m/>
    <m/>
    <n v="18"/>
  </r>
  <r>
    <x v="5"/>
    <x v="33"/>
    <s v="State-14"/>
    <x v="17"/>
    <m/>
    <m/>
    <n v="2608"/>
  </r>
  <r>
    <x v="5"/>
    <x v="34"/>
    <s v="State-36"/>
    <x v="0"/>
    <m/>
    <m/>
    <n v="6196"/>
  </r>
  <r>
    <x v="5"/>
    <x v="34"/>
    <s v="State-36"/>
    <x v="79"/>
    <s v="100"/>
    <s v="Republican"/>
    <n v="4345"/>
  </r>
  <r>
    <x v="5"/>
    <x v="34"/>
    <s v="State-36"/>
    <x v="16"/>
    <m/>
    <m/>
    <n v="0"/>
  </r>
  <r>
    <x v="5"/>
    <x v="34"/>
    <s v="State-36"/>
    <x v="17"/>
    <m/>
    <m/>
    <n v="1851"/>
  </r>
  <r>
    <x v="5"/>
    <x v="35"/>
    <s v="State-37"/>
    <x v="0"/>
    <m/>
    <m/>
    <n v="2545"/>
  </r>
  <r>
    <x v="5"/>
    <x v="35"/>
    <s v="State-37"/>
    <x v="80"/>
    <s v="102"/>
    <s v="Republican"/>
    <n v="1814"/>
  </r>
  <r>
    <x v="5"/>
    <x v="35"/>
    <s v="State-37"/>
    <x v="81"/>
    <s v="101"/>
    <s v="Democratic"/>
    <n v="556"/>
  </r>
  <r>
    <x v="5"/>
    <x v="35"/>
    <s v="State-37"/>
    <x v="16"/>
    <m/>
    <m/>
    <n v="0"/>
  </r>
  <r>
    <x v="5"/>
    <x v="35"/>
    <s v="State-37"/>
    <x v="17"/>
    <m/>
    <m/>
    <n v="175"/>
  </r>
  <r>
    <x v="5"/>
    <x v="36"/>
    <s v="State-38"/>
    <x v="0"/>
    <m/>
    <m/>
    <n v="18803"/>
  </r>
  <r>
    <x v="5"/>
    <x v="36"/>
    <s v="State-38"/>
    <x v="82"/>
    <s v="104"/>
    <s v="Democratic"/>
    <n v="4854"/>
  </r>
  <r>
    <x v="5"/>
    <x v="36"/>
    <s v="State-38"/>
    <x v="83"/>
    <s v="103"/>
    <s v="Republican"/>
    <n v="12391"/>
  </r>
  <r>
    <x v="5"/>
    <x v="36"/>
    <s v="State-38"/>
    <x v="16"/>
    <m/>
    <m/>
    <n v="2"/>
  </r>
  <r>
    <x v="5"/>
    <x v="36"/>
    <s v="State-38"/>
    <x v="17"/>
    <m/>
    <m/>
    <n v="1556"/>
  </r>
  <r>
    <x v="5"/>
    <x v="37"/>
    <s v="State-39"/>
    <x v="0"/>
    <m/>
    <m/>
    <n v="18512"/>
  </r>
  <r>
    <x v="5"/>
    <x v="37"/>
    <s v="State-39"/>
    <x v="84"/>
    <s v="105"/>
    <s v="Republican"/>
    <n v="12947"/>
  </r>
  <r>
    <x v="5"/>
    <x v="37"/>
    <s v="State-39"/>
    <x v="16"/>
    <m/>
    <m/>
    <n v="0"/>
  </r>
  <r>
    <x v="5"/>
    <x v="37"/>
    <s v="State-39"/>
    <x v="17"/>
    <m/>
    <m/>
    <n v="5565"/>
  </r>
  <r>
    <x v="5"/>
    <x v="38"/>
    <s v="State-40"/>
    <x v="0"/>
    <m/>
    <m/>
    <n v="22237"/>
  </r>
  <r>
    <x v="5"/>
    <x v="38"/>
    <s v="State-40"/>
    <x v="85"/>
    <s v="106"/>
    <s v="Utah Forward"/>
    <n v="4783"/>
  </r>
  <r>
    <x v="5"/>
    <x v="38"/>
    <s v="State-40"/>
    <x v="86"/>
    <s v="107"/>
    <s v="Republican"/>
    <n v="14904"/>
  </r>
  <r>
    <x v="5"/>
    <x v="38"/>
    <s v="State-40"/>
    <x v="16"/>
    <m/>
    <m/>
    <n v="2"/>
  </r>
  <r>
    <x v="5"/>
    <x v="38"/>
    <s v="State-40"/>
    <x v="17"/>
    <m/>
    <m/>
    <n v="2548"/>
  </r>
  <r>
    <x v="5"/>
    <x v="39"/>
    <s v="State-41"/>
    <x v="0"/>
    <m/>
    <m/>
    <n v="19205"/>
  </r>
  <r>
    <x v="5"/>
    <x v="39"/>
    <s v="State-41"/>
    <x v="87"/>
    <s v="108"/>
    <s v="Republican"/>
    <n v="11510"/>
  </r>
  <r>
    <x v="5"/>
    <x v="39"/>
    <s v="State-41"/>
    <x v="88"/>
    <s v="109"/>
    <s v="Democratic"/>
    <n v="6123"/>
  </r>
  <r>
    <x v="5"/>
    <x v="39"/>
    <s v="State-41"/>
    <x v="16"/>
    <m/>
    <m/>
    <n v="1"/>
  </r>
  <r>
    <x v="5"/>
    <x v="39"/>
    <s v="State-41"/>
    <x v="17"/>
    <m/>
    <m/>
    <n v="1571"/>
  </r>
  <r>
    <x v="5"/>
    <x v="40"/>
    <s v="State-42"/>
    <x v="0"/>
    <m/>
    <m/>
    <n v="21575"/>
  </r>
  <r>
    <x v="5"/>
    <x v="40"/>
    <s v="State-42"/>
    <x v="89"/>
    <s v="111"/>
    <s v="Republican"/>
    <n v="14694"/>
  </r>
  <r>
    <x v="5"/>
    <x v="40"/>
    <s v="State-42"/>
    <x v="90"/>
    <s v="110"/>
    <s v="Libertarian"/>
    <n v="3926"/>
  </r>
  <r>
    <x v="5"/>
    <x v="40"/>
    <s v="State-42"/>
    <x v="16"/>
    <m/>
    <m/>
    <n v="2"/>
  </r>
  <r>
    <x v="5"/>
    <x v="40"/>
    <s v="State-42"/>
    <x v="17"/>
    <m/>
    <m/>
    <n v="2953"/>
  </r>
  <r>
    <x v="5"/>
    <x v="41"/>
    <s v="State-43"/>
    <x v="0"/>
    <m/>
    <m/>
    <n v="22396"/>
  </r>
  <r>
    <x v="5"/>
    <x v="41"/>
    <s v="State-43"/>
    <x v="91"/>
    <s v="113"/>
    <s v="Republican"/>
    <n v="14816"/>
  </r>
  <r>
    <x v="5"/>
    <x v="41"/>
    <s v="State-43"/>
    <x v="92"/>
    <s v="112"/>
    <s v="Democratic"/>
    <n v="5607"/>
  </r>
  <r>
    <x v="5"/>
    <x v="41"/>
    <s v="State-43"/>
    <x v="16"/>
    <m/>
    <m/>
    <n v="3"/>
  </r>
  <r>
    <x v="5"/>
    <x v="41"/>
    <s v="State-43"/>
    <x v="17"/>
    <m/>
    <m/>
    <n v="1970"/>
  </r>
  <r>
    <x v="5"/>
    <x v="42"/>
    <s v="State-44"/>
    <x v="0"/>
    <m/>
    <m/>
    <n v="22252"/>
  </r>
  <r>
    <x v="5"/>
    <x v="42"/>
    <s v="State-44"/>
    <x v="93"/>
    <s v="114"/>
    <s v="Republican"/>
    <n v="13620"/>
  </r>
  <r>
    <x v="5"/>
    <x v="42"/>
    <s v="State-44"/>
    <x v="94"/>
    <s v="116"/>
    <s v="Democratic"/>
    <n v="5232"/>
  </r>
  <r>
    <x v="5"/>
    <x v="42"/>
    <s v="State-44"/>
    <x v="95"/>
    <s v="115"/>
    <s v="Constitution"/>
    <n v="1560"/>
  </r>
  <r>
    <x v="5"/>
    <x v="42"/>
    <s v="State-44"/>
    <x v="16"/>
    <m/>
    <m/>
    <n v="2"/>
  </r>
  <r>
    <x v="5"/>
    <x v="42"/>
    <s v="State-44"/>
    <x v="17"/>
    <m/>
    <m/>
    <n v="1838"/>
  </r>
  <r>
    <x v="5"/>
    <x v="43"/>
    <s v="State-45"/>
    <x v="0"/>
    <m/>
    <m/>
    <n v="19148"/>
  </r>
  <r>
    <x v="5"/>
    <x v="43"/>
    <s v="State-45"/>
    <x v="96"/>
    <s v="117"/>
    <s v="Republican"/>
    <n v="11381"/>
  </r>
  <r>
    <x v="5"/>
    <x v="43"/>
    <s v="State-45"/>
    <x v="97"/>
    <s v="118"/>
    <s v="Democratic"/>
    <n v="5848"/>
  </r>
  <r>
    <x v="5"/>
    <x v="43"/>
    <s v="State-45"/>
    <x v="16"/>
    <m/>
    <m/>
    <n v="0"/>
  </r>
  <r>
    <x v="5"/>
    <x v="43"/>
    <s v="State-45"/>
    <x v="17"/>
    <m/>
    <m/>
    <n v="1919"/>
  </r>
  <r>
    <x v="5"/>
    <x v="44"/>
    <s v="State-101"/>
    <x v="0"/>
    <m/>
    <m/>
    <n v="80196"/>
  </r>
  <r>
    <x v="5"/>
    <x v="44"/>
    <s v="State-101"/>
    <x v="98"/>
    <s v="217"/>
    <s v="Republican"/>
    <n v="50229"/>
  </r>
  <r>
    <x v="5"/>
    <x v="44"/>
    <s v="State-101"/>
    <x v="99"/>
    <s v="218"/>
    <s v="Utah Forward"/>
    <n v="21551"/>
  </r>
  <r>
    <x v="5"/>
    <x v="44"/>
    <s v="State-101"/>
    <x v="16"/>
    <m/>
    <m/>
    <n v="7"/>
  </r>
  <r>
    <x v="5"/>
    <x v="44"/>
    <s v="State-101"/>
    <x v="17"/>
    <m/>
    <m/>
    <n v="8409"/>
  </r>
  <r>
    <x v="5"/>
    <x v="8"/>
    <s v="State-109"/>
    <x v="0"/>
    <m/>
    <m/>
    <n v="172869"/>
  </r>
  <r>
    <x v="5"/>
    <x v="8"/>
    <s v="State-109"/>
    <x v="46"/>
    <s v="232"/>
    <m/>
    <n v="109605"/>
  </r>
  <r>
    <x v="5"/>
    <x v="8"/>
    <s v="State-109"/>
    <x v="47"/>
    <s v="231"/>
    <m/>
    <n v="30660"/>
  </r>
  <r>
    <x v="5"/>
    <x v="8"/>
    <s v="State-109"/>
    <x v="16"/>
    <m/>
    <m/>
    <n v="18"/>
  </r>
  <r>
    <x v="5"/>
    <x v="8"/>
    <s v="State-109"/>
    <x v="17"/>
    <m/>
    <m/>
    <n v="32586"/>
  </r>
  <r>
    <x v="5"/>
    <x v="9"/>
    <s v="State-110"/>
    <x v="0"/>
    <m/>
    <m/>
    <n v="172869"/>
  </r>
  <r>
    <x v="5"/>
    <x v="9"/>
    <s v="State-110"/>
    <x v="46"/>
    <s v="233"/>
    <m/>
    <n v="107897"/>
  </r>
  <r>
    <x v="5"/>
    <x v="9"/>
    <s v="State-110"/>
    <x v="47"/>
    <s v="234"/>
    <m/>
    <n v="30019"/>
  </r>
  <r>
    <x v="5"/>
    <x v="9"/>
    <s v="State-110"/>
    <x v="16"/>
    <m/>
    <m/>
    <n v="18"/>
  </r>
  <r>
    <x v="5"/>
    <x v="9"/>
    <s v="State-110"/>
    <x v="17"/>
    <m/>
    <m/>
    <n v="34935"/>
  </r>
  <r>
    <x v="5"/>
    <x v="45"/>
    <s v="State-113"/>
    <x v="0"/>
    <m/>
    <m/>
    <n v="172869"/>
  </r>
  <r>
    <x v="5"/>
    <x v="45"/>
    <s v="State-113"/>
    <x v="46"/>
    <s v="239"/>
    <m/>
    <n v="106069"/>
  </r>
  <r>
    <x v="5"/>
    <x v="45"/>
    <s v="State-113"/>
    <x v="47"/>
    <s v="240"/>
    <m/>
    <n v="31318"/>
  </r>
  <r>
    <x v="5"/>
    <x v="45"/>
    <s v="State-113"/>
    <x v="16"/>
    <m/>
    <m/>
    <n v="14"/>
  </r>
  <r>
    <x v="5"/>
    <x v="45"/>
    <s v="State-113"/>
    <x v="17"/>
    <m/>
    <m/>
    <n v="35468"/>
  </r>
  <r>
    <x v="5"/>
    <x v="46"/>
    <s v="State-114"/>
    <x v="0"/>
    <m/>
    <m/>
    <n v="172869"/>
  </r>
  <r>
    <x v="5"/>
    <x v="46"/>
    <s v="State-114"/>
    <x v="46"/>
    <s v="242"/>
    <m/>
    <n v="103741"/>
  </r>
  <r>
    <x v="5"/>
    <x v="46"/>
    <s v="State-114"/>
    <x v="47"/>
    <s v="241"/>
    <m/>
    <n v="32847"/>
  </r>
  <r>
    <x v="5"/>
    <x v="46"/>
    <s v="State-114"/>
    <x v="16"/>
    <m/>
    <m/>
    <n v="24"/>
  </r>
  <r>
    <x v="5"/>
    <x v="46"/>
    <s v="State-114"/>
    <x v="17"/>
    <m/>
    <m/>
    <n v="36257"/>
  </r>
  <r>
    <x v="5"/>
    <x v="47"/>
    <s v="State-115"/>
    <x v="0"/>
    <m/>
    <m/>
    <n v="172869"/>
  </r>
  <r>
    <x v="5"/>
    <x v="47"/>
    <s v="State-115"/>
    <x v="46"/>
    <s v="244"/>
    <m/>
    <n v="105960"/>
  </r>
  <r>
    <x v="5"/>
    <x v="47"/>
    <s v="State-115"/>
    <x v="47"/>
    <s v="243"/>
    <m/>
    <n v="31396"/>
  </r>
  <r>
    <x v="5"/>
    <x v="47"/>
    <s v="State-115"/>
    <x v="16"/>
    <m/>
    <m/>
    <n v="20"/>
  </r>
  <r>
    <x v="5"/>
    <x v="47"/>
    <s v="State-115"/>
    <x v="17"/>
    <m/>
    <m/>
    <n v="35493"/>
  </r>
  <r>
    <x v="5"/>
    <x v="48"/>
    <s v="State-116"/>
    <x v="0"/>
    <m/>
    <m/>
    <n v="172869"/>
  </r>
  <r>
    <x v="5"/>
    <x v="48"/>
    <s v="State-116"/>
    <x v="46"/>
    <s v="245"/>
    <m/>
    <n v="108555"/>
  </r>
  <r>
    <x v="5"/>
    <x v="48"/>
    <s v="State-116"/>
    <x v="47"/>
    <s v="246"/>
    <m/>
    <n v="28637"/>
  </r>
  <r>
    <x v="5"/>
    <x v="48"/>
    <s v="State-116"/>
    <x v="16"/>
    <m/>
    <m/>
    <n v="15"/>
  </r>
  <r>
    <x v="5"/>
    <x v="48"/>
    <s v="State-116"/>
    <x v="17"/>
    <m/>
    <m/>
    <n v="35662"/>
  </r>
  <r>
    <x v="5"/>
    <x v="49"/>
    <s v="State-117"/>
    <x v="0"/>
    <m/>
    <m/>
    <n v="172869"/>
  </r>
  <r>
    <x v="5"/>
    <x v="49"/>
    <s v="State-117"/>
    <x v="46"/>
    <s v="247"/>
    <m/>
    <n v="108613"/>
  </r>
  <r>
    <x v="5"/>
    <x v="49"/>
    <s v="State-117"/>
    <x v="47"/>
    <s v="248"/>
    <m/>
    <n v="27131"/>
  </r>
  <r>
    <x v="5"/>
    <x v="49"/>
    <s v="State-117"/>
    <x v="16"/>
    <m/>
    <m/>
    <n v="37"/>
  </r>
  <r>
    <x v="5"/>
    <x v="49"/>
    <s v="State-117"/>
    <x v="17"/>
    <m/>
    <m/>
    <n v="37088"/>
  </r>
  <r>
    <x v="5"/>
    <x v="50"/>
    <s v="State-137"/>
    <x v="0"/>
    <m/>
    <m/>
    <n v="172869"/>
  </r>
  <r>
    <x v="5"/>
    <x v="50"/>
    <s v="State-137"/>
    <x v="46"/>
    <s v="288"/>
    <m/>
    <n v="107339"/>
  </r>
  <r>
    <x v="5"/>
    <x v="50"/>
    <s v="State-137"/>
    <x v="47"/>
    <s v="287"/>
    <m/>
    <n v="29058"/>
  </r>
  <r>
    <x v="5"/>
    <x v="50"/>
    <s v="State-137"/>
    <x v="16"/>
    <m/>
    <m/>
    <n v="25"/>
  </r>
  <r>
    <x v="5"/>
    <x v="50"/>
    <s v="State-137"/>
    <x v="17"/>
    <m/>
    <m/>
    <n v="36447"/>
  </r>
  <r>
    <x v="5"/>
    <x v="12"/>
    <s v="State-145"/>
    <x v="0"/>
    <m/>
    <m/>
    <n v="172869"/>
  </r>
  <r>
    <x v="5"/>
    <x v="12"/>
    <s v="State-145"/>
    <x v="48"/>
    <s v="303"/>
    <m/>
    <n v="114521"/>
  </r>
  <r>
    <x v="5"/>
    <x v="12"/>
    <s v="State-145"/>
    <x v="49"/>
    <s v="304"/>
    <m/>
    <n v="43736"/>
  </r>
  <r>
    <x v="5"/>
    <x v="12"/>
    <s v="State-145"/>
    <x v="16"/>
    <m/>
    <m/>
    <n v="29"/>
  </r>
  <r>
    <x v="5"/>
    <x v="12"/>
    <s v="State-145"/>
    <x v="17"/>
    <m/>
    <m/>
    <n v="14583"/>
  </r>
  <r>
    <x v="5"/>
    <x v="13"/>
    <s v="State-146"/>
    <x v="0"/>
    <m/>
    <m/>
    <n v="172869"/>
  </r>
  <r>
    <x v="5"/>
    <x v="13"/>
    <s v="State-146"/>
    <x v="48"/>
    <s v="305"/>
    <m/>
    <n v="128688"/>
  </r>
  <r>
    <x v="5"/>
    <x v="13"/>
    <s v="State-146"/>
    <x v="49"/>
    <s v="306"/>
    <m/>
    <n v="29342"/>
  </r>
  <r>
    <x v="5"/>
    <x v="13"/>
    <s v="State-146"/>
    <x v="16"/>
    <m/>
    <m/>
    <n v="28"/>
  </r>
  <r>
    <x v="5"/>
    <x v="13"/>
    <s v="State-146"/>
    <x v="17"/>
    <m/>
    <m/>
    <n v="14811"/>
  </r>
  <r>
    <x v="6"/>
    <x v="0"/>
    <s v="State-1"/>
    <x v="0"/>
    <m/>
    <m/>
    <n v="9067"/>
  </r>
  <r>
    <x v="6"/>
    <x v="0"/>
    <s v="State-1"/>
    <x v="1"/>
    <s v="9"/>
    <s v="Unaffiliated"/>
    <n v="7"/>
  </r>
  <r>
    <x v="6"/>
    <x v="0"/>
    <s v="State-1"/>
    <x v="2"/>
    <s v="3"/>
    <s v="Unaffiliated"/>
    <n v="8"/>
  </r>
  <r>
    <x v="6"/>
    <x v="0"/>
    <s v="State-1"/>
    <x v="3"/>
    <s v="13"/>
    <s v="Constitution"/>
    <n v="53"/>
  </r>
  <r>
    <x v="6"/>
    <x v="0"/>
    <s v="State-1"/>
    <x v="4"/>
    <s v="8"/>
    <s v="Green"/>
    <n v="16"/>
  </r>
  <r>
    <x v="6"/>
    <x v="0"/>
    <s v="State-1"/>
    <x v="5"/>
    <s v="5"/>
    <s v="Republican"/>
    <n v="7815"/>
  </r>
  <r>
    <x v="6"/>
    <x v="0"/>
    <s v="State-1"/>
    <x v="6"/>
    <s v="10"/>
    <s v="Libertarian"/>
    <n v="45"/>
  </r>
  <r>
    <x v="6"/>
    <x v="0"/>
    <s v="State-1"/>
    <x v="7"/>
    <s v="4"/>
    <s v="Democratic"/>
    <n v="1009"/>
  </r>
  <r>
    <x v="6"/>
    <x v="0"/>
    <s v="State-1"/>
    <x v="8"/>
    <s v="15"/>
    <s v="Unaffiliated"/>
    <n v="14"/>
  </r>
  <r>
    <x v="6"/>
    <x v="0"/>
    <s v="State-1"/>
    <x v="9"/>
    <s v="1"/>
    <s v="Unaffiliated"/>
    <n v="0"/>
  </r>
  <r>
    <x v="6"/>
    <x v="0"/>
    <s v="State-1"/>
    <x v="10"/>
    <s v="2"/>
    <s v="Unaffiliated"/>
    <n v="1"/>
  </r>
  <r>
    <x v="6"/>
    <x v="0"/>
    <s v="State-1"/>
    <x v="11"/>
    <s v="6"/>
    <s v="Unaffiliated"/>
    <n v="0"/>
  </r>
  <r>
    <x v="6"/>
    <x v="0"/>
    <s v="State-1"/>
    <x v="12"/>
    <s v="7"/>
    <s v="Unaffiliated"/>
    <n v="0"/>
  </r>
  <r>
    <x v="6"/>
    <x v="0"/>
    <s v="State-1"/>
    <x v="13"/>
    <s v="11"/>
    <s v="Unaffiliated"/>
    <n v="0"/>
  </r>
  <r>
    <x v="6"/>
    <x v="0"/>
    <s v="State-1"/>
    <x v="14"/>
    <s v="12"/>
    <s v="Unaffiliated"/>
    <n v="0"/>
  </r>
  <r>
    <x v="6"/>
    <x v="0"/>
    <s v="State-1"/>
    <x v="15"/>
    <s v="14"/>
    <s v="Unaffiliated"/>
    <n v="0"/>
  </r>
  <r>
    <x v="6"/>
    <x v="0"/>
    <s v="State-1"/>
    <x v="16"/>
    <m/>
    <m/>
    <n v="2"/>
  </r>
  <r>
    <x v="6"/>
    <x v="0"/>
    <s v="State-1"/>
    <x v="17"/>
    <m/>
    <m/>
    <n v="38"/>
  </r>
  <r>
    <x v="6"/>
    <x v="1"/>
    <s v="State-2"/>
    <x v="0"/>
    <m/>
    <m/>
    <n v="9067"/>
  </r>
  <r>
    <x v="6"/>
    <x v="1"/>
    <s v="State-2"/>
    <x v="18"/>
    <s v="19"/>
    <s v="Independent American"/>
    <n v="594"/>
  </r>
  <r>
    <x v="6"/>
    <x v="1"/>
    <s v="State-2"/>
    <x v="19"/>
    <s v="18"/>
    <s v="Republican"/>
    <n v="7450"/>
  </r>
  <r>
    <x v="6"/>
    <x v="1"/>
    <s v="State-2"/>
    <x v="20"/>
    <s v="17"/>
    <s v="Democratic"/>
    <n v="790"/>
  </r>
  <r>
    <x v="6"/>
    <x v="1"/>
    <s v="State-2"/>
    <x v="21"/>
    <s v="16"/>
    <s v="Unaffiliated"/>
    <n v="7"/>
  </r>
  <r>
    <x v="6"/>
    <x v="1"/>
    <s v="State-2"/>
    <x v="16"/>
    <m/>
    <m/>
    <n v="1"/>
  </r>
  <r>
    <x v="6"/>
    <x v="1"/>
    <s v="State-2"/>
    <x v="17"/>
    <m/>
    <m/>
    <n v="170"/>
  </r>
  <r>
    <x v="6"/>
    <x v="24"/>
    <s v="State-5"/>
    <x v="0"/>
    <m/>
    <m/>
    <n v="9067"/>
  </r>
  <r>
    <x v="6"/>
    <x v="24"/>
    <s v="State-5"/>
    <x v="64"/>
    <s v="27"/>
    <s v="Republican"/>
    <n v="7780"/>
  </r>
  <r>
    <x v="6"/>
    <x v="24"/>
    <s v="State-5"/>
    <x v="65"/>
    <s v="28"/>
    <s v="Democratic"/>
    <n v="893"/>
  </r>
  <r>
    <x v="6"/>
    <x v="24"/>
    <s v="State-5"/>
    <x v="16"/>
    <m/>
    <m/>
    <n v="0"/>
  </r>
  <r>
    <x v="6"/>
    <x v="24"/>
    <s v="State-5"/>
    <x v="17"/>
    <m/>
    <m/>
    <n v="394"/>
  </r>
  <r>
    <x v="6"/>
    <x v="3"/>
    <s v="State-7"/>
    <x v="0"/>
    <m/>
    <m/>
    <n v="9067"/>
  </r>
  <r>
    <x v="6"/>
    <x v="3"/>
    <s v="State-7"/>
    <x v="26"/>
    <s v="36"/>
    <s v="Republican"/>
    <n v="5721"/>
  </r>
  <r>
    <x v="6"/>
    <x v="3"/>
    <s v="State-7"/>
    <x v="27"/>
    <s v="40"/>
    <s v="Independent American"/>
    <n v="299"/>
  </r>
  <r>
    <x v="6"/>
    <x v="3"/>
    <s v="State-7"/>
    <x v="28"/>
    <s v="34"/>
    <s v="Democratic"/>
    <n v="728"/>
  </r>
  <r>
    <x v="6"/>
    <x v="3"/>
    <s v="State-7"/>
    <x v="29"/>
    <s v="33"/>
    <s v="Libertarian"/>
    <n v="295"/>
  </r>
  <r>
    <x v="6"/>
    <x v="3"/>
    <s v="State-7"/>
    <x v="30"/>
    <s v="39"/>
    <s v="Unaffiliated"/>
    <n v="57"/>
  </r>
  <r>
    <x v="6"/>
    <x v="3"/>
    <s v="State-7"/>
    <x v="31"/>
    <s v="37"/>
    <s v="Unaffiliated"/>
    <n v="1664"/>
  </r>
  <r>
    <x v="6"/>
    <x v="3"/>
    <s v="State-7"/>
    <x v="32"/>
    <s v="38"/>
    <s v="Unaffiliated"/>
    <n v="5"/>
  </r>
  <r>
    <x v="6"/>
    <x v="3"/>
    <s v="State-7"/>
    <x v="16"/>
    <m/>
    <m/>
    <n v="0"/>
  </r>
  <r>
    <x v="6"/>
    <x v="3"/>
    <s v="State-7"/>
    <x v="17"/>
    <m/>
    <m/>
    <n v="261"/>
  </r>
  <r>
    <x v="6"/>
    <x v="4"/>
    <s v="State-8"/>
    <x v="0"/>
    <m/>
    <m/>
    <n v="9067"/>
  </r>
  <r>
    <x v="6"/>
    <x v="4"/>
    <s v="State-8"/>
    <x v="33"/>
    <s v="45"/>
    <s v="Republican"/>
    <n v="7178"/>
  </r>
  <r>
    <x v="6"/>
    <x v="4"/>
    <s v="State-8"/>
    <x v="34"/>
    <s v="41"/>
    <s v="Democratic"/>
    <n v="768"/>
  </r>
  <r>
    <x v="6"/>
    <x v="4"/>
    <s v="State-8"/>
    <x v="35"/>
    <s v="42"/>
    <s v="Libertarian"/>
    <n v="304"/>
  </r>
  <r>
    <x v="6"/>
    <x v="4"/>
    <s v="State-8"/>
    <x v="36"/>
    <s v="43"/>
    <s v="Unaffiliated"/>
    <n v="292"/>
  </r>
  <r>
    <x v="6"/>
    <x v="4"/>
    <s v="State-8"/>
    <x v="37"/>
    <s v="44"/>
    <s v="United Utah Party"/>
    <n v="266"/>
  </r>
  <r>
    <x v="6"/>
    <x v="4"/>
    <s v="State-8"/>
    <x v="16"/>
    <m/>
    <m/>
    <n v="1"/>
  </r>
  <r>
    <x v="6"/>
    <x v="4"/>
    <s v="State-8"/>
    <x v="17"/>
    <m/>
    <m/>
    <n v="258"/>
  </r>
  <r>
    <x v="6"/>
    <x v="5"/>
    <s v="State-9"/>
    <x v="0"/>
    <m/>
    <m/>
    <n v="9067"/>
  </r>
  <r>
    <x v="6"/>
    <x v="5"/>
    <s v="State-9"/>
    <x v="38"/>
    <s v="48"/>
    <s v="Republican"/>
    <n v="7315"/>
  </r>
  <r>
    <x v="6"/>
    <x v="5"/>
    <s v="State-9"/>
    <x v="39"/>
    <s v="46"/>
    <s v="Constitution"/>
    <n v="619"/>
  </r>
  <r>
    <x v="6"/>
    <x v="5"/>
    <s v="State-9"/>
    <x v="40"/>
    <s v="47"/>
    <s v="Democratic"/>
    <n v="793"/>
  </r>
  <r>
    <x v="6"/>
    <x v="5"/>
    <s v="State-9"/>
    <x v="16"/>
    <m/>
    <m/>
    <n v="0"/>
  </r>
  <r>
    <x v="6"/>
    <x v="5"/>
    <s v="State-9"/>
    <x v="17"/>
    <m/>
    <m/>
    <n v="340"/>
  </r>
  <r>
    <x v="6"/>
    <x v="6"/>
    <s v="State-10"/>
    <x v="0"/>
    <m/>
    <m/>
    <n v="9067"/>
  </r>
  <r>
    <x v="6"/>
    <x v="6"/>
    <s v="State-10"/>
    <x v="41"/>
    <s v="49"/>
    <s v="Utah Forward"/>
    <n v="265"/>
  </r>
  <r>
    <x v="6"/>
    <x v="6"/>
    <s v="State-10"/>
    <x v="42"/>
    <s v="50"/>
    <s v="Republican"/>
    <n v="7660"/>
  </r>
  <r>
    <x v="6"/>
    <x v="6"/>
    <s v="State-10"/>
    <x v="43"/>
    <s v="51"/>
    <s v="Democratic"/>
    <n v="808"/>
  </r>
  <r>
    <x v="6"/>
    <x v="6"/>
    <s v="State-10"/>
    <x v="16"/>
    <m/>
    <m/>
    <n v="0"/>
  </r>
  <r>
    <x v="6"/>
    <x v="6"/>
    <s v="State-10"/>
    <x v="17"/>
    <m/>
    <m/>
    <n v="334"/>
  </r>
  <r>
    <x v="6"/>
    <x v="26"/>
    <s v="State-92"/>
    <x v="0"/>
    <m/>
    <m/>
    <n v="6232"/>
  </r>
  <r>
    <x v="6"/>
    <x v="26"/>
    <s v="State-92"/>
    <x v="69"/>
    <s v="204"/>
    <s v="Democratic"/>
    <n v="700"/>
  </r>
  <r>
    <x v="6"/>
    <x v="26"/>
    <s v="State-92"/>
    <x v="70"/>
    <s v="203"/>
    <s v="Republican"/>
    <n v="5261"/>
  </r>
  <r>
    <x v="6"/>
    <x v="26"/>
    <s v="State-92"/>
    <x v="16"/>
    <m/>
    <m/>
    <n v="0"/>
  </r>
  <r>
    <x v="6"/>
    <x v="26"/>
    <s v="State-92"/>
    <x v="17"/>
    <m/>
    <m/>
    <n v="271"/>
  </r>
  <r>
    <x v="6"/>
    <x v="28"/>
    <s v="State-93"/>
    <x v="0"/>
    <m/>
    <m/>
    <n v="2835"/>
  </r>
  <r>
    <x v="6"/>
    <x v="28"/>
    <s v="State-93"/>
    <x v="71"/>
    <s v="205"/>
    <s v="Republican"/>
    <n v="2595"/>
  </r>
  <r>
    <x v="6"/>
    <x v="28"/>
    <s v="State-93"/>
    <x v="16"/>
    <m/>
    <m/>
    <n v="0"/>
  </r>
  <r>
    <x v="6"/>
    <x v="28"/>
    <s v="State-93"/>
    <x v="17"/>
    <m/>
    <m/>
    <n v="240"/>
  </r>
  <r>
    <x v="6"/>
    <x v="29"/>
    <s v="State-106"/>
    <x v="0"/>
    <m/>
    <m/>
    <n v="9067"/>
  </r>
  <r>
    <x v="6"/>
    <x v="29"/>
    <s v="State-106"/>
    <x v="72"/>
    <s v="227"/>
    <s v="Republican"/>
    <n v="7376"/>
  </r>
  <r>
    <x v="6"/>
    <x v="29"/>
    <s v="State-106"/>
    <x v="73"/>
    <s v="228"/>
    <s v="Unaffiliated"/>
    <n v="1159"/>
  </r>
  <r>
    <x v="6"/>
    <x v="29"/>
    <s v="State-106"/>
    <x v="16"/>
    <m/>
    <m/>
    <n v="0"/>
  </r>
  <r>
    <x v="6"/>
    <x v="29"/>
    <s v="State-106"/>
    <x v="17"/>
    <m/>
    <m/>
    <n v="532"/>
  </r>
  <r>
    <x v="6"/>
    <x v="8"/>
    <s v="State-109"/>
    <x v="0"/>
    <m/>
    <m/>
    <n v="9067"/>
  </r>
  <r>
    <x v="6"/>
    <x v="8"/>
    <s v="State-109"/>
    <x v="46"/>
    <s v="232"/>
    <m/>
    <n v="6300"/>
  </r>
  <r>
    <x v="6"/>
    <x v="8"/>
    <s v="State-109"/>
    <x v="47"/>
    <s v="231"/>
    <m/>
    <n v="1357"/>
  </r>
  <r>
    <x v="6"/>
    <x v="8"/>
    <s v="State-109"/>
    <x v="16"/>
    <m/>
    <m/>
    <n v="3"/>
  </r>
  <r>
    <x v="6"/>
    <x v="8"/>
    <s v="State-109"/>
    <x v="17"/>
    <m/>
    <m/>
    <n v="1407"/>
  </r>
  <r>
    <x v="6"/>
    <x v="9"/>
    <s v="State-110"/>
    <x v="0"/>
    <m/>
    <m/>
    <n v="9067"/>
  </r>
  <r>
    <x v="6"/>
    <x v="9"/>
    <s v="State-110"/>
    <x v="46"/>
    <s v="233"/>
    <m/>
    <n v="6271"/>
  </r>
  <r>
    <x v="6"/>
    <x v="9"/>
    <s v="State-110"/>
    <x v="47"/>
    <s v="234"/>
    <m/>
    <n v="1348"/>
  </r>
  <r>
    <x v="6"/>
    <x v="9"/>
    <s v="State-110"/>
    <x v="16"/>
    <m/>
    <m/>
    <n v="3"/>
  </r>
  <r>
    <x v="6"/>
    <x v="9"/>
    <s v="State-110"/>
    <x v="17"/>
    <m/>
    <m/>
    <n v="1445"/>
  </r>
  <r>
    <x v="6"/>
    <x v="30"/>
    <s v="State-134"/>
    <x v="0"/>
    <m/>
    <m/>
    <n v="9067"/>
  </r>
  <r>
    <x v="6"/>
    <x v="30"/>
    <s v="State-134"/>
    <x v="46"/>
    <s v="281"/>
    <m/>
    <n v="6334"/>
  </r>
  <r>
    <x v="6"/>
    <x v="30"/>
    <s v="State-134"/>
    <x v="47"/>
    <s v="282"/>
    <m/>
    <n v="1392"/>
  </r>
  <r>
    <x v="6"/>
    <x v="30"/>
    <s v="State-134"/>
    <x v="16"/>
    <m/>
    <m/>
    <n v="5"/>
  </r>
  <r>
    <x v="6"/>
    <x v="30"/>
    <s v="State-134"/>
    <x v="17"/>
    <m/>
    <m/>
    <n v="1336"/>
  </r>
  <r>
    <x v="6"/>
    <x v="31"/>
    <s v="State-135"/>
    <x v="0"/>
    <m/>
    <m/>
    <n v="9067"/>
  </r>
  <r>
    <x v="6"/>
    <x v="31"/>
    <s v="State-135"/>
    <x v="46"/>
    <s v="283"/>
    <m/>
    <n v="6418"/>
  </r>
  <r>
    <x v="6"/>
    <x v="31"/>
    <s v="State-135"/>
    <x v="47"/>
    <s v="284"/>
    <m/>
    <n v="1303"/>
  </r>
  <r>
    <x v="6"/>
    <x v="31"/>
    <s v="State-135"/>
    <x v="16"/>
    <m/>
    <m/>
    <n v="0"/>
  </r>
  <r>
    <x v="6"/>
    <x v="31"/>
    <s v="State-135"/>
    <x v="17"/>
    <m/>
    <m/>
    <n v="1346"/>
  </r>
  <r>
    <x v="6"/>
    <x v="12"/>
    <s v="State-145"/>
    <x v="0"/>
    <m/>
    <m/>
    <n v="9067"/>
  </r>
  <r>
    <x v="6"/>
    <x v="12"/>
    <s v="State-145"/>
    <x v="48"/>
    <s v="303"/>
    <m/>
    <n v="5187"/>
  </r>
  <r>
    <x v="6"/>
    <x v="12"/>
    <s v="State-145"/>
    <x v="49"/>
    <s v="304"/>
    <m/>
    <n v="3257"/>
  </r>
  <r>
    <x v="6"/>
    <x v="12"/>
    <s v="State-145"/>
    <x v="16"/>
    <m/>
    <m/>
    <n v="2"/>
  </r>
  <r>
    <x v="6"/>
    <x v="12"/>
    <s v="State-145"/>
    <x v="17"/>
    <m/>
    <m/>
    <n v="621"/>
  </r>
  <r>
    <x v="6"/>
    <x v="13"/>
    <s v="State-146"/>
    <x v="0"/>
    <m/>
    <m/>
    <n v="9067"/>
  </r>
  <r>
    <x v="6"/>
    <x v="13"/>
    <s v="State-146"/>
    <x v="48"/>
    <s v="305"/>
    <m/>
    <n v="7565"/>
  </r>
  <r>
    <x v="6"/>
    <x v="13"/>
    <s v="State-146"/>
    <x v="49"/>
    <s v="306"/>
    <m/>
    <n v="991"/>
  </r>
  <r>
    <x v="6"/>
    <x v="13"/>
    <s v="State-146"/>
    <x v="16"/>
    <m/>
    <m/>
    <n v="2"/>
  </r>
  <r>
    <x v="6"/>
    <x v="13"/>
    <s v="State-146"/>
    <x v="17"/>
    <m/>
    <m/>
    <n v="509"/>
  </r>
  <r>
    <x v="7"/>
    <x v="0"/>
    <s v="State-1"/>
    <x v="0"/>
    <m/>
    <m/>
    <n v="5077"/>
  </r>
  <r>
    <x v="7"/>
    <x v="0"/>
    <s v="State-1"/>
    <x v="1"/>
    <s v="9"/>
    <s v="Unaffiliated"/>
    <n v="3"/>
  </r>
  <r>
    <x v="7"/>
    <x v="0"/>
    <s v="State-1"/>
    <x v="2"/>
    <s v="3"/>
    <s v="Unaffiliated"/>
    <n v="5"/>
  </r>
  <r>
    <x v="7"/>
    <x v="0"/>
    <s v="State-1"/>
    <x v="3"/>
    <s v="13"/>
    <s v="Constitution"/>
    <n v="17"/>
  </r>
  <r>
    <x v="7"/>
    <x v="0"/>
    <s v="State-1"/>
    <x v="4"/>
    <s v="8"/>
    <s v="Green"/>
    <n v="8"/>
  </r>
  <r>
    <x v="7"/>
    <x v="0"/>
    <s v="State-1"/>
    <x v="5"/>
    <s v="5"/>
    <s v="Republican"/>
    <n v="4341"/>
  </r>
  <r>
    <x v="7"/>
    <x v="0"/>
    <s v="State-1"/>
    <x v="6"/>
    <s v="10"/>
    <s v="Libertarian"/>
    <n v="32"/>
  </r>
  <r>
    <x v="7"/>
    <x v="0"/>
    <s v="State-1"/>
    <x v="7"/>
    <s v="4"/>
    <s v="Democratic"/>
    <n v="603"/>
  </r>
  <r>
    <x v="7"/>
    <x v="0"/>
    <s v="State-1"/>
    <x v="8"/>
    <s v="15"/>
    <s v="Unaffiliated"/>
    <n v="2"/>
  </r>
  <r>
    <x v="7"/>
    <x v="0"/>
    <s v="State-1"/>
    <x v="9"/>
    <s v="1"/>
    <s v="Unaffiliated"/>
    <n v="0"/>
  </r>
  <r>
    <x v="7"/>
    <x v="0"/>
    <s v="State-1"/>
    <x v="10"/>
    <s v="2"/>
    <s v="Unaffiliated"/>
    <n v="0"/>
  </r>
  <r>
    <x v="7"/>
    <x v="0"/>
    <s v="State-1"/>
    <x v="11"/>
    <s v="6"/>
    <s v="Unaffiliated"/>
    <n v="0"/>
  </r>
  <r>
    <x v="7"/>
    <x v="0"/>
    <s v="State-1"/>
    <x v="12"/>
    <s v="7"/>
    <s v="Unaffiliated"/>
    <n v="0"/>
  </r>
  <r>
    <x v="7"/>
    <x v="0"/>
    <s v="State-1"/>
    <x v="13"/>
    <s v="11"/>
    <s v="Unaffiliated"/>
    <n v="0"/>
  </r>
  <r>
    <x v="7"/>
    <x v="0"/>
    <s v="State-1"/>
    <x v="14"/>
    <s v="12"/>
    <s v="Unaffiliated"/>
    <n v="0"/>
  </r>
  <r>
    <x v="7"/>
    <x v="0"/>
    <s v="State-1"/>
    <x v="15"/>
    <s v="14"/>
    <s v="Unaffiliated"/>
    <n v="0"/>
  </r>
  <r>
    <x v="7"/>
    <x v="0"/>
    <s v="State-1"/>
    <x v="16"/>
    <m/>
    <m/>
    <n v="3"/>
  </r>
  <r>
    <x v="7"/>
    <x v="0"/>
    <s v="State-1"/>
    <x v="17"/>
    <m/>
    <m/>
    <n v="37"/>
  </r>
  <r>
    <x v="7"/>
    <x v="1"/>
    <s v="State-2"/>
    <x v="0"/>
    <m/>
    <m/>
    <n v="5077"/>
  </r>
  <r>
    <x v="7"/>
    <x v="1"/>
    <s v="State-2"/>
    <x v="18"/>
    <s v="19"/>
    <s v="Independent American"/>
    <n v="262"/>
  </r>
  <r>
    <x v="7"/>
    <x v="1"/>
    <s v="State-2"/>
    <x v="19"/>
    <s v="18"/>
    <s v="Republican"/>
    <n v="4200"/>
  </r>
  <r>
    <x v="7"/>
    <x v="1"/>
    <s v="State-2"/>
    <x v="20"/>
    <s v="17"/>
    <s v="Democratic"/>
    <n v="474"/>
  </r>
  <r>
    <x v="7"/>
    <x v="1"/>
    <s v="State-2"/>
    <x v="21"/>
    <s v="16"/>
    <s v="Unaffiliated"/>
    <n v="0"/>
  </r>
  <r>
    <x v="7"/>
    <x v="1"/>
    <s v="State-2"/>
    <x v="16"/>
    <m/>
    <m/>
    <n v="4"/>
  </r>
  <r>
    <x v="7"/>
    <x v="1"/>
    <s v="State-2"/>
    <x v="17"/>
    <m/>
    <m/>
    <n v="109"/>
  </r>
  <r>
    <x v="7"/>
    <x v="24"/>
    <s v="State-5"/>
    <x v="0"/>
    <m/>
    <m/>
    <n v="5077"/>
  </r>
  <r>
    <x v="7"/>
    <x v="24"/>
    <s v="State-5"/>
    <x v="64"/>
    <s v="27"/>
    <s v="Republican"/>
    <n v="4323"/>
  </r>
  <r>
    <x v="7"/>
    <x v="24"/>
    <s v="State-5"/>
    <x v="65"/>
    <s v="28"/>
    <s v="Democratic"/>
    <n v="554"/>
  </r>
  <r>
    <x v="7"/>
    <x v="24"/>
    <s v="State-5"/>
    <x v="16"/>
    <m/>
    <m/>
    <n v="2"/>
  </r>
  <r>
    <x v="7"/>
    <x v="24"/>
    <s v="State-5"/>
    <x v="17"/>
    <m/>
    <m/>
    <n v="198"/>
  </r>
  <r>
    <x v="7"/>
    <x v="3"/>
    <s v="State-7"/>
    <x v="0"/>
    <m/>
    <m/>
    <n v="5077"/>
  </r>
  <r>
    <x v="7"/>
    <x v="3"/>
    <s v="State-7"/>
    <x v="26"/>
    <s v="36"/>
    <s v="Republican"/>
    <n v="3256"/>
  </r>
  <r>
    <x v="7"/>
    <x v="3"/>
    <s v="State-7"/>
    <x v="27"/>
    <s v="40"/>
    <s v="Independent American"/>
    <n v="112"/>
  </r>
  <r>
    <x v="7"/>
    <x v="3"/>
    <s v="State-7"/>
    <x v="28"/>
    <s v="34"/>
    <s v="Democratic"/>
    <n v="469"/>
  </r>
  <r>
    <x v="7"/>
    <x v="3"/>
    <s v="State-7"/>
    <x v="29"/>
    <s v="33"/>
    <s v="Libertarian"/>
    <n v="108"/>
  </r>
  <r>
    <x v="7"/>
    <x v="3"/>
    <s v="State-7"/>
    <x v="30"/>
    <s v="39"/>
    <s v="Unaffiliated"/>
    <n v="28"/>
  </r>
  <r>
    <x v="7"/>
    <x v="3"/>
    <s v="State-7"/>
    <x v="31"/>
    <s v="37"/>
    <s v="Unaffiliated"/>
    <n v="955"/>
  </r>
  <r>
    <x v="7"/>
    <x v="3"/>
    <s v="State-7"/>
    <x v="32"/>
    <s v="38"/>
    <s v="Unaffiliated"/>
    <n v="2"/>
  </r>
  <r>
    <x v="7"/>
    <x v="3"/>
    <s v="State-7"/>
    <x v="16"/>
    <m/>
    <m/>
    <n v="9"/>
  </r>
  <r>
    <x v="7"/>
    <x v="3"/>
    <s v="State-7"/>
    <x v="17"/>
    <m/>
    <m/>
    <n v="125"/>
  </r>
  <r>
    <x v="7"/>
    <x v="4"/>
    <s v="State-8"/>
    <x v="0"/>
    <m/>
    <m/>
    <n v="5077"/>
  </r>
  <r>
    <x v="7"/>
    <x v="4"/>
    <s v="State-8"/>
    <x v="33"/>
    <s v="45"/>
    <s v="Republican"/>
    <n v="4069"/>
  </r>
  <r>
    <x v="7"/>
    <x v="4"/>
    <s v="State-8"/>
    <x v="34"/>
    <s v="41"/>
    <s v="Democratic"/>
    <n v="483"/>
  </r>
  <r>
    <x v="7"/>
    <x v="4"/>
    <s v="State-8"/>
    <x v="35"/>
    <s v="42"/>
    <s v="Libertarian"/>
    <n v="140"/>
  </r>
  <r>
    <x v="7"/>
    <x v="4"/>
    <s v="State-8"/>
    <x v="36"/>
    <s v="43"/>
    <s v="Unaffiliated"/>
    <n v="104"/>
  </r>
  <r>
    <x v="7"/>
    <x v="4"/>
    <s v="State-8"/>
    <x v="37"/>
    <s v="44"/>
    <s v="United Utah Party"/>
    <n v="117"/>
  </r>
  <r>
    <x v="7"/>
    <x v="4"/>
    <s v="State-8"/>
    <x v="16"/>
    <m/>
    <m/>
    <n v="3"/>
  </r>
  <r>
    <x v="7"/>
    <x v="4"/>
    <s v="State-8"/>
    <x v="17"/>
    <m/>
    <m/>
    <n v="161"/>
  </r>
  <r>
    <x v="7"/>
    <x v="5"/>
    <s v="State-9"/>
    <x v="0"/>
    <m/>
    <m/>
    <n v="5077"/>
  </r>
  <r>
    <x v="7"/>
    <x v="5"/>
    <s v="State-9"/>
    <x v="38"/>
    <s v="48"/>
    <s v="Republican"/>
    <n v="4174"/>
  </r>
  <r>
    <x v="7"/>
    <x v="5"/>
    <s v="State-9"/>
    <x v="39"/>
    <s v="46"/>
    <s v="Constitution"/>
    <n v="204"/>
  </r>
  <r>
    <x v="7"/>
    <x v="5"/>
    <s v="State-9"/>
    <x v="40"/>
    <s v="47"/>
    <s v="Democratic"/>
    <n v="503"/>
  </r>
  <r>
    <x v="7"/>
    <x v="5"/>
    <s v="State-9"/>
    <x v="16"/>
    <m/>
    <m/>
    <n v="2"/>
  </r>
  <r>
    <x v="7"/>
    <x v="5"/>
    <s v="State-9"/>
    <x v="17"/>
    <m/>
    <m/>
    <n v="194"/>
  </r>
  <r>
    <x v="7"/>
    <x v="6"/>
    <s v="State-10"/>
    <x v="0"/>
    <m/>
    <m/>
    <n v="5077"/>
  </r>
  <r>
    <x v="7"/>
    <x v="6"/>
    <s v="State-10"/>
    <x v="41"/>
    <s v="49"/>
    <s v="Utah Forward"/>
    <n v="124"/>
  </r>
  <r>
    <x v="7"/>
    <x v="6"/>
    <s v="State-10"/>
    <x v="42"/>
    <s v="50"/>
    <s v="Republican"/>
    <n v="4157"/>
  </r>
  <r>
    <x v="7"/>
    <x v="6"/>
    <s v="State-10"/>
    <x v="43"/>
    <s v="51"/>
    <s v="Democratic"/>
    <n v="582"/>
  </r>
  <r>
    <x v="7"/>
    <x v="6"/>
    <s v="State-10"/>
    <x v="16"/>
    <m/>
    <m/>
    <n v="2"/>
  </r>
  <r>
    <x v="7"/>
    <x v="6"/>
    <s v="State-10"/>
    <x v="17"/>
    <m/>
    <m/>
    <n v="212"/>
  </r>
  <r>
    <x v="7"/>
    <x v="25"/>
    <s v="State-23"/>
    <x v="0"/>
    <m/>
    <m/>
    <n v="5077"/>
  </r>
  <r>
    <x v="7"/>
    <x v="25"/>
    <s v="State-23"/>
    <x v="66"/>
    <s v="78"/>
    <s v="Unaffiliated"/>
    <n v="167"/>
  </r>
  <r>
    <x v="7"/>
    <x v="25"/>
    <s v="State-23"/>
    <x v="67"/>
    <s v="76"/>
    <s v="Democratic"/>
    <n v="468"/>
  </r>
  <r>
    <x v="7"/>
    <x v="25"/>
    <s v="State-23"/>
    <x v="68"/>
    <s v="77"/>
    <s v="Republican"/>
    <n v="4326"/>
  </r>
  <r>
    <x v="7"/>
    <x v="25"/>
    <s v="State-23"/>
    <x v="16"/>
    <m/>
    <m/>
    <n v="2"/>
  </r>
  <r>
    <x v="7"/>
    <x v="25"/>
    <s v="State-23"/>
    <x v="17"/>
    <m/>
    <m/>
    <n v="114"/>
  </r>
  <r>
    <x v="7"/>
    <x v="26"/>
    <s v="State-92"/>
    <x v="0"/>
    <m/>
    <m/>
    <n v="3701"/>
  </r>
  <r>
    <x v="7"/>
    <x v="26"/>
    <s v="State-92"/>
    <x v="69"/>
    <s v="204"/>
    <s v="Democratic"/>
    <n v="650"/>
  </r>
  <r>
    <x v="7"/>
    <x v="26"/>
    <s v="State-92"/>
    <x v="70"/>
    <s v="203"/>
    <s v="Republican"/>
    <n v="2888"/>
  </r>
  <r>
    <x v="7"/>
    <x v="26"/>
    <s v="State-92"/>
    <x v="16"/>
    <m/>
    <m/>
    <n v="3"/>
  </r>
  <r>
    <x v="7"/>
    <x v="26"/>
    <s v="State-92"/>
    <x v="17"/>
    <m/>
    <m/>
    <n v="160"/>
  </r>
  <r>
    <x v="7"/>
    <x v="51"/>
    <s v="State-94"/>
    <x v="0"/>
    <m/>
    <m/>
    <n v="1376"/>
  </r>
  <r>
    <x v="7"/>
    <x v="51"/>
    <s v="State-94"/>
    <x v="100"/>
    <s v="206"/>
    <s v="Republican"/>
    <n v="1094"/>
  </r>
  <r>
    <x v="7"/>
    <x v="51"/>
    <s v="State-94"/>
    <x v="101"/>
    <s v="207"/>
    <s v="Democratic"/>
    <n v="235"/>
  </r>
  <r>
    <x v="7"/>
    <x v="51"/>
    <s v="State-94"/>
    <x v="16"/>
    <m/>
    <m/>
    <n v="0"/>
  </r>
  <r>
    <x v="7"/>
    <x v="51"/>
    <s v="State-94"/>
    <x v="17"/>
    <m/>
    <m/>
    <n v="47"/>
  </r>
  <r>
    <x v="7"/>
    <x v="8"/>
    <s v="State-109"/>
    <x v="0"/>
    <m/>
    <m/>
    <n v="5077"/>
  </r>
  <r>
    <x v="7"/>
    <x v="8"/>
    <s v="State-109"/>
    <x v="46"/>
    <s v="232"/>
    <m/>
    <n v="3706"/>
  </r>
  <r>
    <x v="7"/>
    <x v="8"/>
    <s v="State-109"/>
    <x v="47"/>
    <s v="231"/>
    <m/>
    <n v="764"/>
  </r>
  <r>
    <x v="7"/>
    <x v="8"/>
    <s v="State-109"/>
    <x v="16"/>
    <m/>
    <m/>
    <n v="3"/>
  </r>
  <r>
    <x v="7"/>
    <x v="8"/>
    <s v="State-109"/>
    <x v="17"/>
    <m/>
    <m/>
    <n v="604"/>
  </r>
  <r>
    <x v="7"/>
    <x v="9"/>
    <s v="State-110"/>
    <x v="0"/>
    <m/>
    <m/>
    <n v="5077"/>
  </r>
  <r>
    <x v="7"/>
    <x v="9"/>
    <s v="State-110"/>
    <x v="46"/>
    <s v="233"/>
    <m/>
    <n v="3681"/>
  </r>
  <r>
    <x v="7"/>
    <x v="9"/>
    <s v="State-110"/>
    <x v="47"/>
    <s v="234"/>
    <m/>
    <n v="765"/>
  </r>
  <r>
    <x v="7"/>
    <x v="9"/>
    <s v="State-110"/>
    <x v="16"/>
    <m/>
    <m/>
    <n v="2"/>
  </r>
  <r>
    <x v="7"/>
    <x v="9"/>
    <s v="State-110"/>
    <x v="17"/>
    <m/>
    <m/>
    <n v="629"/>
  </r>
  <r>
    <x v="7"/>
    <x v="27"/>
    <s v="State-133"/>
    <x v="0"/>
    <m/>
    <m/>
    <n v="5077"/>
  </r>
  <r>
    <x v="7"/>
    <x v="27"/>
    <s v="State-133"/>
    <x v="46"/>
    <s v="280"/>
    <m/>
    <n v="3706"/>
  </r>
  <r>
    <x v="7"/>
    <x v="27"/>
    <s v="State-133"/>
    <x v="47"/>
    <s v="279"/>
    <m/>
    <n v="787"/>
  </r>
  <r>
    <x v="7"/>
    <x v="27"/>
    <s v="State-133"/>
    <x v="16"/>
    <m/>
    <m/>
    <n v="1"/>
  </r>
  <r>
    <x v="7"/>
    <x v="27"/>
    <s v="State-133"/>
    <x v="17"/>
    <m/>
    <m/>
    <n v="583"/>
  </r>
  <r>
    <x v="7"/>
    <x v="12"/>
    <s v="State-145"/>
    <x v="0"/>
    <m/>
    <m/>
    <n v="5077"/>
  </r>
  <r>
    <x v="7"/>
    <x v="12"/>
    <s v="State-145"/>
    <x v="48"/>
    <s v="303"/>
    <m/>
    <n v="2932"/>
  </r>
  <r>
    <x v="7"/>
    <x v="12"/>
    <s v="State-145"/>
    <x v="49"/>
    <s v="304"/>
    <m/>
    <n v="1826"/>
  </r>
  <r>
    <x v="7"/>
    <x v="12"/>
    <s v="State-145"/>
    <x v="16"/>
    <m/>
    <m/>
    <n v="1"/>
  </r>
  <r>
    <x v="7"/>
    <x v="12"/>
    <s v="State-145"/>
    <x v="17"/>
    <m/>
    <m/>
    <n v="318"/>
  </r>
  <r>
    <x v="7"/>
    <x v="13"/>
    <s v="State-146"/>
    <x v="0"/>
    <m/>
    <m/>
    <n v="5077"/>
  </r>
  <r>
    <x v="7"/>
    <x v="13"/>
    <s v="State-146"/>
    <x v="48"/>
    <s v="305"/>
    <m/>
    <n v="4256"/>
  </r>
  <r>
    <x v="7"/>
    <x v="13"/>
    <s v="State-146"/>
    <x v="49"/>
    <s v="306"/>
    <m/>
    <n v="554"/>
  </r>
  <r>
    <x v="7"/>
    <x v="13"/>
    <s v="State-146"/>
    <x v="16"/>
    <m/>
    <m/>
    <n v="2"/>
  </r>
  <r>
    <x v="7"/>
    <x v="13"/>
    <s v="State-146"/>
    <x v="17"/>
    <m/>
    <m/>
    <n v="265"/>
  </r>
  <r>
    <x v="8"/>
    <x v="0"/>
    <s v="State-1"/>
    <x v="0"/>
    <m/>
    <m/>
    <n v="2857"/>
  </r>
  <r>
    <x v="8"/>
    <x v="0"/>
    <s v="State-1"/>
    <x v="1"/>
    <s v="9"/>
    <s v="Unaffiliated"/>
    <n v="1"/>
  </r>
  <r>
    <x v="8"/>
    <x v="0"/>
    <s v="State-1"/>
    <x v="2"/>
    <s v="3"/>
    <s v="Unaffiliated"/>
    <n v="3"/>
  </r>
  <r>
    <x v="8"/>
    <x v="0"/>
    <s v="State-1"/>
    <x v="3"/>
    <s v="13"/>
    <s v="Constitution"/>
    <n v="18"/>
  </r>
  <r>
    <x v="8"/>
    <x v="0"/>
    <s v="State-1"/>
    <x v="4"/>
    <s v="8"/>
    <s v="Green"/>
    <n v="17"/>
  </r>
  <r>
    <x v="8"/>
    <x v="0"/>
    <s v="State-1"/>
    <x v="5"/>
    <s v="5"/>
    <s v="Republican"/>
    <n v="2211"/>
  </r>
  <r>
    <x v="8"/>
    <x v="0"/>
    <s v="State-1"/>
    <x v="6"/>
    <s v="10"/>
    <s v="Libertarian"/>
    <n v="15"/>
  </r>
  <r>
    <x v="8"/>
    <x v="0"/>
    <s v="State-1"/>
    <x v="7"/>
    <s v="4"/>
    <s v="Democratic"/>
    <n v="541"/>
  </r>
  <r>
    <x v="8"/>
    <x v="0"/>
    <s v="State-1"/>
    <x v="8"/>
    <s v="15"/>
    <s v="Unaffiliated"/>
    <n v="5"/>
  </r>
  <r>
    <x v="8"/>
    <x v="0"/>
    <s v="State-1"/>
    <x v="9"/>
    <s v="1"/>
    <s v="Unaffiliated"/>
    <n v="0"/>
  </r>
  <r>
    <x v="8"/>
    <x v="0"/>
    <s v="State-1"/>
    <x v="10"/>
    <s v="2"/>
    <s v="Unaffiliated"/>
    <n v="0"/>
  </r>
  <r>
    <x v="8"/>
    <x v="0"/>
    <s v="State-1"/>
    <x v="11"/>
    <s v="6"/>
    <s v="Unaffiliated"/>
    <n v="0"/>
  </r>
  <r>
    <x v="8"/>
    <x v="0"/>
    <s v="State-1"/>
    <x v="12"/>
    <s v="7"/>
    <s v="Unaffiliated"/>
    <n v="0"/>
  </r>
  <r>
    <x v="8"/>
    <x v="0"/>
    <s v="State-1"/>
    <x v="13"/>
    <s v="11"/>
    <s v="Unaffiliated"/>
    <n v="0"/>
  </r>
  <r>
    <x v="8"/>
    <x v="0"/>
    <s v="State-1"/>
    <x v="14"/>
    <s v="12"/>
    <s v="Unaffiliated"/>
    <n v="0"/>
  </r>
  <r>
    <x v="8"/>
    <x v="0"/>
    <s v="State-1"/>
    <x v="15"/>
    <s v="14"/>
    <s v="Unaffiliated"/>
    <n v="0"/>
  </r>
  <r>
    <x v="8"/>
    <x v="0"/>
    <s v="State-1"/>
    <x v="16"/>
    <m/>
    <m/>
    <n v="0"/>
  </r>
  <r>
    <x v="8"/>
    <x v="0"/>
    <s v="State-1"/>
    <x v="17"/>
    <m/>
    <m/>
    <n v="29"/>
  </r>
  <r>
    <x v="8"/>
    <x v="1"/>
    <s v="State-2"/>
    <x v="0"/>
    <m/>
    <m/>
    <n v="2857"/>
  </r>
  <r>
    <x v="8"/>
    <x v="1"/>
    <s v="State-2"/>
    <x v="18"/>
    <s v="19"/>
    <s v="Independent American"/>
    <n v="145"/>
  </r>
  <r>
    <x v="8"/>
    <x v="1"/>
    <s v="State-2"/>
    <x v="19"/>
    <s v="18"/>
    <s v="Republican"/>
    <n v="2149"/>
  </r>
  <r>
    <x v="8"/>
    <x v="1"/>
    <s v="State-2"/>
    <x v="20"/>
    <s v="17"/>
    <s v="Democratic"/>
    <n v="463"/>
  </r>
  <r>
    <x v="8"/>
    <x v="1"/>
    <s v="State-2"/>
    <x v="21"/>
    <s v="16"/>
    <s v="Unaffiliated"/>
    <n v="0"/>
  </r>
  <r>
    <x v="8"/>
    <x v="1"/>
    <s v="State-2"/>
    <x v="16"/>
    <m/>
    <m/>
    <n v="1"/>
  </r>
  <r>
    <x v="8"/>
    <x v="1"/>
    <s v="State-2"/>
    <x v="17"/>
    <m/>
    <m/>
    <n v="85"/>
  </r>
  <r>
    <x v="8"/>
    <x v="2"/>
    <s v="State-4"/>
    <x v="0"/>
    <m/>
    <m/>
    <n v="2857"/>
  </r>
  <r>
    <x v="8"/>
    <x v="2"/>
    <s v="State-4"/>
    <x v="22"/>
    <s v="25"/>
    <s v="Democratic"/>
    <n v="452"/>
  </r>
  <r>
    <x v="8"/>
    <x v="2"/>
    <s v="State-4"/>
    <x v="23"/>
    <s v="26"/>
    <s v="Constitution"/>
    <n v="109"/>
  </r>
  <r>
    <x v="8"/>
    <x v="2"/>
    <s v="State-4"/>
    <x v="24"/>
    <s v="24"/>
    <s v="Republican"/>
    <n v="2152"/>
  </r>
  <r>
    <x v="8"/>
    <x v="2"/>
    <s v="State-4"/>
    <x v="25"/>
    <s v="23"/>
    <s v="Unaffiliated"/>
    <n v="52"/>
  </r>
  <r>
    <x v="8"/>
    <x v="2"/>
    <s v="State-4"/>
    <x v="16"/>
    <m/>
    <m/>
    <n v="1"/>
  </r>
  <r>
    <x v="8"/>
    <x v="2"/>
    <s v="State-4"/>
    <x v="17"/>
    <m/>
    <m/>
    <n v="91"/>
  </r>
  <r>
    <x v="8"/>
    <x v="3"/>
    <s v="State-7"/>
    <x v="0"/>
    <m/>
    <m/>
    <n v="2855"/>
  </r>
  <r>
    <x v="8"/>
    <x v="3"/>
    <s v="State-7"/>
    <x v="26"/>
    <s v="36"/>
    <s v="Republican"/>
    <n v="1914"/>
  </r>
  <r>
    <x v="8"/>
    <x v="3"/>
    <s v="State-7"/>
    <x v="27"/>
    <s v="40"/>
    <s v="Independent American"/>
    <n v="42"/>
  </r>
  <r>
    <x v="8"/>
    <x v="3"/>
    <s v="State-7"/>
    <x v="28"/>
    <s v="34"/>
    <s v="Democratic"/>
    <n v="393"/>
  </r>
  <r>
    <x v="8"/>
    <x v="3"/>
    <s v="State-7"/>
    <x v="29"/>
    <s v="33"/>
    <s v="Libertarian"/>
    <n v="57"/>
  </r>
  <r>
    <x v="8"/>
    <x v="3"/>
    <s v="State-7"/>
    <x v="30"/>
    <s v="39"/>
    <s v="Unaffiliated"/>
    <n v="5"/>
  </r>
  <r>
    <x v="8"/>
    <x v="3"/>
    <s v="State-7"/>
    <x v="31"/>
    <s v="37"/>
    <s v="Unaffiliated"/>
    <n v="344"/>
  </r>
  <r>
    <x v="8"/>
    <x v="3"/>
    <s v="State-7"/>
    <x v="32"/>
    <s v="38"/>
    <s v="Unaffiliated"/>
    <n v="0"/>
  </r>
  <r>
    <x v="8"/>
    <x v="3"/>
    <s v="State-7"/>
    <x v="16"/>
    <m/>
    <m/>
    <n v="1"/>
  </r>
  <r>
    <x v="8"/>
    <x v="3"/>
    <s v="State-7"/>
    <x v="17"/>
    <m/>
    <m/>
    <n v="88"/>
  </r>
  <r>
    <x v="8"/>
    <x v="4"/>
    <s v="State-8"/>
    <x v="0"/>
    <m/>
    <m/>
    <n v="2855"/>
  </r>
  <r>
    <x v="8"/>
    <x v="4"/>
    <s v="State-8"/>
    <x v="33"/>
    <s v="45"/>
    <s v="Republican"/>
    <n v="2121"/>
  </r>
  <r>
    <x v="8"/>
    <x v="4"/>
    <s v="State-8"/>
    <x v="34"/>
    <s v="41"/>
    <s v="Democratic"/>
    <n v="410"/>
  </r>
  <r>
    <x v="8"/>
    <x v="4"/>
    <s v="State-8"/>
    <x v="35"/>
    <s v="42"/>
    <s v="Libertarian"/>
    <n v="59"/>
  </r>
  <r>
    <x v="8"/>
    <x v="4"/>
    <s v="State-8"/>
    <x v="36"/>
    <s v="43"/>
    <s v="Unaffiliated"/>
    <n v="53"/>
  </r>
  <r>
    <x v="8"/>
    <x v="4"/>
    <s v="State-8"/>
    <x v="37"/>
    <s v="44"/>
    <s v="United Utah Party"/>
    <n v="87"/>
  </r>
  <r>
    <x v="8"/>
    <x v="4"/>
    <s v="State-8"/>
    <x v="16"/>
    <m/>
    <m/>
    <n v="0"/>
  </r>
  <r>
    <x v="8"/>
    <x v="4"/>
    <s v="State-8"/>
    <x v="17"/>
    <m/>
    <m/>
    <n v="125"/>
  </r>
  <r>
    <x v="8"/>
    <x v="5"/>
    <s v="State-9"/>
    <x v="0"/>
    <m/>
    <m/>
    <n v="2855"/>
  </r>
  <r>
    <x v="8"/>
    <x v="5"/>
    <s v="State-9"/>
    <x v="38"/>
    <s v="48"/>
    <s v="Republican"/>
    <n v="2159"/>
  </r>
  <r>
    <x v="8"/>
    <x v="5"/>
    <s v="State-9"/>
    <x v="39"/>
    <s v="46"/>
    <s v="Constitution"/>
    <n v="101"/>
  </r>
  <r>
    <x v="8"/>
    <x v="5"/>
    <s v="State-9"/>
    <x v="40"/>
    <s v="47"/>
    <s v="Democratic"/>
    <n v="429"/>
  </r>
  <r>
    <x v="8"/>
    <x v="5"/>
    <s v="State-9"/>
    <x v="16"/>
    <m/>
    <m/>
    <n v="0"/>
  </r>
  <r>
    <x v="8"/>
    <x v="5"/>
    <s v="State-9"/>
    <x v="17"/>
    <m/>
    <m/>
    <n v="166"/>
  </r>
  <r>
    <x v="8"/>
    <x v="6"/>
    <s v="State-10"/>
    <x v="0"/>
    <m/>
    <m/>
    <n v="2855"/>
  </r>
  <r>
    <x v="8"/>
    <x v="6"/>
    <s v="State-10"/>
    <x v="41"/>
    <s v="49"/>
    <s v="Utah Forward"/>
    <n v="81"/>
  </r>
  <r>
    <x v="8"/>
    <x v="6"/>
    <s v="State-10"/>
    <x v="42"/>
    <s v="50"/>
    <s v="Republican"/>
    <n v="2160"/>
  </r>
  <r>
    <x v="8"/>
    <x v="6"/>
    <s v="State-10"/>
    <x v="43"/>
    <s v="51"/>
    <s v="Democratic"/>
    <n v="446"/>
  </r>
  <r>
    <x v="8"/>
    <x v="6"/>
    <s v="State-10"/>
    <x v="16"/>
    <m/>
    <m/>
    <n v="0"/>
  </r>
  <r>
    <x v="8"/>
    <x v="6"/>
    <s v="State-10"/>
    <x v="17"/>
    <m/>
    <m/>
    <n v="168"/>
  </r>
  <r>
    <x v="8"/>
    <x v="25"/>
    <s v="State-23"/>
    <x v="0"/>
    <m/>
    <m/>
    <n v="22"/>
  </r>
  <r>
    <x v="8"/>
    <x v="25"/>
    <s v="State-23"/>
    <x v="66"/>
    <s v="78"/>
    <s v="Unaffiliated"/>
    <n v="0"/>
  </r>
  <r>
    <x v="8"/>
    <x v="25"/>
    <s v="State-23"/>
    <x v="67"/>
    <s v="76"/>
    <s v="Democratic"/>
    <n v="2"/>
  </r>
  <r>
    <x v="8"/>
    <x v="25"/>
    <s v="State-23"/>
    <x v="68"/>
    <s v="77"/>
    <s v="Republican"/>
    <n v="20"/>
  </r>
  <r>
    <x v="8"/>
    <x v="25"/>
    <s v="State-23"/>
    <x v="16"/>
    <m/>
    <m/>
    <n v="0"/>
  </r>
  <r>
    <x v="8"/>
    <x v="25"/>
    <s v="State-23"/>
    <x v="17"/>
    <m/>
    <m/>
    <n v="0"/>
  </r>
  <r>
    <x v="8"/>
    <x v="52"/>
    <s v="State-24"/>
    <x v="0"/>
    <m/>
    <m/>
    <n v="2833"/>
  </r>
  <r>
    <x v="8"/>
    <x v="52"/>
    <s v="State-24"/>
    <x v="102"/>
    <s v="79"/>
    <s v="Republican"/>
    <n v="2289"/>
  </r>
  <r>
    <x v="8"/>
    <x v="52"/>
    <s v="State-24"/>
    <x v="16"/>
    <m/>
    <m/>
    <n v="0"/>
  </r>
  <r>
    <x v="8"/>
    <x v="52"/>
    <s v="State-24"/>
    <x v="17"/>
    <m/>
    <m/>
    <n v="544"/>
  </r>
  <r>
    <x v="8"/>
    <x v="51"/>
    <s v="State-94"/>
    <x v="0"/>
    <m/>
    <m/>
    <n v="2855"/>
  </r>
  <r>
    <x v="8"/>
    <x v="51"/>
    <s v="State-94"/>
    <x v="100"/>
    <s v="206"/>
    <s v="Republican"/>
    <n v="2137"/>
  </r>
  <r>
    <x v="8"/>
    <x v="51"/>
    <s v="State-94"/>
    <x v="101"/>
    <s v="207"/>
    <s v="Democratic"/>
    <n v="587"/>
  </r>
  <r>
    <x v="8"/>
    <x v="51"/>
    <s v="State-94"/>
    <x v="16"/>
    <m/>
    <m/>
    <n v="0"/>
  </r>
  <r>
    <x v="8"/>
    <x v="51"/>
    <s v="State-94"/>
    <x v="17"/>
    <m/>
    <m/>
    <n v="131"/>
  </r>
  <r>
    <x v="8"/>
    <x v="53"/>
    <s v="State-108"/>
    <x v="0"/>
    <m/>
    <m/>
    <n v="2855"/>
  </r>
  <r>
    <x v="8"/>
    <x v="53"/>
    <s v="State-108"/>
    <x v="103"/>
    <s v="230"/>
    <s v="Republican"/>
    <n v="2286"/>
  </r>
  <r>
    <x v="8"/>
    <x v="53"/>
    <s v="State-108"/>
    <x v="16"/>
    <m/>
    <m/>
    <n v="0"/>
  </r>
  <r>
    <x v="8"/>
    <x v="53"/>
    <s v="State-108"/>
    <x v="17"/>
    <m/>
    <m/>
    <n v="569"/>
  </r>
  <r>
    <x v="8"/>
    <x v="8"/>
    <s v="State-109"/>
    <x v="0"/>
    <m/>
    <m/>
    <n v="2855"/>
  </r>
  <r>
    <x v="8"/>
    <x v="8"/>
    <s v="State-109"/>
    <x v="46"/>
    <s v="232"/>
    <m/>
    <n v="2062"/>
  </r>
  <r>
    <x v="8"/>
    <x v="8"/>
    <s v="State-109"/>
    <x v="47"/>
    <s v="231"/>
    <m/>
    <n v="293"/>
  </r>
  <r>
    <x v="8"/>
    <x v="8"/>
    <s v="State-109"/>
    <x v="16"/>
    <m/>
    <m/>
    <n v="1"/>
  </r>
  <r>
    <x v="8"/>
    <x v="8"/>
    <s v="State-109"/>
    <x v="17"/>
    <m/>
    <m/>
    <n v="499"/>
  </r>
  <r>
    <x v="8"/>
    <x v="9"/>
    <s v="State-110"/>
    <x v="0"/>
    <m/>
    <m/>
    <n v="2855"/>
  </r>
  <r>
    <x v="8"/>
    <x v="9"/>
    <s v="State-110"/>
    <x v="46"/>
    <s v="233"/>
    <m/>
    <n v="2043"/>
  </r>
  <r>
    <x v="8"/>
    <x v="9"/>
    <s v="State-110"/>
    <x v="47"/>
    <s v="234"/>
    <m/>
    <n v="281"/>
  </r>
  <r>
    <x v="8"/>
    <x v="9"/>
    <s v="State-110"/>
    <x v="16"/>
    <m/>
    <m/>
    <n v="0"/>
  </r>
  <r>
    <x v="8"/>
    <x v="9"/>
    <s v="State-110"/>
    <x v="17"/>
    <m/>
    <m/>
    <n v="531"/>
  </r>
  <r>
    <x v="8"/>
    <x v="12"/>
    <s v="State-145"/>
    <x v="0"/>
    <m/>
    <m/>
    <n v="2855"/>
  </r>
  <r>
    <x v="8"/>
    <x v="12"/>
    <s v="State-145"/>
    <x v="48"/>
    <s v="303"/>
    <m/>
    <n v="1842"/>
  </r>
  <r>
    <x v="8"/>
    <x v="12"/>
    <s v="State-145"/>
    <x v="49"/>
    <s v="304"/>
    <m/>
    <n v="784"/>
  </r>
  <r>
    <x v="8"/>
    <x v="12"/>
    <s v="State-145"/>
    <x v="16"/>
    <m/>
    <m/>
    <n v="0"/>
  </r>
  <r>
    <x v="8"/>
    <x v="12"/>
    <s v="State-145"/>
    <x v="17"/>
    <m/>
    <m/>
    <n v="229"/>
  </r>
  <r>
    <x v="8"/>
    <x v="13"/>
    <s v="State-146"/>
    <x v="0"/>
    <m/>
    <m/>
    <n v="2855"/>
  </r>
  <r>
    <x v="8"/>
    <x v="13"/>
    <s v="State-146"/>
    <x v="48"/>
    <s v="305"/>
    <m/>
    <n v="2459"/>
  </r>
  <r>
    <x v="8"/>
    <x v="13"/>
    <s v="State-146"/>
    <x v="49"/>
    <s v="306"/>
    <m/>
    <n v="223"/>
  </r>
  <r>
    <x v="8"/>
    <x v="13"/>
    <s v="State-146"/>
    <x v="16"/>
    <m/>
    <m/>
    <n v="0"/>
  </r>
  <r>
    <x v="8"/>
    <x v="13"/>
    <s v="State-146"/>
    <x v="17"/>
    <m/>
    <m/>
    <n v="173"/>
  </r>
  <r>
    <x v="9"/>
    <x v="0"/>
    <s v="State-1"/>
    <x v="0"/>
    <m/>
    <m/>
    <n v="5371"/>
  </r>
  <r>
    <x v="9"/>
    <x v="0"/>
    <s v="State-1"/>
    <x v="1"/>
    <s v="9"/>
    <s v="Unaffiliated"/>
    <n v="16"/>
  </r>
  <r>
    <x v="9"/>
    <x v="0"/>
    <s v="State-1"/>
    <x v="2"/>
    <s v="3"/>
    <s v="Unaffiliated"/>
    <n v="20"/>
  </r>
  <r>
    <x v="9"/>
    <x v="0"/>
    <s v="State-1"/>
    <x v="3"/>
    <s v="13"/>
    <s v="Constitution"/>
    <n v="20"/>
  </r>
  <r>
    <x v="9"/>
    <x v="0"/>
    <s v="State-1"/>
    <x v="4"/>
    <s v="8"/>
    <s v="Green"/>
    <n v="49"/>
  </r>
  <r>
    <x v="9"/>
    <x v="0"/>
    <s v="State-1"/>
    <x v="5"/>
    <s v="5"/>
    <s v="Republican"/>
    <n v="2327"/>
  </r>
  <r>
    <x v="9"/>
    <x v="0"/>
    <s v="State-1"/>
    <x v="6"/>
    <s v="10"/>
    <s v="Libertarian"/>
    <n v="25"/>
  </r>
  <r>
    <x v="9"/>
    <x v="0"/>
    <s v="State-1"/>
    <x v="7"/>
    <s v="4"/>
    <s v="Democratic"/>
    <n v="2828"/>
  </r>
  <r>
    <x v="9"/>
    <x v="0"/>
    <s v="State-1"/>
    <x v="8"/>
    <s v="15"/>
    <s v="Unaffiliated"/>
    <n v="15"/>
  </r>
  <r>
    <x v="9"/>
    <x v="0"/>
    <s v="State-1"/>
    <x v="9"/>
    <s v="1"/>
    <s v="Unaffiliated"/>
    <n v="0"/>
  </r>
  <r>
    <x v="9"/>
    <x v="0"/>
    <s v="State-1"/>
    <x v="10"/>
    <s v="2"/>
    <s v="Unaffiliated"/>
    <n v="0"/>
  </r>
  <r>
    <x v="9"/>
    <x v="0"/>
    <s v="State-1"/>
    <x v="11"/>
    <s v="6"/>
    <s v="Unaffiliated"/>
    <n v="0"/>
  </r>
  <r>
    <x v="9"/>
    <x v="0"/>
    <s v="State-1"/>
    <x v="12"/>
    <s v="7"/>
    <s v="Unaffiliated"/>
    <n v="0"/>
  </r>
  <r>
    <x v="9"/>
    <x v="0"/>
    <s v="State-1"/>
    <x v="13"/>
    <s v="11"/>
    <s v="Unaffiliated"/>
    <n v="0"/>
  </r>
  <r>
    <x v="9"/>
    <x v="0"/>
    <s v="State-1"/>
    <x v="14"/>
    <s v="12"/>
    <s v="Unaffiliated"/>
    <n v="0"/>
  </r>
  <r>
    <x v="9"/>
    <x v="0"/>
    <s v="State-1"/>
    <x v="15"/>
    <s v="14"/>
    <s v="Unaffiliated"/>
    <n v="0"/>
  </r>
  <r>
    <x v="9"/>
    <x v="0"/>
    <s v="State-1"/>
    <x v="16"/>
    <m/>
    <m/>
    <n v="1"/>
  </r>
  <r>
    <x v="9"/>
    <x v="0"/>
    <s v="State-1"/>
    <x v="17"/>
    <m/>
    <m/>
    <n v="45"/>
  </r>
  <r>
    <x v="9"/>
    <x v="1"/>
    <s v="State-2"/>
    <x v="0"/>
    <m/>
    <m/>
    <n v="5371"/>
  </r>
  <r>
    <x v="9"/>
    <x v="1"/>
    <s v="State-2"/>
    <x v="18"/>
    <s v="19"/>
    <s v="Independent American"/>
    <n v="155"/>
  </r>
  <r>
    <x v="9"/>
    <x v="1"/>
    <s v="State-2"/>
    <x v="19"/>
    <s v="18"/>
    <s v="Republican"/>
    <n v="2472"/>
  </r>
  <r>
    <x v="9"/>
    <x v="1"/>
    <s v="State-2"/>
    <x v="20"/>
    <s v="17"/>
    <s v="Democratic"/>
    <n v="2617"/>
  </r>
  <r>
    <x v="9"/>
    <x v="1"/>
    <s v="State-2"/>
    <x v="21"/>
    <s v="16"/>
    <s v="Unaffiliated"/>
    <n v="3"/>
  </r>
  <r>
    <x v="9"/>
    <x v="1"/>
    <s v="State-2"/>
    <x v="16"/>
    <m/>
    <m/>
    <n v="0"/>
  </r>
  <r>
    <x v="9"/>
    <x v="1"/>
    <s v="State-2"/>
    <x v="17"/>
    <m/>
    <m/>
    <n v="108"/>
  </r>
  <r>
    <x v="9"/>
    <x v="24"/>
    <s v="State-5"/>
    <x v="0"/>
    <m/>
    <m/>
    <n v="5371"/>
  </r>
  <r>
    <x v="9"/>
    <x v="24"/>
    <s v="State-5"/>
    <x v="64"/>
    <s v="27"/>
    <s v="Republican"/>
    <n v="2385"/>
  </r>
  <r>
    <x v="9"/>
    <x v="24"/>
    <s v="State-5"/>
    <x v="65"/>
    <s v="28"/>
    <s v="Democratic"/>
    <n v="2686"/>
  </r>
  <r>
    <x v="9"/>
    <x v="24"/>
    <s v="State-5"/>
    <x v="16"/>
    <m/>
    <m/>
    <n v="0"/>
  </r>
  <r>
    <x v="9"/>
    <x v="24"/>
    <s v="State-5"/>
    <x v="17"/>
    <m/>
    <m/>
    <n v="300"/>
  </r>
  <r>
    <x v="9"/>
    <x v="3"/>
    <s v="State-7"/>
    <x v="0"/>
    <m/>
    <m/>
    <n v="5371"/>
  </r>
  <r>
    <x v="9"/>
    <x v="3"/>
    <s v="State-7"/>
    <x v="26"/>
    <s v="36"/>
    <s v="Republican"/>
    <n v="2186"/>
  </r>
  <r>
    <x v="9"/>
    <x v="3"/>
    <s v="State-7"/>
    <x v="27"/>
    <s v="40"/>
    <s v="Independent American"/>
    <n v="80"/>
  </r>
  <r>
    <x v="9"/>
    <x v="3"/>
    <s v="State-7"/>
    <x v="28"/>
    <s v="34"/>
    <s v="Democratic"/>
    <n v="2433"/>
  </r>
  <r>
    <x v="9"/>
    <x v="3"/>
    <s v="State-7"/>
    <x v="29"/>
    <s v="33"/>
    <s v="Libertarian"/>
    <n v="113"/>
  </r>
  <r>
    <x v="9"/>
    <x v="3"/>
    <s v="State-7"/>
    <x v="30"/>
    <s v="39"/>
    <s v="Unaffiliated"/>
    <n v="24"/>
  </r>
  <r>
    <x v="9"/>
    <x v="3"/>
    <s v="State-7"/>
    <x v="31"/>
    <s v="37"/>
    <s v="Unaffiliated"/>
    <n v="170"/>
  </r>
  <r>
    <x v="9"/>
    <x v="3"/>
    <s v="State-7"/>
    <x v="32"/>
    <s v="38"/>
    <s v="Unaffiliated"/>
    <n v="0"/>
  </r>
  <r>
    <x v="9"/>
    <x v="3"/>
    <s v="State-7"/>
    <x v="16"/>
    <m/>
    <m/>
    <n v="1"/>
  </r>
  <r>
    <x v="9"/>
    <x v="3"/>
    <s v="State-7"/>
    <x v="17"/>
    <m/>
    <m/>
    <n v="130"/>
  </r>
  <r>
    <x v="9"/>
    <x v="4"/>
    <s v="State-8"/>
    <x v="0"/>
    <m/>
    <m/>
    <n v="5371"/>
  </r>
  <r>
    <x v="9"/>
    <x v="4"/>
    <s v="State-8"/>
    <x v="33"/>
    <s v="45"/>
    <s v="Republican"/>
    <n v="2213"/>
  </r>
  <r>
    <x v="9"/>
    <x v="4"/>
    <s v="State-8"/>
    <x v="34"/>
    <s v="41"/>
    <s v="Democratic"/>
    <n v="2389"/>
  </r>
  <r>
    <x v="9"/>
    <x v="4"/>
    <s v="State-8"/>
    <x v="35"/>
    <s v="42"/>
    <s v="Libertarian"/>
    <n v="195"/>
  </r>
  <r>
    <x v="9"/>
    <x v="4"/>
    <s v="State-8"/>
    <x v="36"/>
    <s v="43"/>
    <s v="Unaffiliated"/>
    <n v="91"/>
  </r>
  <r>
    <x v="9"/>
    <x v="4"/>
    <s v="State-8"/>
    <x v="37"/>
    <s v="44"/>
    <s v="United Utah Party"/>
    <n v="260"/>
  </r>
  <r>
    <x v="9"/>
    <x v="4"/>
    <s v="State-8"/>
    <x v="16"/>
    <m/>
    <m/>
    <n v="0"/>
  </r>
  <r>
    <x v="9"/>
    <x v="4"/>
    <s v="State-8"/>
    <x v="17"/>
    <m/>
    <m/>
    <n v="223"/>
  </r>
  <r>
    <x v="9"/>
    <x v="5"/>
    <s v="State-9"/>
    <x v="0"/>
    <m/>
    <m/>
    <n v="5371"/>
  </r>
  <r>
    <x v="9"/>
    <x v="5"/>
    <s v="State-9"/>
    <x v="38"/>
    <s v="48"/>
    <s v="Republican"/>
    <n v="2363"/>
  </r>
  <r>
    <x v="9"/>
    <x v="5"/>
    <s v="State-9"/>
    <x v="39"/>
    <s v="46"/>
    <s v="Constitution"/>
    <n v="156"/>
  </r>
  <r>
    <x v="9"/>
    <x v="5"/>
    <s v="State-9"/>
    <x v="40"/>
    <s v="47"/>
    <s v="Democratic"/>
    <n v="2581"/>
  </r>
  <r>
    <x v="9"/>
    <x v="5"/>
    <s v="State-9"/>
    <x v="16"/>
    <m/>
    <m/>
    <n v="0"/>
  </r>
  <r>
    <x v="9"/>
    <x v="5"/>
    <s v="State-9"/>
    <x v="17"/>
    <m/>
    <m/>
    <n v="271"/>
  </r>
  <r>
    <x v="9"/>
    <x v="6"/>
    <s v="State-10"/>
    <x v="0"/>
    <m/>
    <m/>
    <n v="5371"/>
  </r>
  <r>
    <x v="9"/>
    <x v="6"/>
    <s v="State-10"/>
    <x v="41"/>
    <s v="49"/>
    <s v="Utah Forward"/>
    <n v="201"/>
  </r>
  <r>
    <x v="9"/>
    <x v="6"/>
    <s v="State-10"/>
    <x v="42"/>
    <s v="50"/>
    <s v="Republican"/>
    <n v="2364"/>
  </r>
  <r>
    <x v="9"/>
    <x v="6"/>
    <s v="State-10"/>
    <x v="43"/>
    <s v="51"/>
    <s v="Democratic"/>
    <n v="2506"/>
  </r>
  <r>
    <x v="9"/>
    <x v="6"/>
    <s v="State-10"/>
    <x v="16"/>
    <m/>
    <m/>
    <n v="1"/>
  </r>
  <r>
    <x v="9"/>
    <x v="6"/>
    <s v="State-10"/>
    <x v="17"/>
    <m/>
    <m/>
    <n v="299"/>
  </r>
  <r>
    <x v="9"/>
    <x v="25"/>
    <s v="State-23"/>
    <x v="0"/>
    <m/>
    <m/>
    <n v="5371"/>
  </r>
  <r>
    <x v="9"/>
    <x v="25"/>
    <s v="State-23"/>
    <x v="66"/>
    <s v="78"/>
    <s v="Unaffiliated"/>
    <n v="384"/>
  </r>
  <r>
    <x v="9"/>
    <x v="25"/>
    <s v="State-23"/>
    <x v="67"/>
    <s v="76"/>
    <s v="Democratic"/>
    <n v="2380"/>
  </r>
  <r>
    <x v="9"/>
    <x v="25"/>
    <s v="State-23"/>
    <x v="68"/>
    <s v="77"/>
    <s v="Republican"/>
    <n v="2337"/>
  </r>
  <r>
    <x v="9"/>
    <x v="25"/>
    <s v="State-23"/>
    <x v="16"/>
    <m/>
    <m/>
    <n v="0"/>
  </r>
  <r>
    <x v="9"/>
    <x v="25"/>
    <s v="State-23"/>
    <x v="17"/>
    <m/>
    <m/>
    <n v="270"/>
  </r>
  <r>
    <x v="9"/>
    <x v="51"/>
    <s v="State-94"/>
    <x v="0"/>
    <m/>
    <m/>
    <n v="5371"/>
  </r>
  <r>
    <x v="9"/>
    <x v="51"/>
    <s v="State-94"/>
    <x v="100"/>
    <s v="206"/>
    <s v="Republican"/>
    <n v="2197"/>
  </r>
  <r>
    <x v="9"/>
    <x v="51"/>
    <s v="State-94"/>
    <x v="101"/>
    <s v="207"/>
    <s v="Democratic"/>
    <n v="2910"/>
  </r>
  <r>
    <x v="9"/>
    <x v="51"/>
    <s v="State-94"/>
    <x v="16"/>
    <m/>
    <m/>
    <n v="2"/>
  </r>
  <r>
    <x v="9"/>
    <x v="51"/>
    <s v="State-94"/>
    <x v="17"/>
    <m/>
    <m/>
    <n v="262"/>
  </r>
  <r>
    <x v="9"/>
    <x v="8"/>
    <s v="State-109"/>
    <x v="0"/>
    <m/>
    <m/>
    <n v="5371"/>
  </r>
  <r>
    <x v="9"/>
    <x v="8"/>
    <s v="State-109"/>
    <x v="46"/>
    <s v="232"/>
    <m/>
    <n v="3203"/>
  </r>
  <r>
    <x v="9"/>
    <x v="8"/>
    <s v="State-109"/>
    <x v="47"/>
    <s v="231"/>
    <m/>
    <n v="999"/>
  </r>
  <r>
    <x v="9"/>
    <x v="8"/>
    <s v="State-109"/>
    <x v="16"/>
    <m/>
    <m/>
    <n v="2"/>
  </r>
  <r>
    <x v="9"/>
    <x v="8"/>
    <s v="State-109"/>
    <x v="17"/>
    <m/>
    <m/>
    <n v="1167"/>
  </r>
  <r>
    <x v="9"/>
    <x v="9"/>
    <s v="State-110"/>
    <x v="0"/>
    <m/>
    <m/>
    <n v="5371"/>
  </r>
  <r>
    <x v="9"/>
    <x v="9"/>
    <s v="State-110"/>
    <x v="46"/>
    <s v="233"/>
    <m/>
    <n v="3206"/>
  </r>
  <r>
    <x v="9"/>
    <x v="9"/>
    <s v="State-110"/>
    <x v="47"/>
    <s v="234"/>
    <m/>
    <n v="944"/>
  </r>
  <r>
    <x v="9"/>
    <x v="9"/>
    <s v="State-110"/>
    <x v="16"/>
    <m/>
    <m/>
    <n v="1"/>
  </r>
  <r>
    <x v="9"/>
    <x v="9"/>
    <s v="State-110"/>
    <x v="17"/>
    <m/>
    <m/>
    <n v="1220"/>
  </r>
  <r>
    <x v="9"/>
    <x v="27"/>
    <s v="State-133"/>
    <x v="0"/>
    <m/>
    <m/>
    <n v="5371"/>
  </r>
  <r>
    <x v="9"/>
    <x v="27"/>
    <s v="State-133"/>
    <x v="46"/>
    <s v="280"/>
    <m/>
    <n v="3246"/>
  </r>
  <r>
    <x v="9"/>
    <x v="27"/>
    <s v="State-133"/>
    <x v="47"/>
    <s v="279"/>
    <m/>
    <n v="882"/>
  </r>
  <r>
    <x v="9"/>
    <x v="27"/>
    <s v="State-133"/>
    <x v="16"/>
    <m/>
    <m/>
    <n v="0"/>
  </r>
  <r>
    <x v="9"/>
    <x v="27"/>
    <s v="State-133"/>
    <x v="17"/>
    <m/>
    <m/>
    <n v="1243"/>
  </r>
  <r>
    <x v="9"/>
    <x v="12"/>
    <s v="State-145"/>
    <x v="0"/>
    <m/>
    <m/>
    <n v="5371"/>
  </r>
  <r>
    <x v="9"/>
    <x v="12"/>
    <s v="State-145"/>
    <x v="48"/>
    <s v="303"/>
    <m/>
    <n v="3804"/>
  </r>
  <r>
    <x v="9"/>
    <x v="12"/>
    <s v="State-145"/>
    <x v="49"/>
    <s v="304"/>
    <m/>
    <n v="1207"/>
  </r>
  <r>
    <x v="9"/>
    <x v="12"/>
    <s v="State-145"/>
    <x v="16"/>
    <m/>
    <m/>
    <n v="0"/>
  </r>
  <r>
    <x v="9"/>
    <x v="12"/>
    <s v="State-145"/>
    <x v="17"/>
    <m/>
    <m/>
    <n v="360"/>
  </r>
  <r>
    <x v="9"/>
    <x v="13"/>
    <s v="State-146"/>
    <x v="0"/>
    <m/>
    <m/>
    <n v="5371"/>
  </r>
  <r>
    <x v="9"/>
    <x v="13"/>
    <s v="State-146"/>
    <x v="48"/>
    <s v="305"/>
    <m/>
    <n v="3885"/>
  </r>
  <r>
    <x v="9"/>
    <x v="13"/>
    <s v="State-146"/>
    <x v="49"/>
    <s v="306"/>
    <m/>
    <n v="1155"/>
  </r>
  <r>
    <x v="9"/>
    <x v="13"/>
    <s v="State-146"/>
    <x v="16"/>
    <m/>
    <m/>
    <n v="0"/>
  </r>
  <r>
    <x v="9"/>
    <x v="13"/>
    <s v="State-146"/>
    <x v="17"/>
    <m/>
    <m/>
    <n v="331"/>
  </r>
  <r>
    <x v="10"/>
    <x v="0"/>
    <s v="State-1"/>
    <x v="0"/>
    <m/>
    <m/>
    <n v="28457"/>
  </r>
  <r>
    <x v="10"/>
    <x v="0"/>
    <s v="State-1"/>
    <x v="1"/>
    <s v="9"/>
    <s v="Unaffiliated"/>
    <n v="31"/>
  </r>
  <r>
    <x v="10"/>
    <x v="0"/>
    <s v="State-1"/>
    <x v="2"/>
    <s v="3"/>
    <s v="Unaffiliated"/>
    <n v="40"/>
  </r>
  <r>
    <x v="10"/>
    <x v="0"/>
    <s v="State-1"/>
    <x v="3"/>
    <s v="13"/>
    <s v="Constitution"/>
    <n v="154"/>
  </r>
  <r>
    <x v="10"/>
    <x v="0"/>
    <s v="State-1"/>
    <x v="4"/>
    <s v="8"/>
    <s v="Green"/>
    <n v="87"/>
  </r>
  <r>
    <x v="10"/>
    <x v="0"/>
    <s v="State-1"/>
    <x v="5"/>
    <s v="5"/>
    <s v="Republican"/>
    <n v="21571"/>
  </r>
  <r>
    <x v="10"/>
    <x v="0"/>
    <s v="State-1"/>
    <x v="6"/>
    <s v="10"/>
    <s v="Libertarian"/>
    <n v="275"/>
  </r>
  <r>
    <x v="10"/>
    <x v="0"/>
    <s v="State-1"/>
    <x v="7"/>
    <s v="4"/>
    <s v="Democratic"/>
    <n v="5683"/>
  </r>
  <r>
    <x v="10"/>
    <x v="0"/>
    <s v="State-1"/>
    <x v="8"/>
    <s v="15"/>
    <s v="Unaffiliated"/>
    <n v="35"/>
  </r>
  <r>
    <x v="10"/>
    <x v="0"/>
    <s v="State-1"/>
    <x v="9"/>
    <s v="1"/>
    <s v="Unaffiliated"/>
    <n v="0"/>
  </r>
  <r>
    <x v="10"/>
    <x v="0"/>
    <s v="State-1"/>
    <x v="10"/>
    <s v="2"/>
    <s v="Unaffiliated"/>
    <n v="2"/>
  </r>
  <r>
    <x v="10"/>
    <x v="0"/>
    <s v="State-1"/>
    <x v="11"/>
    <s v="6"/>
    <s v="Unaffiliated"/>
    <n v="0"/>
  </r>
  <r>
    <x v="10"/>
    <x v="0"/>
    <s v="State-1"/>
    <x v="12"/>
    <s v="7"/>
    <s v="Unaffiliated"/>
    <n v="0"/>
  </r>
  <r>
    <x v="10"/>
    <x v="0"/>
    <s v="State-1"/>
    <x v="13"/>
    <s v="11"/>
    <s v="Unaffiliated"/>
    <n v="0"/>
  </r>
  <r>
    <x v="10"/>
    <x v="0"/>
    <s v="State-1"/>
    <x v="14"/>
    <s v="12"/>
    <s v="Unaffiliated"/>
    <n v="0"/>
  </r>
  <r>
    <x v="10"/>
    <x v="0"/>
    <s v="State-1"/>
    <x v="15"/>
    <s v="14"/>
    <s v="Unaffiliated"/>
    <n v="0"/>
  </r>
  <r>
    <x v="10"/>
    <x v="0"/>
    <s v="State-1"/>
    <x v="16"/>
    <m/>
    <m/>
    <n v="6"/>
  </r>
  <r>
    <x v="10"/>
    <x v="0"/>
    <s v="State-1"/>
    <x v="17"/>
    <m/>
    <m/>
    <n v="285"/>
  </r>
  <r>
    <x v="10"/>
    <x v="1"/>
    <s v="State-2"/>
    <x v="0"/>
    <m/>
    <m/>
    <n v="28457"/>
  </r>
  <r>
    <x v="10"/>
    <x v="1"/>
    <s v="State-2"/>
    <x v="18"/>
    <s v="19"/>
    <s v="Independent American"/>
    <n v="1914"/>
  </r>
  <r>
    <x v="10"/>
    <x v="1"/>
    <s v="State-2"/>
    <x v="19"/>
    <s v="18"/>
    <s v="Republican"/>
    <n v="20772"/>
  </r>
  <r>
    <x v="10"/>
    <x v="1"/>
    <s v="State-2"/>
    <x v="20"/>
    <s v="17"/>
    <s v="Democratic"/>
    <n v="4757"/>
  </r>
  <r>
    <x v="10"/>
    <x v="1"/>
    <s v="State-2"/>
    <x v="21"/>
    <s v="16"/>
    <s v="Unaffiliated"/>
    <n v="6"/>
  </r>
  <r>
    <x v="10"/>
    <x v="1"/>
    <s v="State-2"/>
    <x v="16"/>
    <m/>
    <m/>
    <n v="3"/>
  </r>
  <r>
    <x v="10"/>
    <x v="1"/>
    <s v="State-2"/>
    <x v="17"/>
    <m/>
    <m/>
    <n v="836"/>
  </r>
  <r>
    <x v="10"/>
    <x v="2"/>
    <s v="State-4"/>
    <x v="0"/>
    <m/>
    <m/>
    <n v="28457"/>
  </r>
  <r>
    <x v="10"/>
    <x v="2"/>
    <s v="State-4"/>
    <x v="22"/>
    <s v="25"/>
    <s v="Democratic"/>
    <n v="4511"/>
  </r>
  <r>
    <x v="10"/>
    <x v="2"/>
    <s v="State-4"/>
    <x v="23"/>
    <s v="26"/>
    <s v="Constitution"/>
    <n v="1887"/>
  </r>
  <r>
    <x v="10"/>
    <x v="2"/>
    <s v="State-4"/>
    <x v="24"/>
    <s v="24"/>
    <s v="Republican"/>
    <n v="20142"/>
  </r>
  <r>
    <x v="10"/>
    <x v="2"/>
    <s v="State-4"/>
    <x v="25"/>
    <s v="23"/>
    <s v="Unaffiliated"/>
    <n v="619"/>
  </r>
  <r>
    <x v="10"/>
    <x v="2"/>
    <s v="State-4"/>
    <x v="16"/>
    <m/>
    <m/>
    <n v="8"/>
  </r>
  <r>
    <x v="10"/>
    <x v="2"/>
    <s v="State-4"/>
    <x v="17"/>
    <m/>
    <m/>
    <n v="1290"/>
  </r>
  <r>
    <x v="10"/>
    <x v="3"/>
    <s v="State-7"/>
    <x v="0"/>
    <m/>
    <m/>
    <n v="28446"/>
  </r>
  <r>
    <x v="10"/>
    <x v="3"/>
    <s v="State-7"/>
    <x v="26"/>
    <s v="36"/>
    <s v="Republican"/>
    <n v="16814"/>
  </r>
  <r>
    <x v="10"/>
    <x v="3"/>
    <s v="State-7"/>
    <x v="27"/>
    <s v="40"/>
    <s v="Independent American"/>
    <n v="657"/>
  </r>
  <r>
    <x v="10"/>
    <x v="3"/>
    <s v="State-7"/>
    <x v="28"/>
    <s v="34"/>
    <s v="Democratic"/>
    <n v="3967"/>
  </r>
  <r>
    <x v="10"/>
    <x v="3"/>
    <s v="State-7"/>
    <x v="29"/>
    <s v="33"/>
    <s v="Libertarian"/>
    <n v="1013"/>
  </r>
  <r>
    <x v="10"/>
    <x v="3"/>
    <s v="State-7"/>
    <x v="30"/>
    <s v="39"/>
    <s v="Unaffiliated"/>
    <n v="99"/>
  </r>
  <r>
    <x v="10"/>
    <x v="3"/>
    <s v="State-7"/>
    <x v="31"/>
    <s v="37"/>
    <s v="Unaffiliated"/>
    <n v="4775"/>
  </r>
  <r>
    <x v="10"/>
    <x v="3"/>
    <s v="State-7"/>
    <x v="32"/>
    <s v="38"/>
    <s v="Unaffiliated"/>
    <n v="16"/>
  </r>
  <r>
    <x v="10"/>
    <x v="3"/>
    <s v="State-7"/>
    <x v="16"/>
    <m/>
    <m/>
    <n v="3"/>
  </r>
  <r>
    <x v="10"/>
    <x v="3"/>
    <s v="State-7"/>
    <x v="17"/>
    <m/>
    <m/>
    <n v="894"/>
  </r>
  <r>
    <x v="10"/>
    <x v="4"/>
    <s v="State-8"/>
    <x v="0"/>
    <m/>
    <m/>
    <n v="28446"/>
  </r>
  <r>
    <x v="10"/>
    <x v="4"/>
    <s v="State-8"/>
    <x v="33"/>
    <s v="45"/>
    <s v="Republican"/>
    <n v="20047"/>
  </r>
  <r>
    <x v="10"/>
    <x v="4"/>
    <s v="State-8"/>
    <x v="34"/>
    <s v="41"/>
    <s v="Democratic"/>
    <n v="4034"/>
  </r>
  <r>
    <x v="10"/>
    <x v="4"/>
    <s v="State-8"/>
    <x v="35"/>
    <s v="42"/>
    <s v="Libertarian"/>
    <n v="1064"/>
  </r>
  <r>
    <x v="10"/>
    <x v="4"/>
    <s v="State-8"/>
    <x v="36"/>
    <s v="43"/>
    <s v="Unaffiliated"/>
    <n v="960"/>
  </r>
  <r>
    <x v="10"/>
    <x v="4"/>
    <s v="State-8"/>
    <x v="37"/>
    <s v="44"/>
    <s v="United Utah Party"/>
    <n v="1080"/>
  </r>
  <r>
    <x v="10"/>
    <x v="4"/>
    <s v="State-8"/>
    <x v="16"/>
    <m/>
    <m/>
    <n v="3"/>
  </r>
  <r>
    <x v="10"/>
    <x v="4"/>
    <s v="State-8"/>
    <x v="17"/>
    <m/>
    <m/>
    <n v="1258"/>
  </r>
  <r>
    <x v="10"/>
    <x v="5"/>
    <s v="State-9"/>
    <x v="0"/>
    <m/>
    <m/>
    <n v="28446"/>
  </r>
  <r>
    <x v="10"/>
    <x v="5"/>
    <s v="State-9"/>
    <x v="38"/>
    <s v="48"/>
    <s v="Republican"/>
    <n v="20982"/>
  </r>
  <r>
    <x v="10"/>
    <x v="5"/>
    <s v="State-9"/>
    <x v="39"/>
    <s v="46"/>
    <s v="Constitution"/>
    <n v="1478"/>
  </r>
  <r>
    <x v="10"/>
    <x v="5"/>
    <s v="State-9"/>
    <x v="40"/>
    <s v="47"/>
    <s v="Democratic"/>
    <n v="4427"/>
  </r>
  <r>
    <x v="10"/>
    <x v="5"/>
    <s v="State-9"/>
    <x v="16"/>
    <m/>
    <m/>
    <n v="2"/>
  </r>
  <r>
    <x v="10"/>
    <x v="5"/>
    <s v="State-9"/>
    <x v="17"/>
    <m/>
    <m/>
    <n v="1557"/>
  </r>
  <r>
    <x v="10"/>
    <x v="6"/>
    <s v="State-10"/>
    <x v="0"/>
    <m/>
    <m/>
    <n v="28446"/>
  </r>
  <r>
    <x v="10"/>
    <x v="6"/>
    <s v="State-10"/>
    <x v="41"/>
    <s v="49"/>
    <s v="Utah Forward"/>
    <n v="1002"/>
  </r>
  <r>
    <x v="10"/>
    <x v="6"/>
    <s v="State-10"/>
    <x v="42"/>
    <s v="50"/>
    <s v="Republican"/>
    <n v="21377"/>
  </r>
  <r>
    <x v="10"/>
    <x v="6"/>
    <s v="State-10"/>
    <x v="43"/>
    <s v="51"/>
    <s v="Democratic"/>
    <n v="4227"/>
  </r>
  <r>
    <x v="10"/>
    <x v="6"/>
    <s v="State-10"/>
    <x v="16"/>
    <m/>
    <m/>
    <n v="1"/>
  </r>
  <r>
    <x v="10"/>
    <x v="6"/>
    <s v="State-10"/>
    <x v="17"/>
    <m/>
    <m/>
    <n v="1839"/>
  </r>
  <r>
    <x v="10"/>
    <x v="7"/>
    <s v="State-95"/>
    <x v="0"/>
    <m/>
    <m/>
    <n v="7357"/>
  </r>
  <r>
    <x v="10"/>
    <x v="7"/>
    <s v="State-95"/>
    <x v="44"/>
    <s v="208"/>
    <s v="Republican"/>
    <n v="6041"/>
  </r>
  <r>
    <x v="10"/>
    <x v="7"/>
    <s v="State-95"/>
    <x v="45"/>
    <s v="209"/>
    <s v="United Utah Party"/>
    <n v="606"/>
  </r>
  <r>
    <x v="10"/>
    <x v="7"/>
    <s v="State-95"/>
    <x v="16"/>
    <m/>
    <m/>
    <n v="1"/>
  </r>
  <r>
    <x v="10"/>
    <x v="7"/>
    <s v="State-95"/>
    <x v="17"/>
    <m/>
    <m/>
    <n v="709"/>
  </r>
  <r>
    <x v="10"/>
    <x v="54"/>
    <s v="State-96"/>
    <x v="0"/>
    <m/>
    <m/>
    <n v="21089"/>
  </r>
  <r>
    <x v="10"/>
    <x v="54"/>
    <s v="State-96"/>
    <x v="104"/>
    <s v="211"/>
    <s v="Democratic"/>
    <n v="4322"/>
  </r>
  <r>
    <x v="10"/>
    <x v="54"/>
    <s v="State-96"/>
    <x v="105"/>
    <s v="210"/>
    <s v="Republican"/>
    <n v="15413"/>
  </r>
  <r>
    <x v="10"/>
    <x v="54"/>
    <s v="State-96"/>
    <x v="16"/>
    <m/>
    <m/>
    <n v="1"/>
  </r>
  <r>
    <x v="10"/>
    <x v="54"/>
    <s v="State-96"/>
    <x v="17"/>
    <m/>
    <m/>
    <n v="1353"/>
  </r>
  <r>
    <x v="10"/>
    <x v="53"/>
    <s v="State-108"/>
    <x v="0"/>
    <m/>
    <m/>
    <n v="1179"/>
  </r>
  <r>
    <x v="10"/>
    <x v="53"/>
    <s v="State-108"/>
    <x v="103"/>
    <s v="230"/>
    <s v="Republican"/>
    <n v="968"/>
  </r>
  <r>
    <x v="10"/>
    <x v="53"/>
    <s v="State-108"/>
    <x v="16"/>
    <m/>
    <m/>
    <n v="0"/>
  </r>
  <r>
    <x v="10"/>
    <x v="53"/>
    <s v="State-108"/>
    <x v="17"/>
    <m/>
    <m/>
    <n v="211"/>
  </r>
  <r>
    <x v="10"/>
    <x v="8"/>
    <s v="State-109"/>
    <x v="0"/>
    <m/>
    <m/>
    <n v="28446"/>
  </r>
  <r>
    <x v="10"/>
    <x v="8"/>
    <s v="State-109"/>
    <x v="46"/>
    <s v="232"/>
    <m/>
    <n v="19288"/>
  </r>
  <r>
    <x v="10"/>
    <x v="8"/>
    <s v="State-109"/>
    <x v="47"/>
    <s v="231"/>
    <m/>
    <n v="4070"/>
  </r>
  <r>
    <x v="10"/>
    <x v="8"/>
    <s v="State-109"/>
    <x v="16"/>
    <m/>
    <m/>
    <n v="12"/>
  </r>
  <r>
    <x v="10"/>
    <x v="8"/>
    <s v="State-109"/>
    <x v="17"/>
    <m/>
    <m/>
    <n v="5076"/>
  </r>
  <r>
    <x v="10"/>
    <x v="9"/>
    <s v="State-110"/>
    <x v="0"/>
    <m/>
    <m/>
    <n v="28446"/>
  </r>
  <r>
    <x v="10"/>
    <x v="9"/>
    <s v="State-110"/>
    <x v="46"/>
    <s v="233"/>
    <m/>
    <n v="19169"/>
  </r>
  <r>
    <x v="10"/>
    <x v="9"/>
    <s v="State-110"/>
    <x v="47"/>
    <s v="234"/>
    <m/>
    <n v="3936"/>
  </r>
  <r>
    <x v="10"/>
    <x v="9"/>
    <s v="State-110"/>
    <x v="16"/>
    <m/>
    <m/>
    <n v="10"/>
  </r>
  <r>
    <x v="10"/>
    <x v="9"/>
    <s v="State-110"/>
    <x v="17"/>
    <m/>
    <m/>
    <n v="5331"/>
  </r>
  <r>
    <x v="10"/>
    <x v="10"/>
    <s v="State-132"/>
    <x v="0"/>
    <m/>
    <m/>
    <n v="28446"/>
  </r>
  <r>
    <x v="10"/>
    <x v="10"/>
    <s v="State-132"/>
    <x v="46"/>
    <s v="277"/>
    <m/>
    <n v="19690"/>
  </r>
  <r>
    <x v="10"/>
    <x v="10"/>
    <s v="State-132"/>
    <x v="47"/>
    <s v="278"/>
    <m/>
    <n v="3821"/>
  </r>
  <r>
    <x v="10"/>
    <x v="10"/>
    <s v="State-132"/>
    <x v="16"/>
    <m/>
    <m/>
    <n v="11"/>
  </r>
  <r>
    <x v="10"/>
    <x v="10"/>
    <s v="State-132"/>
    <x v="17"/>
    <m/>
    <m/>
    <n v="4924"/>
  </r>
  <r>
    <x v="10"/>
    <x v="11"/>
    <s v="State-143"/>
    <x v="0"/>
    <m/>
    <m/>
    <n v="28446"/>
  </r>
  <r>
    <x v="10"/>
    <x v="11"/>
    <s v="State-143"/>
    <x v="46"/>
    <s v="299"/>
    <m/>
    <n v="19360"/>
  </r>
  <r>
    <x v="10"/>
    <x v="11"/>
    <s v="State-143"/>
    <x v="47"/>
    <s v="300"/>
    <m/>
    <n v="3941"/>
  </r>
  <r>
    <x v="10"/>
    <x v="11"/>
    <s v="State-143"/>
    <x v="16"/>
    <m/>
    <m/>
    <n v="4"/>
  </r>
  <r>
    <x v="10"/>
    <x v="11"/>
    <s v="State-143"/>
    <x v="17"/>
    <m/>
    <m/>
    <n v="5141"/>
  </r>
  <r>
    <x v="10"/>
    <x v="12"/>
    <s v="State-145"/>
    <x v="0"/>
    <m/>
    <m/>
    <n v="28446"/>
  </r>
  <r>
    <x v="10"/>
    <x v="12"/>
    <s v="State-145"/>
    <x v="48"/>
    <s v="303"/>
    <m/>
    <n v="17278"/>
  </r>
  <r>
    <x v="10"/>
    <x v="12"/>
    <s v="State-145"/>
    <x v="49"/>
    <s v="304"/>
    <m/>
    <n v="9031"/>
  </r>
  <r>
    <x v="10"/>
    <x v="12"/>
    <s v="State-145"/>
    <x v="16"/>
    <m/>
    <m/>
    <n v="5"/>
  </r>
  <r>
    <x v="10"/>
    <x v="12"/>
    <s v="State-145"/>
    <x v="17"/>
    <m/>
    <m/>
    <n v="2132"/>
  </r>
  <r>
    <x v="10"/>
    <x v="13"/>
    <s v="State-146"/>
    <x v="0"/>
    <m/>
    <m/>
    <n v="28446"/>
  </r>
  <r>
    <x v="10"/>
    <x v="13"/>
    <s v="State-146"/>
    <x v="48"/>
    <s v="305"/>
    <m/>
    <n v="22917"/>
  </r>
  <r>
    <x v="10"/>
    <x v="13"/>
    <s v="State-146"/>
    <x v="49"/>
    <s v="306"/>
    <m/>
    <n v="3602"/>
  </r>
  <r>
    <x v="10"/>
    <x v="13"/>
    <s v="State-146"/>
    <x v="16"/>
    <m/>
    <m/>
    <n v="3"/>
  </r>
  <r>
    <x v="10"/>
    <x v="13"/>
    <s v="State-146"/>
    <x v="17"/>
    <m/>
    <m/>
    <n v="1924"/>
  </r>
  <r>
    <x v="11"/>
    <x v="0"/>
    <s v="State-1"/>
    <x v="0"/>
    <m/>
    <m/>
    <n v="6616"/>
  </r>
  <r>
    <x v="11"/>
    <x v="0"/>
    <s v="State-1"/>
    <x v="1"/>
    <s v="9"/>
    <s v="Unaffiliated"/>
    <n v="4"/>
  </r>
  <r>
    <x v="11"/>
    <x v="0"/>
    <s v="State-1"/>
    <x v="2"/>
    <s v="3"/>
    <s v="Unaffiliated"/>
    <n v="10"/>
  </r>
  <r>
    <x v="11"/>
    <x v="0"/>
    <s v="State-1"/>
    <x v="3"/>
    <s v="13"/>
    <s v="Constitution"/>
    <n v="44"/>
  </r>
  <r>
    <x v="11"/>
    <x v="0"/>
    <s v="State-1"/>
    <x v="4"/>
    <s v="8"/>
    <s v="Green"/>
    <n v="10"/>
  </r>
  <r>
    <x v="11"/>
    <x v="0"/>
    <s v="State-1"/>
    <x v="5"/>
    <s v="5"/>
    <s v="Republican"/>
    <n v="5671"/>
  </r>
  <r>
    <x v="11"/>
    <x v="0"/>
    <s v="State-1"/>
    <x v="6"/>
    <s v="10"/>
    <s v="Libertarian"/>
    <n v="39"/>
  </r>
  <r>
    <x v="11"/>
    <x v="0"/>
    <s v="State-1"/>
    <x v="7"/>
    <s v="4"/>
    <s v="Democratic"/>
    <n v="734"/>
  </r>
  <r>
    <x v="11"/>
    <x v="0"/>
    <s v="State-1"/>
    <x v="8"/>
    <s v="15"/>
    <s v="Unaffiliated"/>
    <n v="6"/>
  </r>
  <r>
    <x v="11"/>
    <x v="0"/>
    <s v="State-1"/>
    <x v="9"/>
    <s v="1"/>
    <s v="Unaffiliated"/>
    <n v="0"/>
  </r>
  <r>
    <x v="11"/>
    <x v="0"/>
    <s v="State-1"/>
    <x v="10"/>
    <s v="2"/>
    <s v="Unaffiliated"/>
    <n v="0"/>
  </r>
  <r>
    <x v="11"/>
    <x v="0"/>
    <s v="State-1"/>
    <x v="11"/>
    <s v="6"/>
    <s v="Unaffiliated"/>
    <n v="0"/>
  </r>
  <r>
    <x v="11"/>
    <x v="0"/>
    <s v="State-1"/>
    <x v="12"/>
    <s v="7"/>
    <s v="Unaffiliated"/>
    <n v="0"/>
  </r>
  <r>
    <x v="11"/>
    <x v="0"/>
    <s v="State-1"/>
    <x v="13"/>
    <s v="11"/>
    <s v="Unaffiliated"/>
    <n v="0"/>
  </r>
  <r>
    <x v="11"/>
    <x v="0"/>
    <s v="State-1"/>
    <x v="14"/>
    <s v="12"/>
    <s v="Unaffiliated"/>
    <n v="0"/>
  </r>
  <r>
    <x v="11"/>
    <x v="0"/>
    <s v="State-1"/>
    <x v="15"/>
    <s v="14"/>
    <s v="Unaffiliated"/>
    <n v="0"/>
  </r>
  <r>
    <x v="11"/>
    <x v="0"/>
    <s v="State-1"/>
    <x v="16"/>
    <m/>
    <m/>
    <n v="3"/>
  </r>
  <r>
    <x v="11"/>
    <x v="0"/>
    <s v="State-1"/>
    <x v="17"/>
    <m/>
    <m/>
    <n v="35"/>
  </r>
  <r>
    <x v="11"/>
    <x v="1"/>
    <s v="State-2"/>
    <x v="0"/>
    <m/>
    <m/>
    <n v="6616"/>
  </r>
  <r>
    <x v="11"/>
    <x v="1"/>
    <s v="State-2"/>
    <x v="18"/>
    <s v="19"/>
    <s v="Independent American"/>
    <n v="542"/>
  </r>
  <r>
    <x v="11"/>
    <x v="1"/>
    <s v="State-2"/>
    <x v="19"/>
    <s v="18"/>
    <s v="Republican"/>
    <n v="5222"/>
  </r>
  <r>
    <x v="11"/>
    <x v="1"/>
    <s v="State-2"/>
    <x v="20"/>
    <s v="17"/>
    <s v="Democratic"/>
    <n v="594"/>
  </r>
  <r>
    <x v="11"/>
    <x v="1"/>
    <s v="State-2"/>
    <x v="21"/>
    <s v="16"/>
    <s v="Unaffiliated"/>
    <n v="1"/>
  </r>
  <r>
    <x v="11"/>
    <x v="1"/>
    <s v="State-2"/>
    <x v="16"/>
    <m/>
    <m/>
    <n v="0"/>
  </r>
  <r>
    <x v="11"/>
    <x v="1"/>
    <s v="State-2"/>
    <x v="17"/>
    <m/>
    <m/>
    <n v="202"/>
  </r>
  <r>
    <x v="11"/>
    <x v="2"/>
    <s v="State-4"/>
    <x v="0"/>
    <m/>
    <m/>
    <n v="536"/>
  </r>
  <r>
    <x v="11"/>
    <x v="2"/>
    <s v="State-4"/>
    <x v="22"/>
    <s v="25"/>
    <s v="Democratic"/>
    <n v="90"/>
  </r>
  <r>
    <x v="11"/>
    <x v="2"/>
    <s v="State-4"/>
    <x v="23"/>
    <s v="26"/>
    <s v="Constitution"/>
    <n v="61"/>
  </r>
  <r>
    <x v="11"/>
    <x v="2"/>
    <s v="State-4"/>
    <x v="24"/>
    <s v="24"/>
    <s v="Republican"/>
    <n v="336"/>
  </r>
  <r>
    <x v="11"/>
    <x v="2"/>
    <s v="State-4"/>
    <x v="25"/>
    <s v="23"/>
    <s v="Unaffiliated"/>
    <n v="16"/>
  </r>
  <r>
    <x v="11"/>
    <x v="2"/>
    <s v="State-4"/>
    <x v="16"/>
    <m/>
    <m/>
    <n v="0"/>
  </r>
  <r>
    <x v="11"/>
    <x v="2"/>
    <s v="State-4"/>
    <x v="17"/>
    <m/>
    <m/>
    <n v="33"/>
  </r>
  <r>
    <x v="11"/>
    <x v="55"/>
    <s v="State-6"/>
    <x v="0"/>
    <m/>
    <m/>
    <n v="6080"/>
  </r>
  <r>
    <x v="11"/>
    <x v="55"/>
    <s v="State-6"/>
    <x v="106"/>
    <s v="32"/>
    <s v="Unaffiliated"/>
    <n v="64"/>
  </r>
  <r>
    <x v="11"/>
    <x v="55"/>
    <s v="State-6"/>
    <x v="107"/>
    <s v="29"/>
    <s v="United Utah Party"/>
    <n v="155"/>
  </r>
  <r>
    <x v="11"/>
    <x v="55"/>
    <s v="State-6"/>
    <x v="108"/>
    <s v="31"/>
    <s v="Democratic"/>
    <n v="472"/>
  </r>
  <r>
    <x v="11"/>
    <x v="55"/>
    <s v="State-6"/>
    <x v="109"/>
    <s v="30"/>
    <s v="Republican"/>
    <n v="5160"/>
  </r>
  <r>
    <x v="11"/>
    <x v="55"/>
    <s v="State-6"/>
    <x v="16"/>
    <m/>
    <m/>
    <n v="1"/>
  </r>
  <r>
    <x v="11"/>
    <x v="55"/>
    <s v="State-6"/>
    <x v="17"/>
    <m/>
    <m/>
    <n v="228"/>
  </r>
  <r>
    <x v="11"/>
    <x v="3"/>
    <s v="State-7"/>
    <x v="0"/>
    <m/>
    <m/>
    <n v="6615"/>
  </r>
  <r>
    <x v="11"/>
    <x v="3"/>
    <s v="State-7"/>
    <x v="26"/>
    <s v="36"/>
    <s v="Republican"/>
    <n v="3821"/>
  </r>
  <r>
    <x v="11"/>
    <x v="3"/>
    <s v="State-7"/>
    <x v="27"/>
    <s v="40"/>
    <s v="Independent American"/>
    <n v="177"/>
  </r>
  <r>
    <x v="11"/>
    <x v="3"/>
    <s v="State-7"/>
    <x v="28"/>
    <s v="34"/>
    <s v="Democratic"/>
    <n v="491"/>
  </r>
  <r>
    <x v="11"/>
    <x v="3"/>
    <s v="State-7"/>
    <x v="29"/>
    <s v="33"/>
    <s v="Libertarian"/>
    <n v="160"/>
  </r>
  <r>
    <x v="11"/>
    <x v="3"/>
    <s v="State-7"/>
    <x v="30"/>
    <s v="39"/>
    <s v="Unaffiliated"/>
    <n v="46"/>
  </r>
  <r>
    <x v="11"/>
    <x v="3"/>
    <s v="State-7"/>
    <x v="31"/>
    <s v="37"/>
    <s v="Unaffiliated"/>
    <n v="1697"/>
  </r>
  <r>
    <x v="11"/>
    <x v="3"/>
    <s v="State-7"/>
    <x v="32"/>
    <s v="38"/>
    <s v="Unaffiliated"/>
    <n v="0"/>
  </r>
  <r>
    <x v="11"/>
    <x v="3"/>
    <s v="State-7"/>
    <x v="16"/>
    <m/>
    <m/>
    <n v="0"/>
  </r>
  <r>
    <x v="11"/>
    <x v="3"/>
    <s v="State-7"/>
    <x v="17"/>
    <m/>
    <m/>
    <n v="190"/>
  </r>
  <r>
    <x v="11"/>
    <x v="4"/>
    <s v="State-8"/>
    <x v="0"/>
    <m/>
    <m/>
    <n v="6615"/>
  </r>
  <r>
    <x v="11"/>
    <x v="4"/>
    <s v="State-8"/>
    <x v="33"/>
    <s v="45"/>
    <s v="Republican"/>
    <n v="5032"/>
  </r>
  <r>
    <x v="11"/>
    <x v="4"/>
    <s v="State-8"/>
    <x v="34"/>
    <s v="41"/>
    <s v="Democratic"/>
    <n v="535"/>
  </r>
  <r>
    <x v="11"/>
    <x v="4"/>
    <s v="State-8"/>
    <x v="35"/>
    <s v="42"/>
    <s v="Libertarian"/>
    <n v="209"/>
  </r>
  <r>
    <x v="11"/>
    <x v="4"/>
    <s v="State-8"/>
    <x v="36"/>
    <s v="43"/>
    <s v="Unaffiliated"/>
    <n v="354"/>
  </r>
  <r>
    <x v="11"/>
    <x v="4"/>
    <s v="State-8"/>
    <x v="37"/>
    <s v="44"/>
    <s v="United Utah Party"/>
    <n v="211"/>
  </r>
  <r>
    <x v="11"/>
    <x v="4"/>
    <s v="State-8"/>
    <x v="16"/>
    <m/>
    <m/>
    <n v="0"/>
  </r>
  <r>
    <x v="11"/>
    <x v="4"/>
    <s v="State-8"/>
    <x v="17"/>
    <m/>
    <m/>
    <n v="274"/>
  </r>
  <r>
    <x v="11"/>
    <x v="5"/>
    <s v="State-9"/>
    <x v="0"/>
    <m/>
    <m/>
    <n v="6615"/>
  </r>
  <r>
    <x v="11"/>
    <x v="5"/>
    <s v="State-9"/>
    <x v="38"/>
    <s v="48"/>
    <s v="Republican"/>
    <n v="5271"/>
  </r>
  <r>
    <x v="11"/>
    <x v="5"/>
    <s v="State-9"/>
    <x v="39"/>
    <s v="46"/>
    <s v="Constitution"/>
    <n v="412"/>
  </r>
  <r>
    <x v="11"/>
    <x v="5"/>
    <s v="State-9"/>
    <x v="40"/>
    <s v="47"/>
    <s v="Democratic"/>
    <n v="576"/>
  </r>
  <r>
    <x v="11"/>
    <x v="5"/>
    <s v="State-9"/>
    <x v="16"/>
    <m/>
    <m/>
    <n v="0"/>
  </r>
  <r>
    <x v="11"/>
    <x v="5"/>
    <s v="State-9"/>
    <x v="17"/>
    <m/>
    <m/>
    <n v="356"/>
  </r>
  <r>
    <x v="11"/>
    <x v="6"/>
    <s v="State-10"/>
    <x v="0"/>
    <m/>
    <m/>
    <n v="6615"/>
  </r>
  <r>
    <x v="11"/>
    <x v="6"/>
    <s v="State-10"/>
    <x v="41"/>
    <s v="49"/>
    <s v="Utah Forward"/>
    <n v="189"/>
  </r>
  <r>
    <x v="11"/>
    <x v="6"/>
    <s v="State-10"/>
    <x v="42"/>
    <s v="50"/>
    <s v="Republican"/>
    <n v="5315"/>
  </r>
  <r>
    <x v="11"/>
    <x v="6"/>
    <s v="State-10"/>
    <x v="43"/>
    <s v="51"/>
    <s v="Democratic"/>
    <n v="601"/>
  </r>
  <r>
    <x v="11"/>
    <x v="6"/>
    <s v="State-10"/>
    <x v="16"/>
    <m/>
    <m/>
    <n v="0"/>
  </r>
  <r>
    <x v="11"/>
    <x v="6"/>
    <s v="State-10"/>
    <x v="17"/>
    <m/>
    <m/>
    <n v="510"/>
  </r>
  <r>
    <x v="11"/>
    <x v="52"/>
    <s v="State-24"/>
    <x v="0"/>
    <m/>
    <m/>
    <n v="6504"/>
  </r>
  <r>
    <x v="11"/>
    <x v="52"/>
    <s v="State-24"/>
    <x v="102"/>
    <s v="79"/>
    <s v="Republican"/>
    <n v="5465"/>
  </r>
  <r>
    <x v="11"/>
    <x v="52"/>
    <s v="State-24"/>
    <x v="16"/>
    <m/>
    <m/>
    <n v="0"/>
  </r>
  <r>
    <x v="11"/>
    <x v="52"/>
    <s v="State-24"/>
    <x v="17"/>
    <m/>
    <m/>
    <n v="1039"/>
  </r>
  <r>
    <x v="11"/>
    <x v="56"/>
    <s v="State-54"/>
    <x v="0"/>
    <m/>
    <m/>
    <n v="113"/>
  </r>
  <r>
    <x v="11"/>
    <x v="56"/>
    <s v="State-54"/>
    <x v="110"/>
    <s v="135"/>
    <s v="Republican"/>
    <n v="85"/>
  </r>
  <r>
    <x v="11"/>
    <x v="56"/>
    <s v="State-54"/>
    <x v="111"/>
    <s v="136"/>
    <s v="Democratic"/>
    <n v="16"/>
  </r>
  <r>
    <x v="11"/>
    <x v="56"/>
    <s v="State-54"/>
    <x v="16"/>
    <m/>
    <m/>
    <n v="0"/>
  </r>
  <r>
    <x v="11"/>
    <x v="56"/>
    <s v="State-54"/>
    <x v="17"/>
    <m/>
    <m/>
    <n v="12"/>
  </r>
  <r>
    <x v="11"/>
    <x v="57"/>
    <s v="State-91"/>
    <x v="0"/>
    <m/>
    <m/>
    <n v="6502"/>
  </r>
  <r>
    <x v="11"/>
    <x v="57"/>
    <s v="State-91"/>
    <x v="112"/>
    <s v="202"/>
    <s v="Republican"/>
    <n v="5280"/>
  </r>
  <r>
    <x v="11"/>
    <x v="57"/>
    <s v="State-91"/>
    <x v="16"/>
    <m/>
    <m/>
    <n v="0"/>
  </r>
  <r>
    <x v="11"/>
    <x v="57"/>
    <s v="State-91"/>
    <x v="17"/>
    <m/>
    <m/>
    <n v="1222"/>
  </r>
  <r>
    <x v="11"/>
    <x v="8"/>
    <s v="State-109"/>
    <x v="0"/>
    <m/>
    <m/>
    <n v="6615"/>
  </r>
  <r>
    <x v="11"/>
    <x v="8"/>
    <s v="State-109"/>
    <x v="46"/>
    <s v="232"/>
    <m/>
    <n v="4264"/>
  </r>
  <r>
    <x v="11"/>
    <x v="8"/>
    <s v="State-109"/>
    <x v="47"/>
    <s v="231"/>
    <m/>
    <n v="1051"/>
  </r>
  <r>
    <x v="11"/>
    <x v="8"/>
    <s v="State-109"/>
    <x v="16"/>
    <m/>
    <m/>
    <n v="3"/>
  </r>
  <r>
    <x v="11"/>
    <x v="8"/>
    <s v="State-109"/>
    <x v="17"/>
    <m/>
    <m/>
    <n v="1297"/>
  </r>
  <r>
    <x v="11"/>
    <x v="9"/>
    <s v="State-110"/>
    <x v="0"/>
    <m/>
    <m/>
    <n v="6615"/>
  </r>
  <r>
    <x v="11"/>
    <x v="9"/>
    <s v="State-110"/>
    <x v="46"/>
    <s v="233"/>
    <m/>
    <n v="4225"/>
  </r>
  <r>
    <x v="11"/>
    <x v="9"/>
    <s v="State-110"/>
    <x v="47"/>
    <s v="234"/>
    <m/>
    <n v="1066"/>
  </r>
  <r>
    <x v="11"/>
    <x v="9"/>
    <s v="State-110"/>
    <x v="16"/>
    <m/>
    <m/>
    <n v="0"/>
  </r>
  <r>
    <x v="11"/>
    <x v="9"/>
    <s v="State-110"/>
    <x v="17"/>
    <m/>
    <m/>
    <n v="1324"/>
  </r>
  <r>
    <x v="11"/>
    <x v="58"/>
    <s v="State-126"/>
    <x v="0"/>
    <m/>
    <m/>
    <n v="6615"/>
  </r>
  <r>
    <x v="11"/>
    <x v="58"/>
    <s v="State-126"/>
    <x v="46"/>
    <s v="265"/>
    <m/>
    <n v="4171"/>
  </r>
  <r>
    <x v="11"/>
    <x v="58"/>
    <s v="State-126"/>
    <x v="47"/>
    <s v="266"/>
    <m/>
    <n v="1154"/>
  </r>
  <r>
    <x v="11"/>
    <x v="58"/>
    <s v="State-126"/>
    <x v="16"/>
    <m/>
    <m/>
    <n v="0"/>
  </r>
  <r>
    <x v="11"/>
    <x v="58"/>
    <s v="State-126"/>
    <x v="17"/>
    <m/>
    <m/>
    <n v="1290"/>
  </r>
  <r>
    <x v="11"/>
    <x v="59"/>
    <s v="State-127"/>
    <x v="0"/>
    <m/>
    <m/>
    <n v="6615"/>
  </r>
  <r>
    <x v="11"/>
    <x v="59"/>
    <s v="State-127"/>
    <x v="46"/>
    <s v="267"/>
    <m/>
    <n v="4244"/>
  </r>
  <r>
    <x v="11"/>
    <x v="59"/>
    <s v="State-127"/>
    <x v="47"/>
    <s v="268"/>
    <m/>
    <n v="1092"/>
  </r>
  <r>
    <x v="11"/>
    <x v="59"/>
    <s v="State-127"/>
    <x v="16"/>
    <m/>
    <m/>
    <n v="4"/>
  </r>
  <r>
    <x v="11"/>
    <x v="59"/>
    <s v="State-127"/>
    <x v="17"/>
    <m/>
    <m/>
    <n v="1275"/>
  </r>
  <r>
    <x v="11"/>
    <x v="60"/>
    <s v="State-128"/>
    <x v="0"/>
    <m/>
    <m/>
    <n v="6615"/>
  </r>
  <r>
    <x v="11"/>
    <x v="60"/>
    <s v="State-128"/>
    <x v="46"/>
    <s v="270"/>
    <m/>
    <n v="4252"/>
  </r>
  <r>
    <x v="11"/>
    <x v="60"/>
    <s v="State-128"/>
    <x v="47"/>
    <s v="269"/>
    <m/>
    <n v="1069"/>
  </r>
  <r>
    <x v="11"/>
    <x v="60"/>
    <s v="State-128"/>
    <x v="16"/>
    <m/>
    <m/>
    <n v="3"/>
  </r>
  <r>
    <x v="11"/>
    <x v="60"/>
    <s v="State-128"/>
    <x v="17"/>
    <m/>
    <m/>
    <n v="1291"/>
  </r>
  <r>
    <x v="11"/>
    <x v="61"/>
    <s v="State-129"/>
    <x v="0"/>
    <m/>
    <m/>
    <n v="6615"/>
  </r>
  <r>
    <x v="11"/>
    <x v="61"/>
    <s v="State-129"/>
    <x v="46"/>
    <s v="271"/>
    <m/>
    <n v="4204"/>
  </r>
  <r>
    <x v="11"/>
    <x v="61"/>
    <s v="State-129"/>
    <x v="47"/>
    <s v="272"/>
    <m/>
    <n v="1109"/>
  </r>
  <r>
    <x v="11"/>
    <x v="61"/>
    <s v="State-129"/>
    <x v="16"/>
    <m/>
    <m/>
    <n v="0"/>
  </r>
  <r>
    <x v="11"/>
    <x v="61"/>
    <s v="State-129"/>
    <x v="17"/>
    <m/>
    <m/>
    <n v="1302"/>
  </r>
  <r>
    <x v="11"/>
    <x v="62"/>
    <s v="State-130"/>
    <x v="0"/>
    <m/>
    <m/>
    <n v="6615"/>
  </r>
  <r>
    <x v="11"/>
    <x v="62"/>
    <s v="State-130"/>
    <x v="46"/>
    <s v="273"/>
    <m/>
    <n v="4211"/>
  </r>
  <r>
    <x v="11"/>
    <x v="62"/>
    <s v="State-130"/>
    <x v="47"/>
    <s v="274"/>
    <m/>
    <n v="1100"/>
  </r>
  <r>
    <x v="11"/>
    <x v="62"/>
    <s v="State-130"/>
    <x v="16"/>
    <m/>
    <m/>
    <n v="2"/>
  </r>
  <r>
    <x v="11"/>
    <x v="62"/>
    <s v="State-130"/>
    <x v="17"/>
    <m/>
    <m/>
    <n v="1302"/>
  </r>
  <r>
    <x v="11"/>
    <x v="63"/>
    <s v="State-131"/>
    <x v="0"/>
    <m/>
    <m/>
    <n v="6615"/>
  </r>
  <r>
    <x v="11"/>
    <x v="63"/>
    <s v="State-131"/>
    <x v="46"/>
    <s v="275"/>
    <m/>
    <n v="4069"/>
  </r>
  <r>
    <x v="11"/>
    <x v="63"/>
    <s v="State-131"/>
    <x v="47"/>
    <s v="276"/>
    <m/>
    <n v="1244"/>
  </r>
  <r>
    <x v="11"/>
    <x v="63"/>
    <s v="State-131"/>
    <x v="16"/>
    <m/>
    <m/>
    <n v="0"/>
  </r>
  <r>
    <x v="11"/>
    <x v="63"/>
    <s v="State-131"/>
    <x v="17"/>
    <m/>
    <m/>
    <n v="1302"/>
  </r>
  <r>
    <x v="11"/>
    <x v="64"/>
    <s v="State-142"/>
    <x v="0"/>
    <m/>
    <m/>
    <n v="6615"/>
  </r>
  <r>
    <x v="11"/>
    <x v="64"/>
    <s v="State-142"/>
    <x v="46"/>
    <s v="297"/>
    <m/>
    <n v="4268"/>
  </r>
  <r>
    <x v="11"/>
    <x v="64"/>
    <s v="State-142"/>
    <x v="47"/>
    <s v="298"/>
    <m/>
    <n v="1084"/>
  </r>
  <r>
    <x v="11"/>
    <x v="64"/>
    <s v="State-142"/>
    <x v="16"/>
    <m/>
    <m/>
    <n v="0"/>
  </r>
  <r>
    <x v="11"/>
    <x v="64"/>
    <s v="State-142"/>
    <x v="17"/>
    <m/>
    <m/>
    <n v="1263"/>
  </r>
  <r>
    <x v="11"/>
    <x v="12"/>
    <s v="State-145"/>
    <x v="0"/>
    <m/>
    <m/>
    <n v="6615"/>
  </r>
  <r>
    <x v="11"/>
    <x v="12"/>
    <s v="State-145"/>
    <x v="48"/>
    <s v="303"/>
    <m/>
    <n v="3580"/>
  </r>
  <r>
    <x v="11"/>
    <x v="12"/>
    <s v="State-145"/>
    <x v="49"/>
    <s v="304"/>
    <m/>
    <n v="2465"/>
  </r>
  <r>
    <x v="11"/>
    <x v="12"/>
    <s v="State-145"/>
    <x v="16"/>
    <m/>
    <m/>
    <n v="2"/>
  </r>
  <r>
    <x v="11"/>
    <x v="12"/>
    <s v="State-145"/>
    <x v="17"/>
    <m/>
    <m/>
    <n v="568"/>
  </r>
  <r>
    <x v="11"/>
    <x v="13"/>
    <s v="State-146"/>
    <x v="0"/>
    <m/>
    <m/>
    <n v="6615"/>
  </r>
  <r>
    <x v="11"/>
    <x v="13"/>
    <s v="State-146"/>
    <x v="48"/>
    <s v="305"/>
    <m/>
    <n v="5348"/>
  </r>
  <r>
    <x v="11"/>
    <x v="13"/>
    <s v="State-146"/>
    <x v="49"/>
    <s v="306"/>
    <m/>
    <n v="780"/>
  </r>
  <r>
    <x v="11"/>
    <x v="13"/>
    <s v="State-146"/>
    <x v="16"/>
    <m/>
    <m/>
    <n v="0"/>
  </r>
  <r>
    <x v="11"/>
    <x v="13"/>
    <s v="State-146"/>
    <x v="17"/>
    <m/>
    <m/>
    <n v="487"/>
  </r>
  <r>
    <x v="12"/>
    <x v="0"/>
    <s v="State-1"/>
    <x v="0"/>
    <m/>
    <m/>
    <n v="4560"/>
  </r>
  <r>
    <x v="12"/>
    <x v="0"/>
    <s v="State-1"/>
    <x v="1"/>
    <s v="9"/>
    <s v="Unaffiliated"/>
    <n v="6"/>
  </r>
  <r>
    <x v="12"/>
    <x v="0"/>
    <s v="State-1"/>
    <x v="2"/>
    <s v="3"/>
    <s v="Unaffiliated"/>
    <n v="3"/>
  </r>
  <r>
    <x v="12"/>
    <x v="0"/>
    <s v="State-1"/>
    <x v="3"/>
    <s v="13"/>
    <s v="Constitution"/>
    <n v="16"/>
  </r>
  <r>
    <x v="12"/>
    <x v="0"/>
    <s v="State-1"/>
    <x v="4"/>
    <s v="8"/>
    <s v="Green"/>
    <n v="11"/>
  </r>
  <r>
    <x v="12"/>
    <x v="0"/>
    <s v="State-1"/>
    <x v="5"/>
    <s v="5"/>
    <s v="Republican"/>
    <n v="3277"/>
  </r>
  <r>
    <x v="12"/>
    <x v="0"/>
    <s v="State-1"/>
    <x v="6"/>
    <s v="10"/>
    <s v="Libertarian"/>
    <n v="32"/>
  </r>
  <r>
    <x v="12"/>
    <x v="0"/>
    <s v="State-1"/>
    <x v="7"/>
    <s v="4"/>
    <s v="Democratic"/>
    <n v="1137"/>
  </r>
  <r>
    <x v="12"/>
    <x v="0"/>
    <s v="State-1"/>
    <x v="8"/>
    <s v="15"/>
    <s v="Unaffiliated"/>
    <n v="4"/>
  </r>
  <r>
    <x v="12"/>
    <x v="0"/>
    <s v="State-1"/>
    <x v="9"/>
    <s v="1"/>
    <s v="Unaffiliated"/>
    <n v="0"/>
  </r>
  <r>
    <x v="12"/>
    <x v="0"/>
    <s v="State-1"/>
    <x v="10"/>
    <s v="2"/>
    <s v="Unaffiliated"/>
    <n v="2"/>
  </r>
  <r>
    <x v="12"/>
    <x v="0"/>
    <s v="State-1"/>
    <x v="11"/>
    <s v="6"/>
    <s v="Unaffiliated"/>
    <n v="0"/>
  </r>
  <r>
    <x v="12"/>
    <x v="0"/>
    <s v="State-1"/>
    <x v="12"/>
    <s v="7"/>
    <s v="Unaffiliated"/>
    <n v="0"/>
  </r>
  <r>
    <x v="12"/>
    <x v="0"/>
    <s v="State-1"/>
    <x v="13"/>
    <s v="11"/>
    <s v="Unaffiliated"/>
    <n v="0"/>
  </r>
  <r>
    <x v="12"/>
    <x v="0"/>
    <s v="State-1"/>
    <x v="14"/>
    <s v="12"/>
    <s v="Unaffiliated"/>
    <n v="0"/>
  </r>
  <r>
    <x v="12"/>
    <x v="0"/>
    <s v="State-1"/>
    <x v="15"/>
    <s v="14"/>
    <s v="Unaffiliated"/>
    <n v="0"/>
  </r>
  <r>
    <x v="12"/>
    <x v="0"/>
    <s v="State-1"/>
    <x v="16"/>
    <m/>
    <m/>
    <n v="2"/>
  </r>
  <r>
    <x v="12"/>
    <x v="0"/>
    <s v="State-1"/>
    <x v="17"/>
    <m/>
    <m/>
    <n v="42"/>
  </r>
  <r>
    <x v="12"/>
    <x v="1"/>
    <s v="State-2"/>
    <x v="0"/>
    <m/>
    <m/>
    <n v="4560"/>
  </r>
  <r>
    <x v="12"/>
    <x v="1"/>
    <s v="State-2"/>
    <x v="18"/>
    <s v="19"/>
    <s v="Independent American"/>
    <n v="240"/>
  </r>
  <r>
    <x v="12"/>
    <x v="1"/>
    <s v="State-2"/>
    <x v="19"/>
    <s v="18"/>
    <s v="Republican"/>
    <n v="3143"/>
  </r>
  <r>
    <x v="12"/>
    <x v="1"/>
    <s v="State-2"/>
    <x v="20"/>
    <s v="17"/>
    <s v="Democratic"/>
    <n v="1003"/>
  </r>
  <r>
    <x v="12"/>
    <x v="1"/>
    <s v="State-2"/>
    <x v="21"/>
    <s v="16"/>
    <s v="Unaffiliated"/>
    <n v="0"/>
  </r>
  <r>
    <x v="12"/>
    <x v="1"/>
    <s v="State-2"/>
    <x v="16"/>
    <m/>
    <m/>
    <n v="1"/>
  </r>
  <r>
    <x v="12"/>
    <x v="1"/>
    <s v="State-2"/>
    <x v="17"/>
    <m/>
    <m/>
    <n v="149"/>
  </r>
  <r>
    <x v="12"/>
    <x v="2"/>
    <s v="State-4"/>
    <x v="0"/>
    <m/>
    <m/>
    <n v="4560"/>
  </r>
  <r>
    <x v="12"/>
    <x v="2"/>
    <s v="State-4"/>
    <x v="22"/>
    <s v="25"/>
    <s v="Democratic"/>
    <n v="943"/>
  </r>
  <r>
    <x v="12"/>
    <x v="2"/>
    <s v="State-4"/>
    <x v="23"/>
    <s v="26"/>
    <s v="Constitution"/>
    <n v="208"/>
  </r>
  <r>
    <x v="12"/>
    <x v="2"/>
    <s v="State-4"/>
    <x v="24"/>
    <s v="24"/>
    <s v="Republican"/>
    <n v="3050"/>
  </r>
  <r>
    <x v="12"/>
    <x v="2"/>
    <s v="State-4"/>
    <x v="25"/>
    <s v="23"/>
    <s v="Unaffiliated"/>
    <n v="98"/>
  </r>
  <r>
    <x v="12"/>
    <x v="2"/>
    <s v="State-4"/>
    <x v="16"/>
    <m/>
    <m/>
    <n v="1"/>
  </r>
  <r>
    <x v="12"/>
    <x v="2"/>
    <s v="State-4"/>
    <x v="17"/>
    <m/>
    <m/>
    <n v="260"/>
  </r>
  <r>
    <x v="12"/>
    <x v="3"/>
    <s v="State-7"/>
    <x v="0"/>
    <m/>
    <m/>
    <n v="4560"/>
  </r>
  <r>
    <x v="12"/>
    <x v="3"/>
    <s v="State-7"/>
    <x v="26"/>
    <s v="36"/>
    <s v="Republican"/>
    <n v="2628"/>
  </r>
  <r>
    <x v="12"/>
    <x v="3"/>
    <s v="State-7"/>
    <x v="27"/>
    <s v="40"/>
    <s v="Independent American"/>
    <n v="64"/>
  </r>
  <r>
    <x v="12"/>
    <x v="3"/>
    <s v="State-7"/>
    <x v="28"/>
    <s v="34"/>
    <s v="Democratic"/>
    <n v="859"/>
  </r>
  <r>
    <x v="12"/>
    <x v="3"/>
    <s v="State-7"/>
    <x v="29"/>
    <s v="33"/>
    <s v="Libertarian"/>
    <n v="107"/>
  </r>
  <r>
    <x v="12"/>
    <x v="3"/>
    <s v="State-7"/>
    <x v="30"/>
    <s v="39"/>
    <s v="Unaffiliated"/>
    <n v="10"/>
  </r>
  <r>
    <x v="12"/>
    <x v="3"/>
    <s v="State-7"/>
    <x v="31"/>
    <s v="37"/>
    <s v="Unaffiliated"/>
    <n v="717"/>
  </r>
  <r>
    <x v="12"/>
    <x v="3"/>
    <s v="State-7"/>
    <x v="32"/>
    <s v="38"/>
    <s v="Unaffiliated"/>
    <n v="0"/>
  </r>
  <r>
    <x v="12"/>
    <x v="3"/>
    <s v="State-7"/>
    <x v="16"/>
    <m/>
    <m/>
    <n v="2"/>
  </r>
  <r>
    <x v="12"/>
    <x v="3"/>
    <s v="State-7"/>
    <x v="17"/>
    <m/>
    <m/>
    <n v="150"/>
  </r>
  <r>
    <x v="12"/>
    <x v="4"/>
    <s v="State-8"/>
    <x v="0"/>
    <m/>
    <m/>
    <n v="4560"/>
  </r>
  <r>
    <x v="12"/>
    <x v="4"/>
    <s v="State-8"/>
    <x v="33"/>
    <s v="45"/>
    <s v="Republican"/>
    <n v="3117"/>
  </r>
  <r>
    <x v="12"/>
    <x v="4"/>
    <s v="State-8"/>
    <x v="34"/>
    <s v="41"/>
    <s v="Democratic"/>
    <n v="900"/>
  </r>
  <r>
    <x v="12"/>
    <x v="4"/>
    <s v="State-8"/>
    <x v="35"/>
    <s v="42"/>
    <s v="Libertarian"/>
    <n v="98"/>
  </r>
  <r>
    <x v="12"/>
    <x v="4"/>
    <s v="State-8"/>
    <x v="36"/>
    <s v="43"/>
    <s v="Unaffiliated"/>
    <n v="104"/>
  </r>
  <r>
    <x v="12"/>
    <x v="4"/>
    <s v="State-8"/>
    <x v="37"/>
    <s v="44"/>
    <s v="United Utah Party"/>
    <n v="134"/>
  </r>
  <r>
    <x v="12"/>
    <x v="4"/>
    <s v="State-8"/>
    <x v="16"/>
    <m/>
    <m/>
    <n v="0"/>
  </r>
  <r>
    <x v="12"/>
    <x v="4"/>
    <s v="State-8"/>
    <x v="17"/>
    <m/>
    <m/>
    <n v="207"/>
  </r>
  <r>
    <x v="12"/>
    <x v="5"/>
    <s v="State-9"/>
    <x v="0"/>
    <m/>
    <m/>
    <n v="4560"/>
  </r>
  <r>
    <x v="12"/>
    <x v="5"/>
    <s v="State-9"/>
    <x v="38"/>
    <s v="48"/>
    <s v="Republican"/>
    <n v="3135"/>
  </r>
  <r>
    <x v="12"/>
    <x v="5"/>
    <s v="State-9"/>
    <x v="39"/>
    <s v="46"/>
    <s v="Constitution"/>
    <n v="132"/>
  </r>
  <r>
    <x v="12"/>
    <x v="5"/>
    <s v="State-9"/>
    <x v="40"/>
    <s v="47"/>
    <s v="Democratic"/>
    <n v="963"/>
  </r>
  <r>
    <x v="12"/>
    <x v="5"/>
    <s v="State-9"/>
    <x v="16"/>
    <m/>
    <m/>
    <n v="1"/>
  </r>
  <r>
    <x v="12"/>
    <x v="5"/>
    <s v="State-9"/>
    <x v="17"/>
    <m/>
    <m/>
    <n v="329"/>
  </r>
  <r>
    <x v="12"/>
    <x v="6"/>
    <s v="State-10"/>
    <x v="0"/>
    <m/>
    <m/>
    <n v="4560"/>
  </r>
  <r>
    <x v="12"/>
    <x v="6"/>
    <s v="State-10"/>
    <x v="41"/>
    <s v="49"/>
    <s v="Utah Forward"/>
    <n v="125"/>
  </r>
  <r>
    <x v="12"/>
    <x v="6"/>
    <s v="State-10"/>
    <x v="42"/>
    <s v="50"/>
    <s v="Republican"/>
    <n v="3186"/>
  </r>
  <r>
    <x v="12"/>
    <x v="6"/>
    <s v="State-10"/>
    <x v="43"/>
    <s v="51"/>
    <s v="Democratic"/>
    <n v="908"/>
  </r>
  <r>
    <x v="12"/>
    <x v="6"/>
    <s v="State-10"/>
    <x v="16"/>
    <m/>
    <m/>
    <n v="0"/>
  </r>
  <r>
    <x v="12"/>
    <x v="6"/>
    <s v="State-10"/>
    <x v="17"/>
    <m/>
    <m/>
    <n v="341"/>
  </r>
  <r>
    <x v="12"/>
    <x v="25"/>
    <s v="State-23"/>
    <x v="0"/>
    <m/>
    <m/>
    <n v="3492"/>
  </r>
  <r>
    <x v="12"/>
    <x v="25"/>
    <s v="State-23"/>
    <x v="66"/>
    <s v="78"/>
    <s v="Unaffiliated"/>
    <n v="90"/>
  </r>
  <r>
    <x v="12"/>
    <x v="25"/>
    <s v="State-23"/>
    <x v="67"/>
    <s v="76"/>
    <s v="Democratic"/>
    <n v="879"/>
  </r>
  <r>
    <x v="12"/>
    <x v="25"/>
    <s v="State-23"/>
    <x v="68"/>
    <s v="77"/>
    <s v="Republican"/>
    <n v="2232"/>
  </r>
  <r>
    <x v="12"/>
    <x v="25"/>
    <s v="State-23"/>
    <x v="16"/>
    <m/>
    <m/>
    <n v="0"/>
  </r>
  <r>
    <x v="12"/>
    <x v="25"/>
    <s v="State-23"/>
    <x v="17"/>
    <m/>
    <m/>
    <n v="291"/>
  </r>
  <r>
    <x v="12"/>
    <x v="52"/>
    <s v="State-24"/>
    <x v="0"/>
    <m/>
    <m/>
    <n v="1068"/>
  </r>
  <r>
    <x v="12"/>
    <x v="52"/>
    <s v="State-24"/>
    <x v="102"/>
    <s v="79"/>
    <s v="Republican"/>
    <n v="883"/>
  </r>
  <r>
    <x v="12"/>
    <x v="52"/>
    <s v="State-24"/>
    <x v="16"/>
    <m/>
    <m/>
    <n v="0"/>
  </r>
  <r>
    <x v="12"/>
    <x v="52"/>
    <s v="State-24"/>
    <x v="17"/>
    <m/>
    <m/>
    <n v="185"/>
  </r>
  <r>
    <x v="12"/>
    <x v="51"/>
    <s v="State-94"/>
    <x v="0"/>
    <m/>
    <m/>
    <n v="4560"/>
  </r>
  <r>
    <x v="12"/>
    <x v="51"/>
    <s v="State-94"/>
    <x v="100"/>
    <s v="206"/>
    <s v="Republican"/>
    <n v="3129"/>
  </r>
  <r>
    <x v="12"/>
    <x v="51"/>
    <s v="State-94"/>
    <x v="101"/>
    <s v="207"/>
    <s v="Democratic"/>
    <n v="1153"/>
  </r>
  <r>
    <x v="12"/>
    <x v="51"/>
    <s v="State-94"/>
    <x v="16"/>
    <m/>
    <m/>
    <n v="1"/>
  </r>
  <r>
    <x v="12"/>
    <x v="51"/>
    <s v="State-94"/>
    <x v="17"/>
    <m/>
    <m/>
    <n v="277"/>
  </r>
  <r>
    <x v="12"/>
    <x v="53"/>
    <s v="State-108"/>
    <x v="0"/>
    <m/>
    <m/>
    <n v="4560"/>
  </r>
  <r>
    <x v="12"/>
    <x v="53"/>
    <s v="State-108"/>
    <x v="103"/>
    <s v="230"/>
    <s v="Republican"/>
    <n v="3365"/>
  </r>
  <r>
    <x v="12"/>
    <x v="53"/>
    <s v="State-108"/>
    <x v="16"/>
    <m/>
    <m/>
    <n v="0"/>
  </r>
  <r>
    <x v="12"/>
    <x v="53"/>
    <s v="State-108"/>
    <x v="17"/>
    <m/>
    <m/>
    <n v="1195"/>
  </r>
  <r>
    <x v="12"/>
    <x v="8"/>
    <s v="State-109"/>
    <x v="0"/>
    <m/>
    <m/>
    <n v="4560"/>
  </r>
  <r>
    <x v="12"/>
    <x v="8"/>
    <s v="State-109"/>
    <x v="46"/>
    <s v="232"/>
    <m/>
    <n v="2891"/>
  </r>
  <r>
    <x v="12"/>
    <x v="8"/>
    <s v="State-109"/>
    <x v="47"/>
    <s v="231"/>
    <m/>
    <n v="586"/>
  </r>
  <r>
    <x v="12"/>
    <x v="8"/>
    <s v="State-109"/>
    <x v="16"/>
    <m/>
    <m/>
    <n v="2"/>
  </r>
  <r>
    <x v="12"/>
    <x v="8"/>
    <s v="State-109"/>
    <x v="17"/>
    <m/>
    <m/>
    <n v="1081"/>
  </r>
  <r>
    <x v="12"/>
    <x v="9"/>
    <s v="State-110"/>
    <x v="0"/>
    <m/>
    <m/>
    <n v="4560"/>
  </r>
  <r>
    <x v="12"/>
    <x v="9"/>
    <s v="State-110"/>
    <x v="46"/>
    <s v="233"/>
    <m/>
    <n v="2860"/>
  </r>
  <r>
    <x v="12"/>
    <x v="9"/>
    <s v="State-110"/>
    <x v="47"/>
    <s v="234"/>
    <m/>
    <n v="575"/>
  </r>
  <r>
    <x v="12"/>
    <x v="9"/>
    <s v="State-110"/>
    <x v="16"/>
    <m/>
    <m/>
    <n v="0"/>
  </r>
  <r>
    <x v="12"/>
    <x v="9"/>
    <s v="State-110"/>
    <x v="17"/>
    <m/>
    <m/>
    <n v="1125"/>
  </r>
  <r>
    <x v="12"/>
    <x v="12"/>
    <s v="State-145"/>
    <x v="0"/>
    <m/>
    <m/>
    <n v="4560"/>
  </r>
  <r>
    <x v="12"/>
    <x v="12"/>
    <s v="State-145"/>
    <x v="48"/>
    <s v="303"/>
    <m/>
    <n v="2754"/>
  </r>
  <r>
    <x v="12"/>
    <x v="12"/>
    <s v="State-145"/>
    <x v="49"/>
    <s v="304"/>
    <m/>
    <n v="1339"/>
  </r>
  <r>
    <x v="12"/>
    <x v="12"/>
    <s v="State-145"/>
    <x v="16"/>
    <m/>
    <m/>
    <n v="0"/>
  </r>
  <r>
    <x v="12"/>
    <x v="12"/>
    <s v="State-145"/>
    <x v="17"/>
    <m/>
    <m/>
    <n v="467"/>
  </r>
  <r>
    <x v="12"/>
    <x v="13"/>
    <s v="State-146"/>
    <x v="0"/>
    <m/>
    <m/>
    <n v="4560"/>
  </r>
  <r>
    <x v="12"/>
    <x v="13"/>
    <s v="State-146"/>
    <x v="48"/>
    <s v="305"/>
    <m/>
    <n v="3651"/>
  </r>
  <r>
    <x v="12"/>
    <x v="13"/>
    <s v="State-146"/>
    <x v="49"/>
    <s v="306"/>
    <m/>
    <n v="521"/>
  </r>
  <r>
    <x v="12"/>
    <x v="13"/>
    <s v="State-146"/>
    <x v="16"/>
    <m/>
    <m/>
    <n v="1"/>
  </r>
  <r>
    <x v="12"/>
    <x v="13"/>
    <s v="State-146"/>
    <x v="17"/>
    <m/>
    <m/>
    <n v="387"/>
  </r>
  <r>
    <x v="13"/>
    <x v="0"/>
    <s v="State-1"/>
    <x v="0"/>
    <m/>
    <m/>
    <n v="6500"/>
  </r>
  <r>
    <x v="13"/>
    <x v="0"/>
    <s v="State-1"/>
    <x v="1"/>
    <s v="9"/>
    <s v="Unaffiliated"/>
    <n v="2"/>
  </r>
  <r>
    <x v="13"/>
    <x v="0"/>
    <s v="State-1"/>
    <x v="2"/>
    <s v="3"/>
    <s v="Unaffiliated"/>
    <n v="9"/>
  </r>
  <r>
    <x v="13"/>
    <x v="0"/>
    <s v="State-1"/>
    <x v="3"/>
    <s v="13"/>
    <s v="Constitution"/>
    <n v="42"/>
  </r>
  <r>
    <x v="13"/>
    <x v="0"/>
    <s v="State-1"/>
    <x v="4"/>
    <s v="8"/>
    <s v="Green"/>
    <n v="8"/>
  </r>
  <r>
    <x v="13"/>
    <x v="0"/>
    <s v="State-1"/>
    <x v="5"/>
    <s v="5"/>
    <s v="Republican"/>
    <n v="5558"/>
  </r>
  <r>
    <x v="13"/>
    <x v="0"/>
    <s v="State-1"/>
    <x v="6"/>
    <s v="10"/>
    <s v="Libertarian"/>
    <n v="45"/>
  </r>
  <r>
    <x v="13"/>
    <x v="0"/>
    <s v="State-1"/>
    <x v="7"/>
    <s v="4"/>
    <s v="Democratic"/>
    <n v="713"/>
  </r>
  <r>
    <x v="13"/>
    <x v="0"/>
    <s v="State-1"/>
    <x v="8"/>
    <s v="15"/>
    <s v="Unaffiliated"/>
    <n v="8"/>
  </r>
  <r>
    <x v="13"/>
    <x v="0"/>
    <s v="State-1"/>
    <x v="9"/>
    <s v="1"/>
    <s v="Unaffiliated"/>
    <n v="0"/>
  </r>
  <r>
    <x v="13"/>
    <x v="0"/>
    <s v="State-1"/>
    <x v="10"/>
    <s v="2"/>
    <s v="Unaffiliated"/>
    <n v="1"/>
  </r>
  <r>
    <x v="13"/>
    <x v="0"/>
    <s v="State-1"/>
    <x v="11"/>
    <s v="6"/>
    <s v="Unaffiliated"/>
    <n v="1"/>
  </r>
  <r>
    <x v="13"/>
    <x v="0"/>
    <s v="State-1"/>
    <x v="12"/>
    <s v="7"/>
    <s v="Unaffiliated"/>
    <n v="0"/>
  </r>
  <r>
    <x v="13"/>
    <x v="0"/>
    <s v="State-1"/>
    <x v="13"/>
    <s v="11"/>
    <s v="Unaffiliated"/>
    <n v="0"/>
  </r>
  <r>
    <x v="13"/>
    <x v="0"/>
    <s v="State-1"/>
    <x v="14"/>
    <s v="12"/>
    <s v="Unaffiliated"/>
    <n v="0"/>
  </r>
  <r>
    <x v="13"/>
    <x v="0"/>
    <s v="State-1"/>
    <x v="15"/>
    <s v="14"/>
    <s v="Unaffiliated"/>
    <n v="0"/>
  </r>
  <r>
    <x v="13"/>
    <x v="0"/>
    <s v="State-1"/>
    <x v="16"/>
    <m/>
    <m/>
    <n v="1"/>
  </r>
  <r>
    <x v="13"/>
    <x v="0"/>
    <s v="State-1"/>
    <x v="17"/>
    <m/>
    <m/>
    <n v="48"/>
  </r>
  <r>
    <x v="13"/>
    <x v="1"/>
    <s v="State-2"/>
    <x v="0"/>
    <m/>
    <m/>
    <n v="6500"/>
  </r>
  <r>
    <x v="13"/>
    <x v="1"/>
    <s v="State-2"/>
    <x v="18"/>
    <s v="19"/>
    <s v="Independent American"/>
    <n v="487"/>
  </r>
  <r>
    <x v="13"/>
    <x v="1"/>
    <s v="State-2"/>
    <x v="19"/>
    <s v="18"/>
    <s v="Republican"/>
    <n v="5309"/>
  </r>
  <r>
    <x v="13"/>
    <x v="1"/>
    <s v="State-2"/>
    <x v="20"/>
    <s v="17"/>
    <s v="Democratic"/>
    <n v="518"/>
  </r>
  <r>
    <x v="13"/>
    <x v="1"/>
    <s v="State-2"/>
    <x v="21"/>
    <s v="16"/>
    <s v="Unaffiliated"/>
    <n v="1"/>
  </r>
  <r>
    <x v="13"/>
    <x v="1"/>
    <s v="State-2"/>
    <x v="16"/>
    <m/>
    <m/>
    <n v="0"/>
  </r>
  <r>
    <x v="13"/>
    <x v="1"/>
    <s v="State-2"/>
    <x v="17"/>
    <m/>
    <m/>
    <n v="144"/>
  </r>
  <r>
    <x v="13"/>
    <x v="2"/>
    <s v="State-4"/>
    <x v="0"/>
    <m/>
    <m/>
    <n v="6500"/>
  </r>
  <r>
    <x v="13"/>
    <x v="2"/>
    <s v="State-4"/>
    <x v="22"/>
    <s v="25"/>
    <s v="Democratic"/>
    <n v="539"/>
  </r>
  <r>
    <x v="13"/>
    <x v="2"/>
    <s v="State-4"/>
    <x v="23"/>
    <s v="26"/>
    <s v="Constitution"/>
    <n v="464"/>
  </r>
  <r>
    <x v="13"/>
    <x v="2"/>
    <s v="State-4"/>
    <x v="24"/>
    <s v="24"/>
    <s v="Republican"/>
    <n v="5102"/>
  </r>
  <r>
    <x v="13"/>
    <x v="2"/>
    <s v="State-4"/>
    <x v="25"/>
    <s v="23"/>
    <s v="Unaffiliated"/>
    <n v="100"/>
  </r>
  <r>
    <x v="13"/>
    <x v="2"/>
    <s v="State-4"/>
    <x v="16"/>
    <m/>
    <m/>
    <n v="1"/>
  </r>
  <r>
    <x v="13"/>
    <x v="2"/>
    <s v="State-4"/>
    <x v="17"/>
    <m/>
    <m/>
    <n v="294"/>
  </r>
  <r>
    <x v="13"/>
    <x v="3"/>
    <s v="State-7"/>
    <x v="0"/>
    <m/>
    <m/>
    <n v="6500"/>
  </r>
  <r>
    <x v="13"/>
    <x v="3"/>
    <s v="State-7"/>
    <x v="26"/>
    <s v="36"/>
    <s v="Republican"/>
    <n v="3708"/>
  </r>
  <r>
    <x v="13"/>
    <x v="3"/>
    <s v="State-7"/>
    <x v="27"/>
    <s v="40"/>
    <s v="Independent American"/>
    <n v="166"/>
  </r>
  <r>
    <x v="13"/>
    <x v="3"/>
    <s v="State-7"/>
    <x v="28"/>
    <s v="34"/>
    <s v="Democratic"/>
    <n v="499"/>
  </r>
  <r>
    <x v="13"/>
    <x v="3"/>
    <s v="State-7"/>
    <x v="29"/>
    <s v="33"/>
    <s v="Libertarian"/>
    <n v="204"/>
  </r>
  <r>
    <x v="13"/>
    <x v="3"/>
    <s v="State-7"/>
    <x v="30"/>
    <s v="39"/>
    <s v="Unaffiliated"/>
    <n v="23"/>
  </r>
  <r>
    <x v="13"/>
    <x v="3"/>
    <s v="State-7"/>
    <x v="31"/>
    <s v="37"/>
    <s v="Unaffiliated"/>
    <n v="1706"/>
  </r>
  <r>
    <x v="13"/>
    <x v="3"/>
    <s v="State-7"/>
    <x v="32"/>
    <s v="38"/>
    <s v="Unaffiliated"/>
    <n v="0"/>
  </r>
  <r>
    <x v="13"/>
    <x v="3"/>
    <s v="State-7"/>
    <x v="16"/>
    <m/>
    <m/>
    <n v="2"/>
  </r>
  <r>
    <x v="13"/>
    <x v="3"/>
    <s v="State-7"/>
    <x v="17"/>
    <m/>
    <m/>
    <n v="172"/>
  </r>
  <r>
    <x v="13"/>
    <x v="4"/>
    <s v="State-8"/>
    <x v="0"/>
    <m/>
    <m/>
    <n v="6500"/>
  </r>
  <r>
    <x v="13"/>
    <x v="4"/>
    <s v="State-8"/>
    <x v="33"/>
    <s v="45"/>
    <s v="Republican"/>
    <n v="5120"/>
  </r>
  <r>
    <x v="13"/>
    <x v="4"/>
    <s v="State-8"/>
    <x v="34"/>
    <s v="41"/>
    <s v="Democratic"/>
    <n v="520"/>
  </r>
  <r>
    <x v="13"/>
    <x v="4"/>
    <s v="State-8"/>
    <x v="35"/>
    <s v="42"/>
    <s v="Libertarian"/>
    <n v="240"/>
  </r>
  <r>
    <x v="13"/>
    <x v="4"/>
    <s v="State-8"/>
    <x v="36"/>
    <s v="43"/>
    <s v="Unaffiliated"/>
    <n v="193"/>
  </r>
  <r>
    <x v="13"/>
    <x v="4"/>
    <s v="State-8"/>
    <x v="37"/>
    <s v="44"/>
    <s v="United Utah Party"/>
    <n v="204"/>
  </r>
  <r>
    <x v="13"/>
    <x v="4"/>
    <s v="State-8"/>
    <x v="16"/>
    <m/>
    <m/>
    <n v="0"/>
  </r>
  <r>
    <x v="13"/>
    <x v="4"/>
    <s v="State-8"/>
    <x v="17"/>
    <m/>
    <m/>
    <n v="223"/>
  </r>
  <r>
    <x v="13"/>
    <x v="5"/>
    <s v="State-9"/>
    <x v="0"/>
    <m/>
    <m/>
    <n v="6500"/>
  </r>
  <r>
    <x v="13"/>
    <x v="5"/>
    <s v="State-9"/>
    <x v="38"/>
    <s v="48"/>
    <s v="Republican"/>
    <n v="5268"/>
  </r>
  <r>
    <x v="13"/>
    <x v="5"/>
    <s v="State-9"/>
    <x v="39"/>
    <s v="46"/>
    <s v="Constitution"/>
    <n v="438"/>
  </r>
  <r>
    <x v="13"/>
    <x v="5"/>
    <s v="State-9"/>
    <x v="40"/>
    <s v="47"/>
    <s v="Democratic"/>
    <n v="527"/>
  </r>
  <r>
    <x v="13"/>
    <x v="5"/>
    <s v="State-9"/>
    <x v="16"/>
    <m/>
    <m/>
    <n v="0"/>
  </r>
  <r>
    <x v="13"/>
    <x v="5"/>
    <s v="State-9"/>
    <x v="17"/>
    <m/>
    <m/>
    <n v="267"/>
  </r>
  <r>
    <x v="13"/>
    <x v="6"/>
    <s v="State-10"/>
    <x v="0"/>
    <m/>
    <m/>
    <n v="6500"/>
  </r>
  <r>
    <x v="13"/>
    <x v="6"/>
    <s v="State-10"/>
    <x v="41"/>
    <s v="49"/>
    <s v="Utah Forward"/>
    <n v="179"/>
  </r>
  <r>
    <x v="13"/>
    <x v="6"/>
    <s v="State-10"/>
    <x v="42"/>
    <s v="50"/>
    <s v="Republican"/>
    <n v="5341"/>
  </r>
  <r>
    <x v="13"/>
    <x v="6"/>
    <s v="State-10"/>
    <x v="43"/>
    <s v="51"/>
    <s v="Democratic"/>
    <n v="624"/>
  </r>
  <r>
    <x v="13"/>
    <x v="6"/>
    <s v="State-10"/>
    <x v="16"/>
    <m/>
    <m/>
    <n v="0"/>
  </r>
  <r>
    <x v="13"/>
    <x v="6"/>
    <s v="State-10"/>
    <x v="17"/>
    <m/>
    <m/>
    <n v="356"/>
  </r>
  <r>
    <x v="13"/>
    <x v="52"/>
    <s v="State-24"/>
    <x v="0"/>
    <m/>
    <m/>
    <n v="3370"/>
  </r>
  <r>
    <x v="13"/>
    <x v="52"/>
    <s v="State-24"/>
    <x v="102"/>
    <s v="79"/>
    <s v="Republican"/>
    <n v="2810"/>
  </r>
  <r>
    <x v="13"/>
    <x v="52"/>
    <s v="State-24"/>
    <x v="16"/>
    <m/>
    <m/>
    <n v="0"/>
  </r>
  <r>
    <x v="13"/>
    <x v="52"/>
    <s v="State-24"/>
    <x v="17"/>
    <m/>
    <m/>
    <n v="560"/>
  </r>
  <r>
    <x v="13"/>
    <x v="56"/>
    <s v="State-54"/>
    <x v="0"/>
    <m/>
    <m/>
    <n v="6500"/>
  </r>
  <r>
    <x v="13"/>
    <x v="56"/>
    <s v="State-54"/>
    <x v="110"/>
    <s v="135"/>
    <s v="Republican"/>
    <n v="4467"/>
  </r>
  <r>
    <x v="13"/>
    <x v="56"/>
    <s v="State-54"/>
    <x v="111"/>
    <s v="136"/>
    <s v="Democratic"/>
    <n v="1722"/>
  </r>
  <r>
    <x v="13"/>
    <x v="56"/>
    <s v="State-54"/>
    <x v="16"/>
    <m/>
    <m/>
    <n v="0"/>
  </r>
  <r>
    <x v="13"/>
    <x v="56"/>
    <s v="State-54"/>
    <x v="17"/>
    <m/>
    <m/>
    <n v="311"/>
  </r>
  <r>
    <x v="13"/>
    <x v="8"/>
    <s v="State-109"/>
    <x v="0"/>
    <m/>
    <m/>
    <n v="6500"/>
  </r>
  <r>
    <x v="13"/>
    <x v="8"/>
    <s v="State-109"/>
    <x v="46"/>
    <s v="232"/>
    <m/>
    <n v="4213"/>
  </r>
  <r>
    <x v="13"/>
    <x v="8"/>
    <s v="State-109"/>
    <x v="47"/>
    <s v="231"/>
    <m/>
    <n v="1266"/>
  </r>
  <r>
    <x v="13"/>
    <x v="8"/>
    <s v="State-109"/>
    <x v="16"/>
    <m/>
    <m/>
    <n v="1"/>
  </r>
  <r>
    <x v="13"/>
    <x v="8"/>
    <s v="State-109"/>
    <x v="17"/>
    <m/>
    <m/>
    <n v="1020"/>
  </r>
  <r>
    <x v="13"/>
    <x v="9"/>
    <s v="State-110"/>
    <x v="0"/>
    <m/>
    <m/>
    <n v="6500"/>
  </r>
  <r>
    <x v="13"/>
    <x v="9"/>
    <s v="State-110"/>
    <x v="46"/>
    <s v="233"/>
    <m/>
    <n v="4123"/>
  </r>
  <r>
    <x v="13"/>
    <x v="9"/>
    <s v="State-110"/>
    <x v="47"/>
    <s v="234"/>
    <m/>
    <n v="1302"/>
  </r>
  <r>
    <x v="13"/>
    <x v="9"/>
    <s v="State-110"/>
    <x v="16"/>
    <m/>
    <m/>
    <n v="2"/>
  </r>
  <r>
    <x v="13"/>
    <x v="9"/>
    <s v="State-110"/>
    <x v="17"/>
    <m/>
    <m/>
    <n v="1073"/>
  </r>
  <r>
    <x v="13"/>
    <x v="58"/>
    <s v="State-126"/>
    <x v="0"/>
    <m/>
    <m/>
    <n v="6500"/>
  </r>
  <r>
    <x v="13"/>
    <x v="58"/>
    <s v="State-126"/>
    <x v="46"/>
    <s v="265"/>
    <m/>
    <n v="4023"/>
  </r>
  <r>
    <x v="13"/>
    <x v="58"/>
    <s v="State-126"/>
    <x v="47"/>
    <s v="266"/>
    <m/>
    <n v="1400"/>
  </r>
  <r>
    <x v="13"/>
    <x v="58"/>
    <s v="State-126"/>
    <x v="16"/>
    <m/>
    <m/>
    <n v="3"/>
  </r>
  <r>
    <x v="13"/>
    <x v="58"/>
    <s v="State-126"/>
    <x v="17"/>
    <m/>
    <m/>
    <n v="1074"/>
  </r>
  <r>
    <x v="13"/>
    <x v="59"/>
    <s v="State-127"/>
    <x v="0"/>
    <m/>
    <m/>
    <n v="6500"/>
  </r>
  <r>
    <x v="13"/>
    <x v="59"/>
    <s v="State-127"/>
    <x v="46"/>
    <s v="267"/>
    <m/>
    <n v="4153"/>
  </r>
  <r>
    <x v="13"/>
    <x v="59"/>
    <s v="State-127"/>
    <x v="47"/>
    <s v="268"/>
    <m/>
    <n v="1284"/>
  </r>
  <r>
    <x v="13"/>
    <x v="59"/>
    <s v="State-127"/>
    <x v="16"/>
    <m/>
    <m/>
    <n v="1"/>
  </r>
  <r>
    <x v="13"/>
    <x v="59"/>
    <s v="State-127"/>
    <x v="17"/>
    <m/>
    <m/>
    <n v="1062"/>
  </r>
  <r>
    <x v="13"/>
    <x v="60"/>
    <s v="State-128"/>
    <x v="0"/>
    <m/>
    <m/>
    <n v="6500"/>
  </r>
  <r>
    <x v="13"/>
    <x v="60"/>
    <s v="State-128"/>
    <x v="46"/>
    <s v="270"/>
    <m/>
    <n v="4089"/>
  </r>
  <r>
    <x v="13"/>
    <x v="60"/>
    <s v="State-128"/>
    <x v="47"/>
    <s v="269"/>
    <m/>
    <n v="1323"/>
  </r>
  <r>
    <x v="13"/>
    <x v="60"/>
    <s v="State-128"/>
    <x v="16"/>
    <m/>
    <m/>
    <n v="1"/>
  </r>
  <r>
    <x v="13"/>
    <x v="60"/>
    <s v="State-128"/>
    <x v="17"/>
    <m/>
    <m/>
    <n v="1087"/>
  </r>
  <r>
    <x v="13"/>
    <x v="61"/>
    <s v="State-129"/>
    <x v="0"/>
    <m/>
    <m/>
    <n v="6500"/>
  </r>
  <r>
    <x v="13"/>
    <x v="61"/>
    <s v="State-129"/>
    <x v="46"/>
    <s v="271"/>
    <m/>
    <n v="4084"/>
  </r>
  <r>
    <x v="13"/>
    <x v="61"/>
    <s v="State-129"/>
    <x v="47"/>
    <s v="272"/>
    <m/>
    <n v="1315"/>
  </r>
  <r>
    <x v="13"/>
    <x v="61"/>
    <s v="State-129"/>
    <x v="16"/>
    <m/>
    <m/>
    <n v="3"/>
  </r>
  <r>
    <x v="13"/>
    <x v="61"/>
    <s v="State-129"/>
    <x v="17"/>
    <m/>
    <m/>
    <n v="1098"/>
  </r>
  <r>
    <x v="13"/>
    <x v="62"/>
    <s v="State-130"/>
    <x v="0"/>
    <m/>
    <m/>
    <n v="6500"/>
  </r>
  <r>
    <x v="13"/>
    <x v="62"/>
    <s v="State-130"/>
    <x v="46"/>
    <s v="273"/>
    <m/>
    <n v="4065"/>
  </r>
  <r>
    <x v="13"/>
    <x v="62"/>
    <s v="State-130"/>
    <x v="47"/>
    <s v="274"/>
    <m/>
    <n v="1349"/>
  </r>
  <r>
    <x v="13"/>
    <x v="62"/>
    <s v="State-130"/>
    <x v="16"/>
    <m/>
    <m/>
    <n v="0"/>
  </r>
  <r>
    <x v="13"/>
    <x v="62"/>
    <s v="State-130"/>
    <x v="17"/>
    <m/>
    <m/>
    <n v="1086"/>
  </r>
  <r>
    <x v="13"/>
    <x v="63"/>
    <s v="State-131"/>
    <x v="0"/>
    <m/>
    <m/>
    <n v="6500"/>
  </r>
  <r>
    <x v="13"/>
    <x v="63"/>
    <s v="State-131"/>
    <x v="46"/>
    <s v="275"/>
    <m/>
    <n v="3957"/>
  </r>
  <r>
    <x v="13"/>
    <x v="63"/>
    <s v="State-131"/>
    <x v="47"/>
    <s v="276"/>
    <m/>
    <n v="1462"/>
  </r>
  <r>
    <x v="13"/>
    <x v="63"/>
    <s v="State-131"/>
    <x v="16"/>
    <m/>
    <m/>
    <n v="2"/>
  </r>
  <r>
    <x v="13"/>
    <x v="63"/>
    <s v="State-131"/>
    <x v="17"/>
    <m/>
    <m/>
    <n v="1079"/>
  </r>
  <r>
    <x v="13"/>
    <x v="64"/>
    <s v="State-142"/>
    <x v="0"/>
    <m/>
    <m/>
    <n v="6500"/>
  </r>
  <r>
    <x v="13"/>
    <x v="64"/>
    <s v="State-142"/>
    <x v="46"/>
    <s v="297"/>
    <m/>
    <n v="4135"/>
  </r>
  <r>
    <x v="13"/>
    <x v="64"/>
    <s v="State-142"/>
    <x v="47"/>
    <s v="298"/>
    <m/>
    <n v="1309"/>
  </r>
  <r>
    <x v="13"/>
    <x v="64"/>
    <s v="State-142"/>
    <x v="16"/>
    <m/>
    <m/>
    <n v="2"/>
  </r>
  <r>
    <x v="13"/>
    <x v="64"/>
    <s v="State-142"/>
    <x v="17"/>
    <m/>
    <m/>
    <n v="1054"/>
  </r>
  <r>
    <x v="13"/>
    <x v="12"/>
    <s v="State-145"/>
    <x v="0"/>
    <m/>
    <m/>
    <n v="6500"/>
  </r>
  <r>
    <x v="13"/>
    <x v="12"/>
    <s v="State-145"/>
    <x v="48"/>
    <s v="303"/>
    <m/>
    <n v="3858"/>
  </r>
  <r>
    <x v="13"/>
    <x v="12"/>
    <s v="State-145"/>
    <x v="49"/>
    <s v="304"/>
    <m/>
    <n v="2197"/>
  </r>
  <r>
    <x v="13"/>
    <x v="12"/>
    <s v="State-145"/>
    <x v="16"/>
    <m/>
    <m/>
    <n v="1"/>
  </r>
  <r>
    <x v="13"/>
    <x v="12"/>
    <s v="State-145"/>
    <x v="17"/>
    <m/>
    <m/>
    <n v="444"/>
  </r>
  <r>
    <x v="13"/>
    <x v="13"/>
    <s v="State-146"/>
    <x v="0"/>
    <m/>
    <m/>
    <n v="6500"/>
  </r>
  <r>
    <x v="13"/>
    <x v="13"/>
    <s v="State-146"/>
    <x v="48"/>
    <s v="305"/>
    <m/>
    <n v="5406"/>
  </r>
  <r>
    <x v="13"/>
    <x v="13"/>
    <s v="State-146"/>
    <x v="49"/>
    <s v="306"/>
    <m/>
    <n v="737"/>
  </r>
  <r>
    <x v="13"/>
    <x v="13"/>
    <s v="State-146"/>
    <x v="16"/>
    <m/>
    <m/>
    <n v="0"/>
  </r>
  <r>
    <x v="13"/>
    <x v="13"/>
    <s v="State-146"/>
    <x v="17"/>
    <m/>
    <m/>
    <n v="357"/>
  </r>
  <r>
    <x v="14"/>
    <x v="0"/>
    <s v="State-1"/>
    <x v="0"/>
    <m/>
    <m/>
    <n v="7005"/>
  </r>
  <r>
    <x v="14"/>
    <x v="0"/>
    <s v="State-1"/>
    <x v="1"/>
    <s v="9"/>
    <s v="Unaffiliated"/>
    <n v="2"/>
  </r>
  <r>
    <x v="14"/>
    <x v="0"/>
    <s v="State-1"/>
    <x v="2"/>
    <s v="3"/>
    <s v="Unaffiliated"/>
    <n v="10"/>
  </r>
  <r>
    <x v="14"/>
    <x v="0"/>
    <s v="State-1"/>
    <x v="3"/>
    <s v="13"/>
    <s v="Constitution"/>
    <n v="60"/>
  </r>
  <r>
    <x v="14"/>
    <x v="0"/>
    <s v="State-1"/>
    <x v="4"/>
    <s v="8"/>
    <s v="Green"/>
    <n v="22"/>
  </r>
  <r>
    <x v="14"/>
    <x v="0"/>
    <s v="State-1"/>
    <x v="5"/>
    <s v="5"/>
    <s v="Republican"/>
    <n v="5300"/>
  </r>
  <r>
    <x v="14"/>
    <x v="0"/>
    <s v="State-1"/>
    <x v="6"/>
    <s v="10"/>
    <s v="Libertarian"/>
    <n v="104"/>
  </r>
  <r>
    <x v="14"/>
    <x v="0"/>
    <s v="State-1"/>
    <x v="7"/>
    <s v="4"/>
    <s v="Democratic"/>
    <n v="1256"/>
  </r>
  <r>
    <x v="14"/>
    <x v="0"/>
    <s v="State-1"/>
    <x v="8"/>
    <s v="15"/>
    <s v="Unaffiliated"/>
    <n v="3"/>
  </r>
  <r>
    <x v="14"/>
    <x v="0"/>
    <s v="State-1"/>
    <x v="9"/>
    <s v="1"/>
    <s v="Unaffiliated"/>
    <n v="0"/>
  </r>
  <r>
    <x v="14"/>
    <x v="0"/>
    <s v="State-1"/>
    <x v="10"/>
    <s v="2"/>
    <s v="Unaffiliated"/>
    <n v="3"/>
  </r>
  <r>
    <x v="14"/>
    <x v="0"/>
    <s v="State-1"/>
    <x v="11"/>
    <s v="6"/>
    <s v="Unaffiliated"/>
    <n v="0"/>
  </r>
  <r>
    <x v="14"/>
    <x v="0"/>
    <s v="State-1"/>
    <x v="12"/>
    <s v="7"/>
    <s v="Unaffiliated"/>
    <n v="0"/>
  </r>
  <r>
    <x v="14"/>
    <x v="0"/>
    <s v="State-1"/>
    <x v="13"/>
    <s v="11"/>
    <s v="Unaffiliated"/>
    <n v="0"/>
  </r>
  <r>
    <x v="14"/>
    <x v="0"/>
    <s v="State-1"/>
    <x v="14"/>
    <s v="12"/>
    <s v="Unaffiliated"/>
    <n v="0"/>
  </r>
  <r>
    <x v="14"/>
    <x v="0"/>
    <s v="State-1"/>
    <x v="15"/>
    <s v="14"/>
    <s v="Unaffiliated"/>
    <n v="0"/>
  </r>
  <r>
    <x v="14"/>
    <x v="0"/>
    <s v="State-1"/>
    <x v="16"/>
    <m/>
    <m/>
    <n v="26"/>
  </r>
  <r>
    <x v="14"/>
    <x v="0"/>
    <s v="State-1"/>
    <x v="17"/>
    <m/>
    <m/>
    <n v="29"/>
  </r>
  <r>
    <x v="14"/>
    <x v="1"/>
    <s v="State-2"/>
    <x v="0"/>
    <m/>
    <m/>
    <n v="7005"/>
  </r>
  <r>
    <x v="14"/>
    <x v="1"/>
    <s v="State-2"/>
    <x v="18"/>
    <s v="19"/>
    <s v="Independent American"/>
    <n v="372"/>
  </r>
  <r>
    <x v="14"/>
    <x v="1"/>
    <s v="State-2"/>
    <x v="19"/>
    <s v="18"/>
    <s v="Republican"/>
    <n v="5506"/>
  </r>
  <r>
    <x v="14"/>
    <x v="1"/>
    <s v="State-2"/>
    <x v="20"/>
    <s v="17"/>
    <s v="Democratic"/>
    <n v="911"/>
  </r>
  <r>
    <x v="14"/>
    <x v="1"/>
    <s v="State-2"/>
    <x v="21"/>
    <s v="16"/>
    <s v="Unaffiliated"/>
    <n v="3"/>
  </r>
  <r>
    <x v="14"/>
    <x v="1"/>
    <s v="State-2"/>
    <x v="16"/>
    <m/>
    <m/>
    <n v="2"/>
  </r>
  <r>
    <x v="14"/>
    <x v="1"/>
    <s v="State-2"/>
    <x v="17"/>
    <m/>
    <m/>
    <n v="171"/>
  </r>
  <r>
    <x v="14"/>
    <x v="14"/>
    <s v="State-3"/>
    <x v="0"/>
    <m/>
    <m/>
    <n v="7005"/>
  </r>
  <r>
    <x v="14"/>
    <x v="14"/>
    <s v="State-3"/>
    <x v="50"/>
    <s v="22"/>
    <s v="Democratic"/>
    <n v="903"/>
  </r>
  <r>
    <x v="14"/>
    <x v="14"/>
    <s v="State-3"/>
    <x v="51"/>
    <s v="20"/>
    <s v="Libertarian"/>
    <n v="256"/>
  </r>
  <r>
    <x v="14"/>
    <x v="14"/>
    <s v="State-3"/>
    <x v="52"/>
    <s v="21"/>
    <s v="Republican"/>
    <n v="5575"/>
  </r>
  <r>
    <x v="14"/>
    <x v="14"/>
    <s v="State-3"/>
    <x v="16"/>
    <m/>
    <m/>
    <n v="2"/>
  </r>
  <r>
    <x v="14"/>
    <x v="14"/>
    <s v="State-3"/>
    <x v="17"/>
    <m/>
    <m/>
    <n v="269"/>
  </r>
  <r>
    <x v="14"/>
    <x v="3"/>
    <s v="State-7"/>
    <x v="0"/>
    <m/>
    <m/>
    <n v="7002"/>
  </r>
  <r>
    <x v="14"/>
    <x v="3"/>
    <s v="State-7"/>
    <x v="26"/>
    <s v="36"/>
    <s v="Republican"/>
    <n v="4293"/>
  </r>
  <r>
    <x v="14"/>
    <x v="3"/>
    <s v="State-7"/>
    <x v="27"/>
    <s v="40"/>
    <s v="Independent American"/>
    <n v="130"/>
  </r>
  <r>
    <x v="14"/>
    <x v="3"/>
    <s v="State-7"/>
    <x v="28"/>
    <s v="34"/>
    <s v="Democratic"/>
    <n v="772"/>
  </r>
  <r>
    <x v="14"/>
    <x v="3"/>
    <s v="State-7"/>
    <x v="29"/>
    <s v="33"/>
    <s v="Libertarian"/>
    <n v="216"/>
  </r>
  <r>
    <x v="14"/>
    <x v="3"/>
    <s v="State-7"/>
    <x v="30"/>
    <s v="39"/>
    <s v="Unaffiliated"/>
    <n v="18"/>
  </r>
  <r>
    <x v="14"/>
    <x v="3"/>
    <s v="State-7"/>
    <x v="31"/>
    <s v="37"/>
    <s v="Unaffiliated"/>
    <n v="1373"/>
  </r>
  <r>
    <x v="14"/>
    <x v="3"/>
    <s v="State-7"/>
    <x v="32"/>
    <s v="38"/>
    <s v="Unaffiliated"/>
    <n v="1"/>
  </r>
  <r>
    <x v="14"/>
    <x v="3"/>
    <s v="State-7"/>
    <x v="16"/>
    <m/>
    <m/>
    <n v="1"/>
  </r>
  <r>
    <x v="14"/>
    <x v="3"/>
    <s v="State-7"/>
    <x v="17"/>
    <m/>
    <m/>
    <n v="176"/>
  </r>
  <r>
    <x v="14"/>
    <x v="4"/>
    <s v="State-8"/>
    <x v="0"/>
    <m/>
    <m/>
    <n v="7002"/>
  </r>
  <r>
    <x v="14"/>
    <x v="4"/>
    <s v="State-8"/>
    <x v="33"/>
    <s v="45"/>
    <s v="Republican"/>
    <n v="5249"/>
  </r>
  <r>
    <x v="14"/>
    <x v="4"/>
    <s v="State-8"/>
    <x v="34"/>
    <s v="41"/>
    <s v="Democratic"/>
    <n v="807"/>
  </r>
  <r>
    <x v="14"/>
    <x v="4"/>
    <s v="State-8"/>
    <x v="35"/>
    <s v="42"/>
    <s v="Libertarian"/>
    <n v="252"/>
  </r>
  <r>
    <x v="14"/>
    <x v="4"/>
    <s v="State-8"/>
    <x v="36"/>
    <s v="43"/>
    <s v="Unaffiliated"/>
    <n v="188"/>
  </r>
  <r>
    <x v="14"/>
    <x v="4"/>
    <s v="State-8"/>
    <x v="37"/>
    <s v="44"/>
    <s v="United Utah Party"/>
    <n v="259"/>
  </r>
  <r>
    <x v="14"/>
    <x v="4"/>
    <s v="State-8"/>
    <x v="16"/>
    <m/>
    <m/>
    <n v="0"/>
  </r>
  <r>
    <x v="14"/>
    <x v="4"/>
    <s v="State-8"/>
    <x v="17"/>
    <m/>
    <m/>
    <n v="247"/>
  </r>
  <r>
    <x v="14"/>
    <x v="5"/>
    <s v="State-9"/>
    <x v="0"/>
    <m/>
    <m/>
    <n v="7002"/>
  </r>
  <r>
    <x v="14"/>
    <x v="5"/>
    <s v="State-9"/>
    <x v="38"/>
    <s v="48"/>
    <s v="Republican"/>
    <n v="4876"/>
  </r>
  <r>
    <x v="14"/>
    <x v="5"/>
    <s v="State-9"/>
    <x v="39"/>
    <s v="46"/>
    <s v="Constitution"/>
    <n v="764"/>
  </r>
  <r>
    <x v="14"/>
    <x v="5"/>
    <s v="State-9"/>
    <x v="40"/>
    <s v="47"/>
    <s v="Democratic"/>
    <n v="1042"/>
  </r>
  <r>
    <x v="14"/>
    <x v="5"/>
    <s v="State-9"/>
    <x v="16"/>
    <m/>
    <m/>
    <n v="1"/>
  </r>
  <r>
    <x v="14"/>
    <x v="5"/>
    <s v="State-9"/>
    <x v="17"/>
    <m/>
    <m/>
    <n v="319"/>
  </r>
  <r>
    <x v="14"/>
    <x v="6"/>
    <s v="State-10"/>
    <x v="0"/>
    <m/>
    <m/>
    <n v="7002"/>
  </r>
  <r>
    <x v="14"/>
    <x v="6"/>
    <s v="State-10"/>
    <x v="41"/>
    <s v="49"/>
    <s v="Utah Forward"/>
    <n v="241"/>
  </r>
  <r>
    <x v="14"/>
    <x v="6"/>
    <s v="State-10"/>
    <x v="42"/>
    <s v="50"/>
    <s v="Republican"/>
    <n v="5452"/>
  </r>
  <r>
    <x v="14"/>
    <x v="6"/>
    <s v="State-10"/>
    <x v="43"/>
    <s v="51"/>
    <s v="Democratic"/>
    <n v="903"/>
  </r>
  <r>
    <x v="14"/>
    <x v="6"/>
    <s v="State-10"/>
    <x v="16"/>
    <m/>
    <m/>
    <n v="1"/>
  </r>
  <r>
    <x v="14"/>
    <x v="6"/>
    <s v="State-10"/>
    <x v="17"/>
    <m/>
    <m/>
    <n v="405"/>
  </r>
  <r>
    <x v="14"/>
    <x v="65"/>
    <s v="State-12"/>
    <x v="0"/>
    <m/>
    <m/>
    <n v="2773"/>
  </r>
  <r>
    <x v="14"/>
    <x v="65"/>
    <s v="State-12"/>
    <x v="113"/>
    <s v="55"/>
    <s v="Democratic"/>
    <n v="438"/>
  </r>
  <r>
    <x v="14"/>
    <x v="65"/>
    <s v="State-12"/>
    <x v="114"/>
    <s v="54"/>
    <s v="Republican"/>
    <n v="2193"/>
  </r>
  <r>
    <x v="14"/>
    <x v="65"/>
    <s v="State-12"/>
    <x v="16"/>
    <m/>
    <m/>
    <n v="0"/>
  </r>
  <r>
    <x v="14"/>
    <x v="65"/>
    <s v="State-12"/>
    <x v="17"/>
    <m/>
    <m/>
    <n v="142"/>
  </r>
  <r>
    <x v="14"/>
    <x v="66"/>
    <s v="State-29"/>
    <x v="0"/>
    <m/>
    <m/>
    <n v="6226"/>
  </r>
  <r>
    <x v="14"/>
    <x v="66"/>
    <s v="State-29"/>
    <x v="115"/>
    <s v="89"/>
    <s v="Republican"/>
    <n v="4804"/>
  </r>
  <r>
    <x v="14"/>
    <x v="66"/>
    <s v="State-29"/>
    <x v="116"/>
    <s v="88"/>
    <s v="Democratic"/>
    <n v="1100"/>
  </r>
  <r>
    <x v="14"/>
    <x v="66"/>
    <s v="State-29"/>
    <x v="16"/>
    <m/>
    <m/>
    <n v="0"/>
  </r>
  <r>
    <x v="14"/>
    <x v="66"/>
    <s v="State-29"/>
    <x v="17"/>
    <m/>
    <m/>
    <n v="322"/>
  </r>
  <r>
    <x v="14"/>
    <x v="67"/>
    <s v="State-33"/>
    <x v="0"/>
    <m/>
    <m/>
    <n v="776"/>
  </r>
  <r>
    <x v="14"/>
    <x v="67"/>
    <s v="State-33"/>
    <x v="117"/>
    <s v="94"/>
    <s v="Republican"/>
    <n v="597"/>
  </r>
  <r>
    <x v="14"/>
    <x v="67"/>
    <s v="State-33"/>
    <x v="16"/>
    <m/>
    <m/>
    <n v="0"/>
  </r>
  <r>
    <x v="14"/>
    <x v="67"/>
    <s v="State-33"/>
    <x v="17"/>
    <m/>
    <m/>
    <n v="179"/>
  </r>
  <r>
    <x v="14"/>
    <x v="8"/>
    <s v="State-109"/>
    <x v="0"/>
    <m/>
    <m/>
    <n v="7002"/>
  </r>
  <r>
    <x v="14"/>
    <x v="8"/>
    <s v="State-109"/>
    <x v="46"/>
    <s v="232"/>
    <m/>
    <n v="4645"/>
  </r>
  <r>
    <x v="14"/>
    <x v="8"/>
    <s v="State-109"/>
    <x v="47"/>
    <s v="231"/>
    <m/>
    <n v="1109"/>
  </r>
  <r>
    <x v="14"/>
    <x v="8"/>
    <s v="State-109"/>
    <x v="16"/>
    <m/>
    <m/>
    <n v="4"/>
  </r>
  <r>
    <x v="14"/>
    <x v="8"/>
    <s v="State-109"/>
    <x v="17"/>
    <m/>
    <m/>
    <n v="1244"/>
  </r>
  <r>
    <x v="14"/>
    <x v="9"/>
    <s v="State-110"/>
    <x v="0"/>
    <m/>
    <m/>
    <n v="7002"/>
  </r>
  <r>
    <x v="14"/>
    <x v="9"/>
    <s v="State-110"/>
    <x v="46"/>
    <s v="233"/>
    <m/>
    <n v="4527"/>
  </r>
  <r>
    <x v="14"/>
    <x v="9"/>
    <s v="State-110"/>
    <x v="47"/>
    <s v="234"/>
    <m/>
    <n v="1152"/>
  </r>
  <r>
    <x v="14"/>
    <x v="9"/>
    <s v="State-110"/>
    <x v="16"/>
    <m/>
    <m/>
    <n v="2"/>
  </r>
  <r>
    <x v="14"/>
    <x v="9"/>
    <s v="State-110"/>
    <x v="17"/>
    <m/>
    <m/>
    <n v="1321"/>
  </r>
  <r>
    <x v="14"/>
    <x v="45"/>
    <s v="State-113"/>
    <x v="0"/>
    <m/>
    <m/>
    <n v="7002"/>
  </r>
  <r>
    <x v="14"/>
    <x v="45"/>
    <s v="State-113"/>
    <x v="46"/>
    <s v="239"/>
    <m/>
    <n v="4409"/>
  </r>
  <r>
    <x v="14"/>
    <x v="45"/>
    <s v="State-113"/>
    <x v="47"/>
    <s v="240"/>
    <m/>
    <n v="1265"/>
  </r>
  <r>
    <x v="14"/>
    <x v="45"/>
    <s v="State-113"/>
    <x v="16"/>
    <m/>
    <m/>
    <n v="0"/>
  </r>
  <r>
    <x v="14"/>
    <x v="45"/>
    <s v="State-113"/>
    <x v="17"/>
    <m/>
    <m/>
    <n v="1328"/>
  </r>
  <r>
    <x v="14"/>
    <x v="46"/>
    <s v="State-114"/>
    <x v="0"/>
    <m/>
    <m/>
    <n v="7002"/>
  </r>
  <r>
    <x v="14"/>
    <x v="46"/>
    <s v="State-114"/>
    <x v="46"/>
    <s v="242"/>
    <m/>
    <n v="4419"/>
  </r>
  <r>
    <x v="14"/>
    <x v="46"/>
    <s v="State-114"/>
    <x v="47"/>
    <s v="241"/>
    <m/>
    <n v="1265"/>
  </r>
  <r>
    <x v="14"/>
    <x v="46"/>
    <s v="State-114"/>
    <x v="16"/>
    <m/>
    <m/>
    <n v="0"/>
  </r>
  <r>
    <x v="14"/>
    <x v="46"/>
    <s v="State-114"/>
    <x v="17"/>
    <m/>
    <m/>
    <n v="1318"/>
  </r>
  <r>
    <x v="14"/>
    <x v="47"/>
    <s v="State-115"/>
    <x v="0"/>
    <m/>
    <m/>
    <n v="7002"/>
  </r>
  <r>
    <x v="14"/>
    <x v="47"/>
    <s v="State-115"/>
    <x v="46"/>
    <s v="244"/>
    <m/>
    <n v="4346"/>
  </r>
  <r>
    <x v="14"/>
    <x v="47"/>
    <s v="State-115"/>
    <x v="47"/>
    <s v="243"/>
    <m/>
    <n v="1341"/>
  </r>
  <r>
    <x v="14"/>
    <x v="47"/>
    <s v="State-115"/>
    <x v="16"/>
    <m/>
    <m/>
    <n v="4"/>
  </r>
  <r>
    <x v="14"/>
    <x v="47"/>
    <s v="State-115"/>
    <x v="17"/>
    <m/>
    <m/>
    <n v="1311"/>
  </r>
  <r>
    <x v="14"/>
    <x v="48"/>
    <s v="State-116"/>
    <x v="0"/>
    <m/>
    <m/>
    <n v="7002"/>
  </r>
  <r>
    <x v="14"/>
    <x v="48"/>
    <s v="State-116"/>
    <x v="46"/>
    <s v="245"/>
    <m/>
    <n v="4540"/>
  </r>
  <r>
    <x v="14"/>
    <x v="48"/>
    <s v="State-116"/>
    <x v="47"/>
    <s v="246"/>
    <m/>
    <n v="1123"/>
  </r>
  <r>
    <x v="14"/>
    <x v="48"/>
    <s v="State-116"/>
    <x v="16"/>
    <m/>
    <m/>
    <n v="4"/>
  </r>
  <r>
    <x v="14"/>
    <x v="48"/>
    <s v="State-116"/>
    <x v="17"/>
    <m/>
    <m/>
    <n v="1335"/>
  </r>
  <r>
    <x v="14"/>
    <x v="49"/>
    <s v="State-117"/>
    <x v="0"/>
    <m/>
    <m/>
    <n v="7002"/>
  </r>
  <r>
    <x v="14"/>
    <x v="49"/>
    <s v="State-117"/>
    <x v="46"/>
    <s v="247"/>
    <m/>
    <n v="4530"/>
  </r>
  <r>
    <x v="14"/>
    <x v="49"/>
    <s v="State-117"/>
    <x v="47"/>
    <s v="248"/>
    <m/>
    <n v="1142"/>
  </r>
  <r>
    <x v="14"/>
    <x v="49"/>
    <s v="State-117"/>
    <x v="16"/>
    <m/>
    <m/>
    <n v="0"/>
  </r>
  <r>
    <x v="14"/>
    <x v="49"/>
    <s v="State-117"/>
    <x v="17"/>
    <m/>
    <m/>
    <n v="1330"/>
  </r>
  <r>
    <x v="14"/>
    <x v="50"/>
    <s v="State-137"/>
    <x v="0"/>
    <m/>
    <m/>
    <n v="7002"/>
  </r>
  <r>
    <x v="14"/>
    <x v="50"/>
    <s v="State-137"/>
    <x v="46"/>
    <s v="288"/>
    <m/>
    <n v="4490"/>
  </r>
  <r>
    <x v="14"/>
    <x v="50"/>
    <s v="State-137"/>
    <x v="47"/>
    <s v="287"/>
    <m/>
    <n v="1184"/>
  </r>
  <r>
    <x v="14"/>
    <x v="50"/>
    <s v="State-137"/>
    <x v="16"/>
    <m/>
    <m/>
    <n v="6"/>
  </r>
  <r>
    <x v="14"/>
    <x v="50"/>
    <s v="State-137"/>
    <x v="17"/>
    <m/>
    <m/>
    <n v="1322"/>
  </r>
  <r>
    <x v="14"/>
    <x v="12"/>
    <s v="State-145"/>
    <x v="0"/>
    <m/>
    <m/>
    <n v="7002"/>
  </r>
  <r>
    <x v="14"/>
    <x v="12"/>
    <s v="State-145"/>
    <x v="48"/>
    <s v="303"/>
    <m/>
    <n v="4363"/>
  </r>
  <r>
    <x v="14"/>
    <x v="12"/>
    <s v="State-145"/>
    <x v="49"/>
    <s v="304"/>
    <m/>
    <n v="2171"/>
  </r>
  <r>
    <x v="14"/>
    <x v="12"/>
    <s v="State-145"/>
    <x v="16"/>
    <m/>
    <m/>
    <n v="1"/>
  </r>
  <r>
    <x v="14"/>
    <x v="12"/>
    <s v="State-145"/>
    <x v="17"/>
    <m/>
    <m/>
    <n v="467"/>
  </r>
  <r>
    <x v="14"/>
    <x v="13"/>
    <s v="State-146"/>
    <x v="0"/>
    <m/>
    <m/>
    <n v="7002"/>
  </r>
  <r>
    <x v="14"/>
    <x v="13"/>
    <s v="State-146"/>
    <x v="48"/>
    <s v="305"/>
    <m/>
    <n v="5807"/>
  </r>
  <r>
    <x v="14"/>
    <x v="13"/>
    <s v="State-146"/>
    <x v="49"/>
    <s v="306"/>
    <m/>
    <n v="791"/>
  </r>
  <r>
    <x v="14"/>
    <x v="13"/>
    <s v="State-146"/>
    <x v="16"/>
    <m/>
    <m/>
    <n v="0"/>
  </r>
  <r>
    <x v="14"/>
    <x v="13"/>
    <s v="State-146"/>
    <x v="17"/>
    <m/>
    <m/>
    <n v="404"/>
  </r>
  <r>
    <x v="15"/>
    <x v="0"/>
    <s v="State-1"/>
    <x v="0"/>
    <m/>
    <m/>
    <n v="977"/>
  </r>
  <r>
    <x v="15"/>
    <x v="0"/>
    <s v="State-1"/>
    <x v="1"/>
    <s v="9"/>
    <s v="Unaffiliated"/>
    <n v="0"/>
  </r>
  <r>
    <x v="15"/>
    <x v="0"/>
    <s v="State-1"/>
    <x v="2"/>
    <s v="3"/>
    <s v="Unaffiliated"/>
    <n v="2"/>
  </r>
  <r>
    <x v="15"/>
    <x v="0"/>
    <s v="State-1"/>
    <x v="3"/>
    <s v="13"/>
    <s v="Constitution"/>
    <n v="6"/>
  </r>
  <r>
    <x v="15"/>
    <x v="0"/>
    <s v="State-1"/>
    <x v="4"/>
    <s v="8"/>
    <s v="Green"/>
    <n v="4"/>
  </r>
  <r>
    <x v="15"/>
    <x v="0"/>
    <s v="State-1"/>
    <x v="5"/>
    <s v="5"/>
    <s v="Republican"/>
    <n v="854"/>
  </r>
  <r>
    <x v="15"/>
    <x v="0"/>
    <s v="State-1"/>
    <x v="6"/>
    <s v="10"/>
    <s v="Libertarian"/>
    <n v="3"/>
  </r>
  <r>
    <x v="15"/>
    <x v="0"/>
    <s v="State-1"/>
    <x v="7"/>
    <s v="4"/>
    <s v="Democratic"/>
    <n v="94"/>
  </r>
  <r>
    <x v="15"/>
    <x v="0"/>
    <s v="State-1"/>
    <x v="8"/>
    <s v="15"/>
    <s v="Unaffiliated"/>
    <n v="0"/>
  </r>
  <r>
    <x v="15"/>
    <x v="0"/>
    <s v="State-1"/>
    <x v="9"/>
    <s v="1"/>
    <s v="Unaffiliated"/>
    <n v="0"/>
  </r>
  <r>
    <x v="15"/>
    <x v="0"/>
    <s v="State-1"/>
    <x v="10"/>
    <s v="2"/>
    <s v="Unaffiliated"/>
    <n v="0"/>
  </r>
  <r>
    <x v="15"/>
    <x v="0"/>
    <s v="State-1"/>
    <x v="11"/>
    <s v="6"/>
    <s v="Unaffiliated"/>
    <n v="0"/>
  </r>
  <r>
    <x v="15"/>
    <x v="0"/>
    <s v="State-1"/>
    <x v="12"/>
    <s v="7"/>
    <s v="Unaffiliated"/>
    <n v="0"/>
  </r>
  <r>
    <x v="15"/>
    <x v="0"/>
    <s v="State-1"/>
    <x v="13"/>
    <s v="11"/>
    <s v="Unaffiliated"/>
    <n v="0"/>
  </r>
  <r>
    <x v="15"/>
    <x v="0"/>
    <s v="State-1"/>
    <x v="14"/>
    <s v="12"/>
    <s v="Unaffiliated"/>
    <n v="0"/>
  </r>
  <r>
    <x v="15"/>
    <x v="0"/>
    <s v="State-1"/>
    <x v="15"/>
    <s v="14"/>
    <s v="Unaffiliated"/>
    <n v="0"/>
  </r>
  <r>
    <x v="15"/>
    <x v="0"/>
    <s v="State-1"/>
    <x v="16"/>
    <m/>
    <m/>
    <n v="2"/>
  </r>
  <r>
    <x v="15"/>
    <x v="0"/>
    <s v="State-1"/>
    <x v="17"/>
    <m/>
    <m/>
    <n v="6"/>
  </r>
  <r>
    <x v="15"/>
    <x v="1"/>
    <s v="State-2"/>
    <x v="0"/>
    <m/>
    <m/>
    <n v="977"/>
  </r>
  <r>
    <x v="15"/>
    <x v="1"/>
    <s v="State-2"/>
    <x v="18"/>
    <s v="19"/>
    <s v="Independent American"/>
    <n v="54"/>
  </r>
  <r>
    <x v="15"/>
    <x v="1"/>
    <s v="State-2"/>
    <x v="19"/>
    <s v="18"/>
    <s v="Republican"/>
    <n v="821"/>
  </r>
  <r>
    <x v="15"/>
    <x v="1"/>
    <s v="State-2"/>
    <x v="20"/>
    <s v="17"/>
    <s v="Democratic"/>
    <n v="76"/>
  </r>
  <r>
    <x v="15"/>
    <x v="1"/>
    <s v="State-2"/>
    <x v="21"/>
    <s v="16"/>
    <s v="Unaffiliated"/>
    <n v="0"/>
  </r>
  <r>
    <x v="15"/>
    <x v="1"/>
    <s v="State-2"/>
    <x v="16"/>
    <m/>
    <m/>
    <n v="0"/>
  </r>
  <r>
    <x v="15"/>
    <x v="1"/>
    <s v="State-2"/>
    <x v="17"/>
    <m/>
    <m/>
    <n v="25"/>
  </r>
  <r>
    <x v="15"/>
    <x v="2"/>
    <s v="State-4"/>
    <x v="0"/>
    <m/>
    <m/>
    <n v="977"/>
  </r>
  <r>
    <x v="15"/>
    <x v="2"/>
    <s v="State-4"/>
    <x v="22"/>
    <s v="25"/>
    <s v="Democratic"/>
    <n v="63"/>
  </r>
  <r>
    <x v="15"/>
    <x v="2"/>
    <s v="State-4"/>
    <x v="23"/>
    <s v="26"/>
    <s v="Constitution"/>
    <n v="36"/>
  </r>
  <r>
    <x v="15"/>
    <x v="2"/>
    <s v="State-4"/>
    <x v="24"/>
    <s v="24"/>
    <s v="Republican"/>
    <n v="834"/>
  </r>
  <r>
    <x v="15"/>
    <x v="2"/>
    <s v="State-4"/>
    <x v="25"/>
    <s v="23"/>
    <s v="Unaffiliated"/>
    <n v="8"/>
  </r>
  <r>
    <x v="15"/>
    <x v="2"/>
    <s v="State-4"/>
    <x v="16"/>
    <m/>
    <m/>
    <n v="0"/>
  </r>
  <r>
    <x v="15"/>
    <x v="2"/>
    <s v="State-4"/>
    <x v="17"/>
    <m/>
    <m/>
    <n v="36"/>
  </r>
  <r>
    <x v="15"/>
    <x v="3"/>
    <s v="State-7"/>
    <x v="0"/>
    <m/>
    <m/>
    <n v="977"/>
  </r>
  <r>
    <x v="15"/>
    <x v="3"/>
    <s v="State-7"/>
    <x v="26"/>
    <s v="36"/>
    <s v="Republican"/>
    <n v="718"/>
  </r>
  <r>
    <x v="15"/>
    <x v="3"/>
    <s v="State-7"/>
    <x v="27"/>
    <s v="40"/>
    <s v="Independent American"/>
    <n v="15"/>
  </r>
  <r>
    <x v="15"/>
    <x v="3"/>
    <s v="State-7"/>
    <x v="28"/>
    <s v="34"/>
    <s v="Democratic"/>
    <n v="53"/>
  </r>
  <r>
    <x v="15"/>
    <x v="3"/>
    <s v="State-7"/>
    <x v="29"/>
    <s v="33"/>
    <s v="Libertarian"/>
    <n v="10"/>
  </r>
  <r>
    <x v="15"/>
    <x v="3"/>
    <s v="State-7"/>
    <x v="30"/>
    <s v="39"/>
    <s v="Unaffiliated"/>
    <n v="1"/>
  </r>
  <r>
    <x v="15"/>
    <x v="3"/>
    <s v="State-7"/>
    <x v="31"/>
    <s v="37"/>
    <s v="Unaffiliated"/>
    <n v="147"/>
  </r>
  <r>
    <x v="15"/>
    <x v="3"/>
    <s v="State-7"/>
    <x v="32"/>
    <s v="38"/>
    <s v="Unaffiliated"/>
    <n v="0"/>
  </r>
  <r>
    <x v="15"/>
    <x v="3"/>
    <s v="State-7"/>
    <x v="16"/>
    <m/>
    <m/>
    <n v="0"/>
  </r>
  <r>
    <x v="15"/>
    <x v="3"/>
    <s v="State-7"/>
    <x v="17"/>
    <m/>
    <m/>
    <n v="33"/>
  </r>
  <r>
    <x v="15"/>
    <x v="4"/>
    <s v="State-8"/>
    <x v="0"/>
    <m/>
    <m/>
    <n v="977"/>
  </r>
  <r>
    <x v="15"/>
    <x v="4"/>
    <s v="State-8"/>
    <x v="33"/>
    <s v="45"/>
    <s v="Republican"/>
    <n v="832"/>
  </r>
  <r>
    <x v="15"/>
    <x v="4"/>
    <s v="State-8"/>
    <x v="34"/>
    <s v="41"/>
    <s v="Democratic"/>
    <n v="68"/>
  </r>
  <r>
    <x v="15"/>
    <x v="4"/>
    <s v="State-8"/>
    <x v="35"/>
    <s v="42"/>
    <s v="Libertarian"/>
    <n v="23"/>
  </r>
  <r>
    <x v="15"/>
    <x v="4"/>
    <s v="State-8"/>
    <x v="36"/>
    <s v="43"/>
    <s v="Unaffiliated"/>
    <n v="11"/>
  </r>
  <r>
    <x v="15"/>
    <x v="4"/>
    <s v="State-8"/>
    <x v="37"/>
    <s v="44"/>
    <s v="United Utah Party"/>
    <n v="8"/>
  </r>
  <r>
    <x v="15"/>
    <x v="4"/>
    <s v="State-8"/>
    <x v="16"/>
    <m/>
    <m/>
    <n v="0"/>
  </r>
  <r>
    <x v="15"/>
    <x v="4"/>
    <s v="State-8"/>
    <x v="17"/>
    <m/>
    <m/>
    <n v="35"/>
  </r>
  <r>
    <x v="15"/>
    <x v="5"/>
    <s v="State-9"/>
    <x v="0"/>
    <m/>
    <m/>
    <n v="977"/>
  </r>
  <r>
    <x v="15"/>
    <x v="5"/>
    <s v="State-9"/>
    <x v="38"/>
    <s v="48"/>
    <s v="Republican"/>
    <n v="821"/>
  </r>
  <r>
    <x v="15"/>
    <x v="5"/>
    <s v="State-9"/>
    <x v="39"/>
    <s v="46"/>
    <s v="Constitution"/>
    <n v="29"/>
  </r>
  <r>
    <x v="15"/>
    <x v="5"/>
    <s v="State-9"/>
    <x v="40"/>
    <s v="47"/>
    <s v="Democratic"/>
    <n v="65"/>
  </r>
  <r>
    <x v="15"/>
    <x v="5"/>
    <s v="State-9"/>
    <x v="16"/>
    <m/>
    <m/>
    <n v="0"/>
  </r>
  <r>
    <x v="15"/>
    <x v="5"/>
    <s v="State-9"/>
    <x v="17"/>
    <m/>
    <m/>
    <n v="62"/>
  </r>
  <r>
    <x v="15"/>
    <x v="6"/>
    <s v="State-10"/>
    <x v="0"/>
    <m/>
    <m/>
    <n v="977"/>
  </r>
  <r>
    <x v="15"/>
    <x v="6"/>
    <s v="State-10"/>
    <x v="41"/>
    <s v="49"/>
    <s v="Utah Forward"/>
    <n v="15"/>
  </r>
  <r>
    <x v="15"/>
    <x v="6"/>
    <s v="State-10"/>
    <x v="42"/>
    <s v="50"/>
    <s v="Republican"/>
    <n v="837"/>
  </r>
  <r>
    <x v="15"/>
    <x v="6"/>
    <s v="State-10"/>
    <x v="43"/>
    <s v="51"/>
    <s v="Democratic"/>
    <n v="76"/>
  </r>
  <r>
    <x v="15"/>
    <x v="6"/>
    <s v="State-10"/>
    <x v="16"/>
    <m/>
    <m/>
    <n v="0"/>
  </r>
  <r>
    <x v="15"/>
    <x v="6"/>
    <s v="State-10"/>
    <x v="17"/>
    <m/>
    <m/>
    <n v="49"/>
  </r>
  <r>
    <x v="15"/>
    <x v="52"/>
    <s v="State-24"/>
    <x v="0"/>
    <m/>
    <m/>
    <n v="977"/>
  </r>
  <r>
    <x v="15"/>
    <x v="52"/>
    <s v="State-24"/>
    <x v="102"/>
    <s v="79"/>
    <s v="Republican"/>
    <n v="858"/>
  </r>
  <r>
    <x v="15"/>
    <x v="52"/>
    <s v="State-24"/>
    <x v="16"/>
    <m/>
    <m/>
    <n v="0"/>
  </r>
  <r>
    <x v="15"/>
    <x v="52"/>
    <s v="State-24"/>
    <x v="17"/>
    <m/>
    <m/>
    <n v="119"/>
  </r>
  <r>
    <x v="15"/>
    <x v="7"/>
    <s v="State-95"/>
    <x v="0"/>
    <m/>
    <m/>
    <n v="977"/>
  </r>
  <r>
    <x v="15"/>
    <x v="7"/>
    <s v="State-95"/>
    <x v="44"/>
    <s v="208"/>
    <s v="Republican"/>
    <n v="887"/>
  </r>
  <r>
    <x v="15"/>
    <x v="7"/>
    <s v="State-95"/>
    <x v="45"/>
    <s v="209"/>
    <s v="United Utah Party"/>
    <n v="24"/>
  </r>
  <r>
    <x v="15"/>
    <x v="7"/>
    <s v="State-95"/>
    <x v="16"/>
    <m/>
    <m/>
    <n v="0"/>
  </r>
  <r>
    <x v="15"/>
    <x v="7"/>
    <s v="State-95"/>
    <x v="17"/>
    <m/>
    <m/>
    <n v="66"/>
  </r>
  <r>
    <x v="15"/>
    <x v="53"/>
    <s v="State-108"/>
    <x v="0"/>
    <m/>
    <m/>
    <n v="977"/>
  </r>
  <r>
    <x v="15"/>
    <x v="53"/>
    <s v="State-108"/>
    <x v="103"/>
    <s v="230"/>
    <s v="Republican"/>
    <n v="832"/>
  </r>
  <r>
    <x v="15"/>
    <x v="53"/>
    <s v="State-108"/>
    <x v="16"/>
    <m/>
    <m/>
    <n v="0"/>
  </r>
  <r>
    <x v="15"/>
    <x v="53"/>
    <s v="State-108"/>
    <x v="17"/>
    <m/>
    <m/>
    <n v="145"/>
  </r>
  <r>
    <x v="15"/>
    <x v="8"/>
    <s v="State-109"/>
    <x v="0"/>
    <m/>
    <m/>
    <n v="977"/>
  </r>
  <r>
    <x v="15"/>
    <x v="8"/>
    <s v="State-109"/>
    <x v="46"/>
    <s v="232"/>
    <m/>
    <n v="718"/>
  </r>
  <r>
    <x v="15"/>
    <x v="8"/>
    <s v="State-109"/>
    <x v="47"/>
    <s v="231"/>
    <m/>
    <n v="110"/>
  </r>
  <r>
    <x v="15"/>
    <x v="8"/>
    <s v="State-109"/>
    <x v="16"/>
    <m/>
    <m/>
    <n v="1"/>
  </r>
  <r>
    <x v="15"/>
    <x v="8"/>
    <s v="State-109"/>
    <x v="17"/>
    <m/>
    <m/>
    <n v="148"/>
  </r>
  <r>
    <x v="15"/>
    <x v="9"/>
    <s v="State-110"/>
    <x v="0"/>
    <m/>
    <m/>
    <n v="977"/>
  </r>
  <r>
    <x v="15"/>
    <x v="9"/>
    <s v="State-110"/>
    <x v="46"/>
    <s v="233"/>
    <m/>
    <n v="715"/>
  </r>
  <r>
    <x v="15"/>
    <x v="9"/>
    <s v="State-110"/>
    <x v="47"/>
    <s v="234"/>
    <m/>
    <n v="113"/>
  </r>
  <r>
    <x v="15"/>
    <x v="9"/>
    <s v="State-110"/>
    <x v="16"/>
    <m/>
    <m/>
    <n v="0"/>
  </r>
  <r>
    <x v="15"/>
    <x v="9"/>
    <s v="State-110"/>
    <x v="17"/>
    <m/>
    <m/>
    <n v="149"/>
  </r>
  <r>
    <x v="15"/>
    <x v="12"/>
    <s v="State-145"/>
    <x v="0"/>
    <m/>
    <m/>
    <n v="977"/>
  </r>
  <r>
    <x v="15"/>
    <x v="12"/>
    <s v="State-145"/>
    <x v="48"/>
    <s v="303"/>
    <m/>
    <n v="597"/>
  </r>
  <r>
    <x v="15"/>
    <x v="12"/>
    <s v="State-145"/>
    <x v="49"/>
    <s v="304"/>
    <m/>
    <n v="306"/>
  </r>
  <r>
    <x v="15"/>
    <x v="12"/>
    <s v="State-145"/>
    <x v="16"/>
    <m/>
    <m/>
    <n v="0"/>
  </r>
  <r>
    <x v="15"/>
    <x v="12"/>
    <s v="State-145"/>
    <x v="17"/>
    <m/>
    <m/>
    <n v="74"/>
  </r>
  <r>
    <x v="15"/>
    <x v="13"/>
    <s v="State-146"/>
    <x v="0"/>
    <m/>
    <m/>
    <n v="977"/>
  </r>
  <r>
    <x v="15"/>
    <x v="13"/>
    <s v="State-146"/>
    <x v="48"/>
    <s v="305"/>
    <m/>
    <n v="847"/>
  </r>
  <r>
    <x v="15"/>
    <x v="13"/>
    <s v="State-146"/>
    <x v="49"/>
    <s v="306"/>
    <m/>
    <n v="66"/>
  </r>
  <r>
    <x v="15"/>
    <x v="13"/>
    <s v="State-146"/>
    <x v="16"/>
    <m/>
    <m/>
    <n v="1"/>
  </r>
  <r>
    <x v="15"/>
    <x v="13"/>
    <s v="State-146"/>
    <x v="17"/>
    <m/>
    <m/>
    <n v="63"/>
  </r>
  <r>
    <x v="16"/>
    <x v="0"/>
    <s v="State-1"/>
    <x v="0"/>
    <m/>
    <m/>
    <n v="1465"/>
  </r>
  <r>
    <x v="16"/>
    <x v="0"/>
    <s v="State-1"/>
    <x v="1"/>
    <s v="9"/>
    <s v="Unaffiliated"/>
    <n v="0"/>
  </r>
  <r>
    <x v="16"/>
    <x v="0"/>
    <s v="State-1"/>
    <x v="2"/>
    <s v="3"/>
    <s v="Unaffiliated"/>
    <n v="4"/>
  </r>
  <r>
    <x v="16"/>
    <x v="0"/>
    <s v="State-1"/>
    <x v="3"/>
    <s v="13"/>
    <s v="Constitution"/>
    <n v="2"/>
  </r>
  <r>
    <x v="16"/>
    <x v="0"/>
    <s v="State-1"/>
    <x v="4"/>
    <s v="8"/>
    <s v="Green"/>
    <n v="3"/>
  </r>
  <r>
    <x v="16"/>
    <x v="0"/>
    <s v="State-1"/>
    <x v="5"/>
    <s v="5"/>
    <s v="Republican"/>
    <n v="1211"/>
  </r>
  <r>
    <x v="16"/>
    <x v="0"/>
    <s v="State-1"/>
    <x v="6"/>
    <s v="10"/>
    <s v="Libertarian"/>
    <n v="13"/>
  </r>
  <r>
    <x v="16"/>
    <x v="0"/>
    <s v="State-1"/>
    <x v="7"/>
    <s v="4"/>
    <s v="Democratic"/>
    <n v="214"/>
  </r>
  <r>
    <x v="16"/>
    <x v="0"/>
    <s v="State-1"/>
    <x v="8"/>
    <s v="15"/>
    <s v="Unaffiliated"/>
    <n v="0"/>
  </r>
  <r>
    <x v="16"/>
    <x v="0"/>
    <s v="State-1"/>
    <x v="9"/>
    <s v="1"/>
    <s v="Unaffiliated"/>
    <n v="0"/>
  </r>
  <r>
    <x v="16"/>
    <x v="0"/>
    <s v="State-1"/>
    <x v="10"/>
    <s v="2"/>
    <s v="Unaffiliated"/>
    <n v="0"/>
  </r>
  <r>
    <x v="16"/>
    <x v="0"/>
    <s v="State-1"/>
    <x v="11"/>
    <s v="6"/>
    <s v="Unaffiliated"/>
    <n v="0"/>
  </r>
  <r>
    <x v="16"/>
    <x v="0"/>
    <s v="State-1"/>
    <x v="12"/>
    <s v="7"/>
    <s v="Unaffiliated"/>
    <n v="0"/>
  </r>
  <r>
    <x v="16"/>
    <x v="0"/>
    <s v="State-1"/>
    <x v="13"/>
    <s v="11"/>
    <s v="Unaffiliated"/>
    <n v="0"/>
  </r>
  <r>
    <x v="16"/>
    <x v="0"/>
    <s v="State-1"/>
    <x v="14"/>
    <s v="12"/>
    <s v="Unaffiliated"/>
    <n v="0"/>
  </r>
  <r>
    <x v="16"/>
    <x v="0"/>
    <s v="State-1"/>
    <x v="15"/>
    <s v="14"/>
    <s v="Unaffiliated"/>
    <n v="0"/>
  </r>
  <r>
    <x v="16"/>
    <x v="0"/>
    <s v="State-1"/>
    <x v="16"/>
    <m/>
    <m/>
    <n v="0"/>
  </r>
  <r>
    <x v="16"/>
    <x v="0"/>
    <s v="State-1"/>
    <x v="17"/>
    <m/>
    <m/>
    <n v="11"/>
  </r>
  <r>
    <x v="16"/>
    <x v="1"/>
    <s v="State-2"/>
    <x v="0"/>
    <m/>
    <m/>
    <n v="1465"/>
  </r>
  <r>
    <x v="16"/>
    <x v="1"/>
    <s v="State-2"/>
    <x v="18"/>
    <s v="19"/>
    <s v="Independent American"/>
    <n v="59"/>
  </r>
  <r>
    <x v="16"/>
    <x v="1"/>
    <s v="State-2"/>
    <x v="19"/>
    <s v="18"/>
    <s v="Republican"/>
    <n v="1214"/>
  </r>
  <r>
    <x v="16"/>
    <x v="1"/>
    <s v="State-2"/>
    <x v="20"/>
    <s v="17"/>
    <s v="Democratic"/>
    <n v="160"/>
  </r>
  <r>
    <x v="16"/>
    <x v="1"/>
    <s v="State-2"/>
    <x v="21"/>
    <s v="16"/>
    <s v="Unaffiliated"/>
    <n v="0"/>
  </r>
  <r>
    <x v="16"/>
    <x v="1"/>
    <s v="State-2"/>
    <x v="16"/>
    <m/>
    <m/>
    <n v="0"/>
  </r>
  <r>
    <x v="16"/>
    <x v="1"/>
    <s v="State-2"/>
    <x v="17"/>
    <m/>
    <m/>
    <n v="30"/>
  </r>
  <r>
    <x v="16"/>
    <x v="14"/>
    <s v="State-3"/>
    <x v="0"/>
    <m/>
    <m/>
    <n v="1465"/>
  </r>
  <r>
    <x v="16"/>
    <x v="14"/>
    <s v="State-3"/>
    <x v="50"/>
    <s v="22"/>
    <s v="Democratic"/>
    <n v="150"/>
  </r>
  <r>
    <x v="16"/>
    <x v="14"/>
    <s v="State-3"/>
    <x v="51"/>
    <s v="20"/>
    <s v="Libertarian"/>
    <n v="35"/>
  </r>
  <r>
    <x v="16"/>
    <x v="14"/>
    <s v="State-3"/>
    <x v="52"/>
    <s v="21"/>
    <s v="Republican"/>
    <n v="1235"/>
  </r>
  <r>
    <x v="16"/>
    <x v="14"/>
    <s v="State-3"/>
    <x v="16"/>
    <m/>
    <m/>
    <n v="0"/>
  </r>
  <r>
    <x v="16"/>
    <x v="14"/>
    <s v="State-3"/>
    <x v="17"/>
    <m/>
    <m/>
    <n v="45"/>
  </r>
  <r>
    <x v="16"/>
    <x v="3"/>
    <s v="State-7"/>
    <x v="0"/>
    <m/>
    <m/>
    <n v="1465"/>
  </r>
  <r>
    <x v="16"/>
    <x v="3"/>
    <s v="State-7"/>
    <x v="26"/>
    <s v="36"/>
    <s v="Republican"/>
    <n v="1088"/>
  </r>
  <r>
    <x v="16"/>
    <x v="3"/>
    <s v="State-7"/>
    <x v="27"/>
    <s v="40"/>
    <s v="Independent American"/>
    <n v="35"/>
  </r>
  <r>
    <x v="16"/>
    <x v="3"/>
    <s v="State-7"/>
    <x v="28"/>
    <s v="34"/>
    <s v="Democratic"/>
    <n v="132"/>
  </r>
  <r>
    <x v="16"/>
    <x v="3"/>
    <s v="State-7"/>
    <x v="29"/>
    <s v="33"/>
    <s v="Libertarian"/>
    <n v="29"/>
  </r>
  <r>
    <x v="16"/>
    <x v="3"/>
    <s v="State-7"/>
    <x v="30"/>
    <s v="39"/>
    <s v="Unaffiliated"/>
    <n v="7"/>
  </r>
  <r>
    <x v="16"/>
    <x v="3"/>
    <s v="State-7"/>
    <x v="31"/>
    <s v="37"/>
    <s v="Unaffiliated"/>
    <n v="136"/>
  </r>
  <r>
    <x v="16"/>
    <x v="3"/>
    <s v="State-7"/>
    <x v="32"/>
    <s v="38"/>
    <s v="Unaffiliated"/>
    <n v="0"/>
  </r>
  <r>
    <x v="16"/>
    <x v="3"/>
    <s v="State-7"/>
    <x v="16"/>
    <m/>
    <m/>
    <n v="0"/>
  </r>
  <r>
    <x v="16"/>
    <x v="3"/>
    <s v="State-7"/>
    <x v="17"/>
    <m/>
    <m/>
    <n v="35"/>
  </r>
  <r>
    <x v="16"/>
    <x v="4"/>
    <s v="State-8"/>
    <x v="0"/>
    <m/>
    <m/>
    <n v="1465"/>
  </r>
  <r>
    <x v="16"/>
    <x v="4"/>
    <s v="State-8"/>
    <x v="33"/>
    <s v="45"/>
    <s v="Republican"/>
    <n v="1152"/>
  </r>
  <r>
    <x v="16"/>
    <x v="4"/>
    <s v="State-8"/>
    <x v="34"/>
    <s v="41"/>
    <s v="Democratic"/>
    <n v="148"/>
  </r>
  <r>
    <x v="16"/>
    <x v="4"/>
    <s v="State-8"/>
    <x v="35"/>
    <s v="42"/>
    <s v="Libertarian"/>
    <n v="36"/>
  </r>
  <r>
    <x v="16"/>
    <x v="4"/>
    <s v="State-8"/>
    <x v="36"/>
    <s v="43"/>
    <s v="Unaffiliated"/>
    <n v="29"/>
  </r>
  <r>
    <x v="16"/>
    <x v="4"/>
    <s v="State-8"/>
    <x v="37"/>
    <s v="44"/>
    <s v="United Utah Party"/>
    <n v="50"/>
  </r>
  <r>
    <x v="16"/>
    <x v="4"/>
    <s v="State-8"/>
    <x v="16"/>
    <m/>
    <m/>
    <n v="0"/>
  </r>
  <r>
    <x v="16"/>
    <x v="4"/>
    <s v="State-8"/>
    <x v="17"/>
    <m/>
    <m/>
    <n v="50"/>
  </r>
  <r>
    <x v="16"/>
    <x v="5"/>
    <s v="State-9"/>
    <x v="0"/>
    <m/>
    <m/>
    <n v="1465"/>
  </r>
  <r>
    <x v="16"/>
    <x v="5"/>
    <s v="State-9"/>
    <x v="38"/>
    <s v="48"/>
    <s v="Republican"/>
    <n v="1167"/>
  </r>
  <r>
    <x v="16"/>
    <x v="5"/>
    <s v="State-9"/>
    <x v="39"/>
    <s v="46"/>
    <s v="Constitution"/>
    <n v="53"/>
  </r>
  <r>
    <x v="16"/>
    <x v="5"/>
    <s v="State-9"/>
    <x v="40"/>
    <s v="47"/>
    <s v="Democratic"/>
    <n v="159"/>
  </r>
  <r>
    <x v="16"/>
    <x v="5"/>
    <s v="State-9"/>
    <x v="16"/>
    <m/>
    <m/>
    <n v="0"/>
  </r>
  <r>
    <x v="16"/>
    <x v="5"/>
    <s v="State-9"/>
    <x v="17"/>
    <m/>
    <m/>
    <n v="86"/>
  </r>
  <r>
    <x v="16"/>
    <x v="6"/>
    <s v="State-10"/>
    <x v="0"/>
    <m/>
    <m/>
    <n v="1465"/>
  </r>
  <r>
    <x v="16"/>
    <x v="6"/>
    <s v="State-10"/>
    <x v="41"/>
    <s v="49"/>
    <s v="Utah Forward"/>
    <n v="37"/>
  </r>
  <r>
    <x v="16"/>
    <x v="6"/>
    <s v="State-10"/>
    <x v="42"/>
    <s v="50"/>
    <s v="Republican"/>
    <n v="1168"/>
  </r>
  <r>
    <x v="16"/>
    <x v="6"/>
    <s v="State-10"/>
    <x v="43"/>
    <s v="51"/>
    <s v="Democratic"/>
    <n v="170"/>
  </r>
  <r>
    <x v="16"/>
    <x v="6"/>
    <s v="State-10"/>
    <x v="16"/>
    <m/>
    <m/>
    <n v="0"/>
  </r>
  <r>
    <x v="16"/>
    <x v="6"/>
    <s v="State-10"/>
    <x v="17"/>
    <m/>
    <m/>
    <n v="90"/>
  </r>
  <r>
    <x v="16"/>
    <x v="20"/>
    <s v="State-11"/>
    <x v="0"/>
    <m/>
    <m/>
    <n v="1465"/>
  </r>
  <r>
    <x v="16"/>
    <x v="20"/>
    <s v="State-11"/>
    <x v="57"/>
    <s v="52"/>
    <s v="Republican"/>
    <n v="1190"/>
  </r>
  <r>
    <x v="16"/>
    <x v="20"/>
    <s v="State-11"/>
    <x v="58"/>
    <s v="53"/>
    <s v="Democratic"/>
    <n v="190"/>
  </r>
  <r>
    <x v="16"/>
    <x v="20"/>
    <s v="State-11"/>
    <x v="16"/>
    <m/>
    <m/>
    <n v="0"/>
  </r>
  <r>
    <x v="16"/>
    <x v="20"/>
    <s v="State-11"/>
    <x v="17"/>
    <m/>
    <m/>
    <n v="85"/>
  </r>
  <r>
    <x v="16"/>
    <x v="66"/>
    <s v="State-29"/>
    <x v="0"/>
    <m/>
    <m/>
    <n v="1465"/>
  </r>
  <r>
    <x v="16"/>
    <x v="66"/>
    <s v="State-29"/>
    <x v="115"/>
    <s v="89"/>
    <s v="Republican"/>
    <n v="1174"/>
  </r>
  <r>
    <x v="16"/>
    <x v="66"/>
    <s v="State-29"/>
    <x v="116"/>
    <s v="88"/>
    <s v="Democratic"/>
    <n v="198"/>
  </r>
  <r>
    <x v="16"/>
    <x v="66"/>
    <s v="State-29"/>
    <x v="16"/>
    <m/>
    <m/>
    <n v="0"/>
  </r>
  <r>
    <x v="16"/>
    <x v="66"/>
    <s v="State-29"/>
    <x v="17"/>
    <m/>
    <m/>
    <n v="93"/>
  </r>
  <r>
    <x v="16"/>
    <x v="8"/>
    <s v="State-109"/>
    <x v="0"/>
    <m/>
    <m/>
    <n v="1465"/>
  </r>
  <r>
    <x v="16"/>
    <x v="8"/>
    <s v="State-109"/>
    <x v="46"/>
    <s v="232"/>
    <m/>
    <n v="1100"/>
  </r>
  <r>
    <x v="16"/>
    <x v="8"/>
    <s v="State-109"/>
    <x v="47"/>
    <s v="231"/>
    <m/>
    <n v="146"/>
  </r>
  <r>
    <x v="16"/>
    <x v="8"/>
    <s v="State-109"/>
    <x v="16"/>
    <m/>
    <m/>
    <n v="0"/>
  </r>
  <r>
    <x v="16"/>
    <x v="8"/>
    <s v="State-109"/>
    <x v="17"/>
    <m/>
    <m/>
    <n v="219"/>
  </r>
  <r>
    <x v="16"/>
    <x v="9"/>
    <s v="State-110"/>
    <x v="0"/>
    <m/>
    <m/>
    <n v="1465"/>
  </r>
  <r>
    <x v="16"/>
    <x v="9"/>
    <s v="State-110"/>
    <x v="46"/>
    <s v="233"/>
    <m/>
    <n v="1072"/>
  </r>
  <r>
    <x v="16"/>
    <x v="9"/>
    <s v="State-110"/>
    <x v="47"/>
    <s v="234"/>
    <m/>
    <n v="166"/>
  </r>
  <r>
    <x v="16"/>
    <x v="9"/>
    <s v="State-110"/>
    <x v="16"/>
    <m/>
    <m/>
    <n v="0"/>
  </r>
  <r>
    <x v="16"/>
    <x v="9"/>
    <s v="State-110"/>
    <x v="17"/>
    <m/>
    <m/>
    <n v="227"/>
  </r>
  <r>
    <x v="16"/>
    <x v="17"/>
    <s v="State-111"/>
    <x v="0"/>
    <m/>
    <m/>
    <n v="1465"/>
  </r>
  <r>
    <x v="16"/>
    <x v="17"/>
    <s v="State-111"/>
    <x v="46"/>
    <s v="235"/>
    <m/>
    <n v="1042"/>
  </r>
  <r>
    <x v="16"/>
    <x v="17"/>
    <s v="State-111"/>
    <x v="47"/>
    <s v="236"/>
    <m/>
    <n v="193"/>
  </r>
  <r>
    <x v="16"/>
    <x v="17"/>
    <s v="State-111"/>
    <x v="16"/>
    <m/>
    <m/>
    <n v="0"/>
  </r>
  <r>
    <x v="16"/>
    <x v="17"/>
    <s v="State-111"/>
    <x v="17"/>
    <m/>
    <m/>
    <n v="230"/>
  </r>
  <r>
    <x v="16"/>
    <x v="18"/>
    <s v="State-112"/>
    <x v="0"/>
    <m/>
    <m/>
    <n v="1465"/>
  </r>
  <r>
    <x v="16"/>
    <x v="18"/>
    <s v="State-112"/>
    <x v="46"/>
    <s v="237"/>
    <m/>
    <n v="1068"/>
  </r>
  <r>
    <x v="16"/>
    <x v="18"/>
    <s v="State-112"/>
    <x v="47"/>
    <s v="238"/>
    <m/>
    <n v="171"/>
  </r>
  <r>
    <x v="16"/>
    <x v="18"/>
    <s v="State-112"/>
    <x v="16"/>
    <m/>
    <m/>
    <n v="0"/>
  </r>
  <r>
    <x v="16"/>
    <x v="18"/>
    <s v="State-112"/>
    <x v="17"/>
    <m/>
    <m/>
    <n v="226"/>
  </r>
  <r>
    <x v="16"/>
    <x v="19"/>
    <s v="State-136"/>
    <x v="0"/>
    <m/>
    <m/>
    <n v="1465"/>
  </r>
  <r>
    <x v="16"/>
    <x v="19"/>
    <s v="State-136"/>
    <x v="46"/>
    <s v="285"/>
    <m/>
    <n v="1085"/>
  </r>
  <r>
    <x v="16"/>
    <x v="19"/>
    <s v="State-136"/>
    <x v="47"/>
    <s v="286"/>
    <m/>
    <n v="155"/>
  </r>
  <r>
    <x v="16"/>
    <x v="19"/>
    <s v="State-136"/>
    <x v="16"/>
    <m/>
    <m/>
    <n v="0"/>
  </r>
  <r>
    <x v="16"/>
    <x v="19"/>
    <s v="State-136"/>
    <x v="17"/>
    <m/>
    <m/>
    <n v="225"/>
  </r>
  <r>
    <x v="16"/>
    <x v="12"/>
    <s v="State-145"/>
    <x v="0"/>
    <m/>
    <m/>
    <n v="1465"/>
  </r>
  <r>
    <x v="16"/>
    <x v="12"/>
    <s v="State-145"/>
    <x v="48"/>
    <s v="303"/>
    <m/>
    <n v="914"/>
  </r>
  <r>
    <x v="16"/>
    <x v="12"/>
    <s v="State-145"/>
    <x v="49"/>
    <s v="304"/>
    <m/>
    <n v="452"/>
  </r>
  <r>
    <x v="16"/>
    <x v="12"/>
    <s v="State-145"/>
    <x v="16"/>
    <m/>
    <m/>
    <n v="0"/>
  </r>
  <r>
    <x v="16"/>
    <x v="12"/>
    <s v="State-145"/>
    <x v="17"/>
    <m/>
    <m/>
    <n v="99"/>
  </r>
  <r>
    <x v="16"/>
    <x v="13"/>
    <s v="State-146"/>
    <x v="0"/>
    <m/>
    <m/>
    <n v="1465"/>
  </r>
  <r>
    <x v="16"/>
    <x v="13"/>
    <s v="State-146"/>
    <x v="48"/>
    <s v="305"/>
    <m/>
    <n v="1194"/>
  </r>
  <r>
    <x v="16"/>
    <x v="13"/>
    <s v="State-146"/>
    <x v="49"/>
    <s v="306"/>
    <m/>
    <n v="182"/>
  </r>
  <r>
    <x v="16"/>
    <x v="13"/>
    <s v="State-146"/>
    <x v="16"/>
    <m/>
    <m/>
    <n v="0"/>
  </r>
  <r>
    <x v="16"/>
    <x v="13"/>
    <s v="State-146"/>
    <x v="17"/>
    <m/>
    <m/>
    <n v="89"/>
  </r>
  <r>
    <x v="17"/>
    <x v="0"/>
    <s v="State-1"/>
    <x v="0"/>
    <m/>
    <m/>
    <n v="521789"/>
  </r>
  <r>
    <x v="17"/>
    <x v="0"/>
    <s v="State-1"/>
    <x v="1"/>
    <s v="9"/>
    <s v="Unaffiliated"/>
    <n v="921"/>
  </r>
  <r>
    <x v="17"/>
    <x v="0"/>
    <s v="State-1"/>
    <x v="2"/>
    <s v="3"/>
    <s v="Unaffiliated"/>
    <n v="990"/>
  </r>
  <r>
    <x v="17"/>
    <x v="0"/>
    <s v="State-1"/>
    <x v="3"/>
    <s v="13"/>
    <s v="Constitution"/>
    <n v="2090"/>
  </r>
  <r>
    <x v="17"/>
    <x v="0"/>
    <s v="State-1"/>
    <x v="4"/>
    <s v="8"/>
    <s v="Green"/>
    <n v="3581"/>
  </r>
  <r>
    <x v="17"/>
    <x v="0"/>
    <s v="State-1"/>
    <x v="5"/>
    <s v="5"/>
    <s v="Republican"/>
    <n v="221555"/>
  </r>
  <r>
    <x v="17"/>
    <x v="0"/>
    <s v="State-1"/>
    <x v="6"/>
    <s v="10"/>
    <s v="Libertarian"/>
    <n v="5260"/>
  </r>
  <r>
    <x v="17"/>
    <x v="0"/>
    <s v="State-1"/>
    <x v="7"/>
    <s v="4"/>
    <s v="Democratic"/>
    <n v="273658"/>
  </r>
  <r>
    <x v="17"/>
    <x v="0"/>
    <s v="State-1"/>
    <x v="8"/>
    <s v="15"/>
    <s v="Unaffiliated"/>
    <n v="1437"/>
  </r>
  <r>
    <x v="17"/>
    <x v="0"/>
    <s v="State-1"/>
    <x v="9"/>
    <s v="1"/>
    <s v="Unaffiliated"/>
    <n v="0"/>
  </r>
  <r>
    <x v="17"/>
    <x v="0"/>
    <s v="State-1"/>
    <x v="10"/>
    <s v="2"/>
    <s v="Unaffiliated"/>
    <n v="129"/>
  </r>
  <r>
    <x v="17"/>
    <x v="0"/>
    <s v="State-1"/>
    <x v="11"/>
    <s v="6"/>
    <s v="Unaffiliated"/>
    <n v="15"/>
  </r>
  <r>
    <x v="17"/>
    <x v="0"/>
    <s v="State-1"/>
    <x v="12"/>
    <s v="7"/>
    <s v="Unaffiliated"/>
    <n v="1"/>
  </r>
  <r>
    <x v="17"/>
    <x v="0"/>
    <s v="State-1"/>
    <x v="13"/>
    <s v="11"/>
    <s v="Unaffiliated"/>
    <n v="0"/>
  </r>
  <r>
    <x v="17"/>
    <x v="0"/>
    <s v="State-1"/>
    <x v="14"/>
    <s v="12"/>
    <s v="Unaffiliated"/>
    <n v="0"/>
  </r>
  <r>
    <x v="17"/>
    <x v="0"/>
    <s v="State-1"/>
    <x v="15"/>
    <s v="14"/>
    <s v="Unaffiliated"/>
    <n v="0"/>
  </r>
  <r>
    <x v="17"/>
    <x v="0"/>
    <s v="State-1"/>
    <x v="16"/>
    <m/>
    <m/>
    <n v="419"/>
  </r>
  <r>
    <x v="17"/>
    <x v="0"/>
    <s v="State-1"/>
    <x v="17"/>
    <m/>
    <m/>
    <n v="11732"/>
  </r>
  <r>
    <x v="17"/>
    <x v="1"/>
    <s v="State-2"/>
    <x v="0"/>
    <m/>
    <m/>
    <n v="521789"/>
  </r>
  <r>
    <x v="17"/>
    <x v="1"/>
    <s v="State-2"/>
    <x v="18"/>
    <s v="19"/>
    <s v="Independent American"/>
    <n v="19410"/>
  </r>
  <r>
    <x v="17"/>
    <x v="1"/>
    <s v="State-2"/>
    <x v="19"/>
    <s v="18"/>
    <s v="Republican"/>
    <n v="238607"/>
  </r>
  <r>
    <x v="17"/>
    <x v="1"/>
    <s v="State-2"/>
    <x v="20"/>
    <s v="17"/>
    <s v="Democratic"/>
    <n v="237322"/>
  </r>
  <r>
    <x v="17"/>
    <x v="1"/>
    <s v="State-2"/>
    <x v="21"/>
    <s v="16"/>
    <s v="Unaffiliated"/>
    <n v="113"/>
  </r>
  <r>
    <x v="17"/>
    <x v="1"/>
    <s v="State-2"/>
    <x v="16"/>
    <m/>
    <m/>
    <n v="19"/>
  </r>
  <r>
    <x v="17"/>
    <x v="1"/>
    <s v="State-2"/>
    <x v="17"/>
    <m/>
    <m/>
    <n v="26317"/>
  </r>
  <r>
    <x v="17"/>
    <x v="14"/>
    <s v="State-3"/>
    <x v="0"/>
    <m/>
    <m/>
    <n v="46756"/>
  </r>
  <r>
    <x v="17"/>
    <x v="14"/>
    <s v="State-3"/>
    <x v="50"/>
    <s v="22"/>
    <s v="Democratic"/>
    <n v="29469"/>
  </r>
  <r>
    <x v="17"/>
    <x v="14"/>
    <s v="State-3"/>
    <x v="51"/>
    <s v="20"/>
    <s v="Libertarian"/>
    <n v="1412"/>
  </r>
  <r>
    <x v="17"/>
    <x v="14"/>
    <s v="State-3"/>
    <x v="52"/>
    <s v="21"/>
    <s v="Republican"/>
    <n v="12957"/>
  </r>
  <r>
    <x v="17"/>
    <x v="14"/>
    <s v="State-3"/>
    <x v="16"/>
    <m/>
    <m/>
    <n v="2"/>
  </r>
  <r>
    <x v="17"/>
    <x v="14"/>
    <s v="State-3"/>
    <x v="17"/>
    <m/>
    <m/>
    <n v="2916"/>
  </r>
  <r>
    <x v="17"/>
    <x v="2"/>
    <s v="State-4"/>
    <x v="0"/>
    <m/>
    <m/>
    <n v="113880"/>
  </r>
  <r>
    <x v="17"/>
    <x v="2"/>
    <s v="State-4"/>
    <x v="22"/>
    <s v="25"/>
    <s v="Democratic"/>
    <n v="67264"/>
  </r>
  <r>
    <x v="17"/>
    <x v="2"/>
    <s v="State-4"/>
    <x v="23"/>
    <s v="26"/>
    <s v="Constitution"/>
    <n v="3728"/>
  </r>
  <r>
    <x v="17"/>
    <x v="2"/>
    <s v="State-4"/>
    <x v="24"/>
    <s v="24"/>
    <s v="Republican"/>
    <n v="35341"/>
  </r>
  <r>
    <x v="17"/>
    <x v="2"/>
    <s v="State-4"/>
    <x v="25"/>
    <s v="23"/>
    <s v="Unaffiliated"/>
    <n v="1478"/>
  </r>
  <r>
    <x v="17"/>
    <x v="2"/>
    <s v="State-4"/>
    <x v="16"/>
    <m/>
    <m/>
    <n v="29"/>
  </r>
  <r>
    <x v="17"/>
    <x v="2"/>
    <s v="State-4"/>
    <x v="17"/>
    <m/>
    <m/>
    <n v="6040"/>
  </r>
  <r>
    <x v="17"/>
    <x v="24"/>
    <s v="State-5"/>
    <x v="0"/>
    <m/>
    <m/>
    <n v="136942"/>
  </r>
  <r>
    <x v="17"/>
    <x v="24"/>
    <s v="State-5"/>
    <x v="64"/>
    <s v="27"/>
    <s v="Republican"/>
    <n v="65963"/>
  </r>
  <r>
    <x v="17"/>
    <x v="24"/>
    <s v="State-5"/>
    <x v="65"/>
    <s v="28"/>
    <s v="Democratic"/>
    <n v="61322"/>
  </r>
  <r>
    <x v="17"/>
    <x v="24"/>
    <s v="State-5"/>
    <x v="16"/>
    <m/>
    <m/>
    <n v="5"/>
  </r>
  <r>
    <x v="17"/>
    <x v="24"/>
    <s v="State-5"/>
    <x v="17"/>
    <m/>
    <m/>
    <n v="9652"/>
  </r>
  <r>
    <x v="17"/>
    <x v="55"/>
    <s v="State-6"/>
    <x v="0"/>
    <m/>
    <m/>
    <n v="224211"/>
  </r>
  <r>
    <x v="17"/>
    <x v="55"/>
    <s v="State-6"/>
    <x v="106"/>
    <s v="32"/>
    <s v="Unaffiliated"/>
    <n v="3354"/>
  </r>
  <r>
    <x v="17"/>
    <x v="55"/>
    <s v="State-6"/>
    <x v="107"/>
    <s v="29"/>
    <s v="United Utah Party"/>
    <n v="9158"/>
  </r>
  <r>
    <x v="17"/>
    <x v="55"/>
    <s v="State-6"/>
    <x v="108"/>
    <s v="31"/>
    <s v="Democratic"/>
    <n v="82515"/>
  </r>
  <r>
    <x v="17"/>
    <x v="55"/>
    <s v="State-6"/>
    <x v="109"/>
    <s v="30"/>
    <s v="Republican"/>
    <n v="116787"/>
  </r>
  <r>
    <x v="17"/>
    <x v="55"/>
    <s v="State-6"/>
    <x v="16"/>
    <m/>
    <m/>
    <n v="7"/>
  </r>
  <r>
    <x v="17"/>
    <x v="55"/>
    <s v="State-6"/>
    <x v="17"/>
    <m/>
    <m/>
    <n v="12390"/>
  </r>
  <r>
    <x v="17"/>
    <x v="3"/>
    <s v="State-7"/>
    <x v="0"/>
    <m/>
    <m/>
    <n v="521756"/>
  </r>
  <r>
    <x v="17"/>
    <x v="3"/>
    <s v="State-7"/>
    <x v="26"/>
    <s v="36"/>
    <s v="Republican"/>
    <n v="222608"/>
  </r>
  <r>
    <x v="17"/>
    <x v="3"/>
    <s v="State-7"/>
    <x v="27"/>
    <s v="40"/>
    <s v="Independent American"/>
    <n v="7343"/>
  </r>
  <r>
    <x v="17"/>
    <x v="3"/>
    <s v="State-7"/>
    <x v="28"/>
    <s v="34"/>
    <s v="Democratic"/>
    <n v="220368"/>
  </r>
  <r>
    <x v="17"/>
    <x v="3"/>
    <s v="State-7"/>
    <x v="29"/>
    <s v="33"/>
    <s v="Libertarian"/>
    <n v="13233"/>
  </r>
  <r>
    <x v="17"/>
    <x v="3"/>
    <s v="State-7"/>
    <x v="30"/>
    <s v="39"/>
    <s v="Unaffiliated"/>
    <n v="1306"/>
  </r>
  <r>
    <x v="17"/>
    <x v="3"/>
    <s v="State-7"/>
    <x v="31"/>
    <s v="37"/>
    <s v="Unaffiliated"/>
    <n v="40035"/>
  </r>
  <r>
    <x v="17"/>
    <x v="3"/>
    <s v="State-7"/>
    <x v="32"/>
    <s v="38"/>
    <s v="Unaffiliated"/>
    <n v="175"/>
  </r>
  <r>
    <x v="17"/>
    <x v="3"/>
    <s v="State-7"/>
    <x v="16"/>
    <m/>
    <m/>
    <n v="424"/>
  </r>
  <r>
    <x v="17"/>
    <x v="3"/>
    <s v="State-7"/>
    <x v="17"/>
    <m/>
    <m/>
    <n v="16196"/>
  </r>
  <r>
    <x v="17"/>
    <x v="4"/>
    <s v="State-8"/>
    <x v="0"/>
    <m/>
    <m/>
    <n v="521756"/>
  </r>
  <r>
    <x v="17"/>
    <x v="4"/>
    <s v="State-8"/>
    <x v="33"/>
    <s v="45"/>
    <s v="Republican"/>
    <n v="215066"/>
  </r>
  <r>
    <x v="17"/>
    <x v="4"/>
    <s v="State-8"/>
    <x v="34"/>
    <s v="41"/>
    <s v="Democratic"/>
    <n v="205331"/>
  </r>
  <r>
    <x v="17"/>
    <x v="4"/>
    <s v="State-8"/>
    <x v="35"/>
    <s v="42"/>
    <s v="Libertarian"/>
    <n v="19573"/>
  </r>
  <r>
    <x v="17"/>
    <x v="4"/>
    <s v="State-8"/>
    <x v="36"/>
    <s v="43"/>
    <s v="Unaffiliated"/>
    <n v="12050"/>
  </r>
  <r>
    <x v="17"/>
    <x v="4"/>
    <s v="State-8"/>
    <x v="37"/>
    <s v="44"/>
    <s v="United Utah Party"/>
    <n v="42077"/>
  </r>
  <r>
    <x v="17"/>
    <x v="4"/>
    <s v="State-8"/>
    <x v="16"/>
    <m/>
    <m/>
    <n v="157"/>
  </r>
  <r>
    <x v="17"/>
    <x v="4"/>
    <s v="State-8"/>
    <x v="17"/>
    <m/>
    <m/>
    <n v="27502"/>
  </r>
  <r>
    <x v="17"/>
    <x v="5"/>
    <s v="State-9"/>
    <x v="0"/>
    <m/>
    <m/>
    <n v="521756"/>
  </r>
  <r>
    <x v="17"/>
    <x v="5"/>
    <s v="State-9"/>
    <x v="38"/>
    <s v="48"/>
    <s v="Republican"/>
    <n v="237159"/>
  </r>
  <r>
    <x v="17"/>
    <x v="5"/>
    <s v="State-9"/>
    <x v="39"/>
    <s v="46"/>
    <s v="Constitution"/>
    <n v="20057"/>
  </r>
  <r>
    <x v="17"/>
    <x v="5"/>
    <s v="State-9"/>
    <x v="40"/>
    <s v="47"/>
    <s v="Democratic"/>
    <n v="227970"/>
  </r>
  <r>
    <x v="17"/>
    <x v="5"/>
    <s v="State-9"/>
    <x v="16"/>
    <m/>
    <m/>
    <n v="16"/>
  </r>
  <r>
    <x v="17"/>
    <x v="5"/>
    <s v="State-9"/>
    <x v="17"/>
    <m/>
    <m/>
    <n v="36554"/>
  </r>
  <r>
    <x v="17"/>
    <x v="6"/>
    <s v="State-10"/>
    <x v="0"/>
    <m/>
    <m/>
    <n v="521756"/>
  </r>
  <r>
    <x v="17"/>
    <x v="6"/>
    <s v="State-10"/>
    <x v="41"/>
    <s v="49"/>
    <s v="Utah Forward"/>
    <n v="25284"/>
  </r>
  <r>
    <x v="17"/>
    <x v="6"/>
    <s v="State-10"/>
    <x v="42"/>
    <s v="50"/>
    <s v="Republican"/>
    <n v="241260"/>
  </r>
  <r>
    <x v="17"/>
    <x v="6"/>
    <s v="State-10"/>
    <x v="43"/>
    <s v="51"/>
    <s v="Democratic"/>
    <n v="216646"/>
  </r>
  <r>
    <x v="17"/>
    <x v="6"/>
    <s v="State-10"/>
    <x v="16"/>
    <m/>
    <m/>
    <n v="11"/>
  </r>
  <r>
    <x v="17"/>
    <x v="6"/>
    <s v="State-10"/>
    <x v="17"/>
    <m/>
    <m/>
    <n v="38555"/>
  </r>
  <r>
    <x v="17"/>
    <x v="33"/>
    <s v="State-14"/>
    <x v="0"/>
    <m/>
    <m/>
    <n v="10413"/>
  </r>
  <r>
    <x v="17"/>
    <x v="33"/>
    <s v="State-14"/>
    <x v="75"/>
    <s v="60"/>
    <s v="Republican"/>
    <n v="1886"/>
  </r>
  <r>
    <x v="17"/>
    <x v="33"/>
    <s v="State-14"/>
    <x v="76"/>
    <s v="59"/>
    <s v="Democratic"/>
    <n v="6084"/>
  </r>
  <r>
    <x v="17"/>
    <x v="33"/>
    <s v="State-14"/>
    <x v="77"/>
    <s v="58"/>
    <s v="Constitution"/>
    <n v="163"/>
  </r>
  <r>
    <x v="17"/>
    <x v="33"/>
    <s v="State-14"/>
    <x v="78"/>
    <s v="57"/>
    <s v="Unaffiliated"/>
    <n v="1840"/>
  </r>
  <r>
    <x v="17"/>
    <x v="33"/>
    <s v="State-14"/>
    <x v="16"/>
    <m/>
    <m/>
    <n v="5"/>
  </r>
  <r>
    <x v="17"/>
    <x v="33"/>
    <s v="State-14"/>
    <x v="17"/>
    <m/>
    <m/>
    <n v="435"/>
  </r>
  <r>
    <x v="17"/>
    <x v="68"/>
    <s v="State-15"/>
    <x v="0"/>
    <m/>
    <m/>
    <n v="30625"/>
  </r>
  <r>
    <x v="17"/>
    <x v="68"/>
    <s v="State-15"/>
    <x v="118"/>
    <s v="61"/>
    <s v="Republican"/>
    <n v="12688"/>
  </r>
  <r>
    <x v="17"/>
    <x v="68"/>
    <s v="State-15"/>
    <x v="119"/>
    <s v="62"/>
    <s v="Democratic"/>
    <n v="16504"/>
  </r>
  <r>
    <x v="17"/>
    <x v="68"/>
    <s v="State-15"/>
    <x v="16"/>
    <m/>
    <m/>
    <n v="2"/>
  </r>
  <r>
    <x v="17"/>
    <x v="68"/>
    <s v="State-15"/>
    <x v="17"/>
    <m/>
    <m/>
    <n v="1431"/>
  </r>
  <r>
    <x v="17"/>
    <x v="69"/>
    <s v="State-16"/>
    <x v="0"/>
    <m/>
    <m/>
    <n v="34137"/>
  </r>
  <r>
    <x v="17"/>
    <x v="69"/>
    <s v="State-16"/>
    <x v="120"/>
    <s v="64"/>
    <s v="Republican"/>
    <n v="14201"/>
  </r>
  <r>
    <x v="17"/>
    <x v="69"/>
    <s v="State-16"/>
    <x v="121"/>
    <s v="63"/>
    <s v="Democratic"/>
    <n v="18424"/>
  </r>
  <r>
    <x v="17"/>
    <x v="69"/>
    <s v="State-16"/>
    <x v="16"/>
    <m/>
    <m/>
    <n v="1"/>
  </r>
  <r>
    <x v="17"/>
    <x v="69"/>
    <s v="State-16"/>
    <x v="17"/>
    <m/>
    <m/>
    <n v="1511"/>
  </r>
  <r>
    <x v="17"/>
    <x v="70"/>
    <s v="State-17"/>
    <x v="0"/>
    <m/>
    <m/>
    <n v="50360"/>
  </r>
  <r>
    <x v="17"/>
    <x v="70"/>
    <s v="State-17"/>
    <x v="122"/>
    <s v="66"/>
    <s v="Republican"/>
    <n v="20414"/>
  </r>
  <r>
    <x v="17"/>
    <x v="70"/>
    <s v="State-17"/>
    <x v="123"/>
    <s v="65"/>
    <s v="Democratic"/>
    <n v="27103"/>
  </r>
  <r>
    <x v="17"/>
    <x v="70"/>
    <s v="State-17"/>
    <x v="16"/>
    <m/>
    <m/>
    <n v="2"/>
  </r>
  <r>
    <x v="17"/>
    <x v="70"/>
    <s v="State-17"/>
    <x v="17"/>
    <m/>
    <m/>
    <n v="2841"/>
  </r>
  <r>
    <x v="17"/>
    <x v="71"/>
    <s v="State-18"/>
    <x v="0"/>
    <m/>
    <m/>
    <n v="47431"/>
  </r>
  <r>
    <x v="17"/>
    <x v="71"/>
    <s v="State-18"/>
    <x v="124"/>
    <s v="67"/>
    <s v="Unaffiliated"/>
    <n v="18447"/>
  </r>
  <r>
    <x v="17"/>
    <x v="71"/>
    <s v="State-18"/>
    <x v="125"/>
    <s v="68"/>
    <s v="Republican"/>
    <n v="24923"/>
  </r>
  <r>
    <x v="17"/>
    <x v="71"/>
    <s v="State-18"/>
    <x v="16"/>
    <m/>
    <m/>
    <n v="4"/>
  </r>
  <r>
    <x v="17"/>
    <x v="71"/>
    <s v="State-18"/>
    <x v="17"/>
    <m/>
    <m/>
    <n v="4057"/>
  </r>
  <r>
    <x v="17"/>
    <x v="72"/>
    <s v="State-19"/>
    <x v="0"/>
    <m/>
    <m/>
    <n v="58926"/>
  </r>
  <r>
    <x v="17"/>
    <x v="72"/>
    <s v="State-19"/>
    <x v="126"/>
    <s v="69"/>
    <s v="Unaffiliated"/>
    <n v="19259"/>
  </r>
  <r>
    <x v="17"/>
    <x v="72"/>
    <s v="State-19"/>
    <x v="127"/>
    <s v="70"/>
    <s v="Republican"/>
    <n v="34072"/>
  </r>
  <r>
    <x v="17"/>
    <x v="72"/>
    <s v="State-19"/>
    <x v="16"/>
    <m/>
    <m/>
    <n v="6"/>
  </r>
  <r>
    <x v="17"/>
    <x v="72"/>
    <s v="State-19"/>
    <x v="17"/>
    <m/>
    <m/>
    <n v="5589"/>
  </r>
  <r>
    <x v="17"/>
    <x v="73"/>
    <s v="State-20"/>
    <x v="0"/>
    <m/>
    <m/>
    <n v="4862"/>
  </r>
  <r>
    <x v="17"/>
    <x v="73"/>
    <s v="State-20"/>
    <x v="128"/>
    <s v="71"/>
    <s v="Republican"/>
    <n v="3315"/>
  </r>
  <r>
    <x v="17"/>
    <x v="73"/>
    <s v="State-20"/>
    <x v="16"/>
    <m/>
    <m/>
    <n v="0"/>
  </r>
  <r>
    <x v="17"/>
    <x v="73"/>
    <s v="State-20"/>
    <x v="17"/>
    <m/>
    <m/>
    <n v="1547"/>
  </r>
  <r>
    <x v="17"/>
    <x v="74"/>
    <s v="State-46"/>
    <x v="0"/>
    <m/>
    <m/>
    <n v="13088"/>
  </r>
  <r>
    <x v="17"/>
    <x v="74"/>
    <s v="State-46"/>
    <x v="129"/>
    <s v="119"/>
    <s v="Republican"/>
    <n v="3529"/>
  </r>
  <r>
    <x v="17"/>
    <x v="74"/>
    <s v="State-46"/>
    <x v="130"/>
    <s v="120"/>
    <s v="Democratic"/>
    <n v="8818"/>
  </r>
  <r>
    <x v="17"/>
    <x v="74"/>
    <s v="State-46"/>
    <x v="16"/>
    <m/>
    <m/>
    <n v="0"/>
  </r>
  <r>
    <x v="17"/>
    <x v="74"/>
    <s v="State-46"/>
    <x v="17"/>
    <m/>
    <m/>
    <n v="741"/>
  </r>
  <r>
    <x v="17"/>
    <x v="75"/>
    <s v="State-47"/>
    <x v="0"/>
    <m/>
    <m/>
    <n v="21247"/>
  </r>
  <r>
    <x v="17"/>
    <x v="75"/>
    <s v="State-47"/>
    <x v="131"/>
    <s v="121"/>
    <s v="Republican"/>
    <n v="4082"/>
  </r>
  <r>
    <x v="17"/>
    <x v="75"/>
    <s v="State-47"/>
    <x v="132"/>
    <s v="122"/>
    <s v="Democratic"/>
    <n v="15886"/>
  </r>
  <r>
    <x v="17"/>
    <x v="75"/>
    <s v="State-47"/>
    <x v="16"/>
    <m/>
    <m/>
    <n v="0"/>
  </r>
  <r>
    <x v="17"/>
    <x v="75"/>
    <s v="State-47"/>
    <x v="17"/>
    <m/>
    <m/>
    <n v="1279"/>
  </r>
  <r>
    <x v="17"/>
    <x v="76"/>
    <s v="State-48"/>
    <x v="0"/>
    <m/>
    <m/>
    <n v="24935"/>
  </r>
  <r>
    <x v="17"/>
    <x v="76"/>
    <s v="State-48"/>
    <x v="133"/>
    <s v="124"/>
    <s v="Republican"/>
    <n v="6338"/>
  </r>
  <r>
    <x v="17"/>
    <x v="76"/>
    <s v="State-48"/>
    <x v="134"/>
    <s v="123"/>
    <s v="United Utah Party"/>
    <n v="449"/>
  </r>
  <r>
    <x v="17"/>
    <x v="76"/>
    <s v="State-48"/>
    <x v="135"/>
    <s v="125"/>
    <s v="Democratic"/>
    <n v="16967"/>
  </r>
  <r>
    <x v="17"/>
    <x v="76"/>
    <s v="State-48"/>
    <x v="16"/>
    <m/>
    <m/>
    <n v="1"/>
  </r>
  <r>
    <x v="17"/>
    <x v="76"/>
    <s v="State-48"/>
    <x v="17"/>
    <m/>
    <m/>
    <n v="1180"/>
  </r>
  <r>
    <x v="17"/>
    <x v="77"/>
    <s v="State-49"/>
    <x v="0"/>
    <m/>
    <m/>
    <n v="20443"/>
  </r>
  <r>
    <x v="17"/>
    <x v="77"/>
    <s v="State-49"/>
    <x v="136"/>
    <s v="126"/>
    <s v="Democratic"/>
    <n v="16639"/>
  </r>
  <r>
    <x v="17"/>
    <x v="77"/>
    <s v="State-49"/>
    <x v="16"/>
    <m/>
    <m/>
    <n v="0"/>
  </r>
  <r>
    <x v="17"/>
    <x v="77"/>
    <s v="State-49"/>
    <x v="17"/>
    <m/>
    <m/>
    <n v="3804"/>
  </r>
  <r>
    <x v="17"/>
    <x v="78"/>
    <s v="State-50"/>
    <x v="0"/>
    <m/>
    <m/>
    <n v="9470"/>
  </r>
  <r>
    <x v="17"/>
    <x v="78"/>
    <s v="State-50"/>
    <x v="137"/>
    <s v="128"/>
    <s v="Democratic"/>
    <n v="5700"/>
  </r>
  <r>
    <x v="17"/>
    <x v="78"/>
    <s v="State-50"/>
    <x v="138"/>
    <s v="127"/>
    <s v="Republican"/>
    <n v="3249"/>
  </r>
  <r>
    <x v="17"/>
    <x v="78"/>
    <s v="State-50"/>
    <x v="16"/>
    <m/>
    <m/>
    <n v="1"/>
  </r>
  <r>
    <x v="17"/>
    <x v="78"/>
    <s v="State-50"/>
    <x v="17"/>
    <m/>
    <m/>
    <n v="520"/>
  </r>
  <r>
    <x v="17"/>
    <x v="79"/>
    <s v="State-51"/>
    <x v="0"/>
    <m/>
    <m/>
    <n v="14397"/>
  </r>
  <r>
    <x v="17"/>
    <x v="79"/>
    <s v="State-51"/>
    <x v="139"/>
    <s v="129"/>
    <s v="Democratic"/>
    <n v="6347"/>
  </r>
  <r>
    <x v="17"/>
    <x v="79"/>
    <s v="State-51"/>
    <x v="140"/>
    <s v="130"/>
    <s v="Republican"/>
    <n v="7338"/>
  </r>
  <r>
    <x v="17"/>
    <x v="79"/>
    <s v="State-51"/>
    <x v="16"/>
    <m/>
    <m/>
    <n v="0"/>
  </r>
  <r>
    <x v="17"/>
    <x v="79"/>
    <s v="State-51"/>
    <x v="17"/>
    <m/>
    <m/>
    <n v="712"/>
  </r>
  <r>
    <x v="17"/>
    <x v="80"/>
    <s v="State-52"/>
    <x v="0"/>
    <m/>
    <m/>
    <n v="15567"/>
  </r>
  <r>
    <x v="17"/>
    <x v="80"/>
    <s v="State-52"/>
    <x v="141"/>
    <s v="132"/>
    <s v="Democratic"/>
    <n v="6496"/>
  </r>
  <r>
    <x v="17"/>
    <x v="80"/>
    <s v="State-52"/>
    <x v="142"/>
    <s v="131"/>
    <s v="Republican"/>
    <n v="8175"/>
  </r>
  <r>
    <x v="17"/>
    <x v="80"/>
    <s v="State-52"/>
    <x v="16"/>
    <m/>
    <m/>
    <n v="3"/>
  </r>
  <r>
    <x v="17"/>
    <x v="80"/>
    <s v="State-52"/>
    <x v="17"/>
    <m/>
    <m/>
    <n v="893"/>
  </r>
  <r>
    <x v="17"/>
    <x v="81"/>
    <s v="State-55"/>
    <x v="0"/>
    <m/>
    <m/>
    <n v="14654"/>
  </r>
  <r>
    <x v="17"/>
    <x v="81"/>
    <s v="State-55"/>
    <x v="143"/>
    <s v="137"/>
    <s v="Republican"/>
    <n v="6662"/>
  </r>
  <r>
    <x v="17"/>
    <x v="81"/>
    <s v="State-55"/>
    <x v="144"/>
    <s v="138"/>
    <s v="Democratic"/>
    <n v="7371"/>
  </r>
  <r>
    <x v="17"/>
    <x v="81"/>
    <s v="State-55"/>
    <x v="16"/>
    <m/>
    <m/>
    <n v="0"/>
  </r>
  <r>
    <x v="17"/>
    <x v="81"/>
    <s v="State-55"/>
    <x v="17"/>
    <m/>
    <m/>
    <n v="621"/>
  </r>
  <r>
    <x v="17"/>
    <x v="82"/>
    <s v="State-56"/>
    <x v="0"/>
    <m/>
    <m/>
    <n v="13142"/>
  </r>
  <r>
    <x v="17"/>
    <x v="82"/>
    <s v="State-56"/>
    <x v="145"/>
    <s v="139"/>
    <s v="Democratic"/>
    <n v="7148"/>
  </r>
  <r>
    <x v="17"/>
    <x v="82"/>
    <s v="State-56"/>
    <x v="146"/>
    <s v="140"/>
    <s v="Republican"/>
    <n v="5198"/>
  </r>
  <r>
    <x v="17"/>
    <x v="82"/>
    <s v="State-56"/>
    <x v="16"/>
    <m/>
    <m/>
    <n v="0"/>
  </r>
  <r>
    <x v="17"/>
    <x v="82"/>
    <s v="State-56"/>
    <x v="17"/>
    <m/>
    <m/>
    <n v="796"/>
  </r>
  <r>
    <x v="17"/>
    <x v="83"/>
    <s v="State-57"/>
    <x v="0"/>
    <m/>
    <m/>
    <n v="17702"/>
  </r>
  <r>
    <x v="17"/>
    <x v="83"/>
    <s v="State-57"/>
    <x v="147"/>
    <s v="141"/>
    <s v="Republican"/>
    <n v="4576"/>
  </r>
  <r>
    <x v="17"/>
    <x v="83"/>
    <s v="State-57"/>
    <x v="148"/>
    <s v="142"/>
    <s v="Democratic"/>
    <n v="12158"/>
  </r>
  <r>
    <x v="17"/>
    <x v="83"/>
    <s v="State-57"/>
    <x v="16"/>
    <m/>
    <m/>
    <n v="0"/>
  </r>
  <r>
    <x v="17"/>
    <x v="83"/>
    <s v="State-57"/>
    <x v="17"/>
    <m/>
    <m/>
    <n v="968"/>
  </r>
  <r>
    <x v="17"/>
    <x v="84"/>
    <s v="State-58"/>
    <x v="0"/>
    <m/>
    <m/>
    <n v="26038"/>
  </r>
  <r>
    <x v="17"/>
    <x v="84"/>
    <s v="State-58"/>
    <x v="149"/>
    <s v="144"/>
    <s v="Republican"/>
    <n v="7923"/>
  </r>
  <r>
    <x v="17"/>
    <x v="84"/>
    <s v="State-58"/>
    <x v="150"/>
    <s v="143"/>
    <s v="Democratic"/>
    <n v="16863"/>
  </r>
  <r>
    <x v="17"/>
    <x v="84"/>
    <s v="State-58"/>
    <x v="16"/>
    <m/>
    <m/>
    <n v="1"/>
  </r>
  <r>
    <x v="17"/>
    <x v="84"/>
    <s v="State-58"/>
    <x v="17"/>
    <m/>
    <m/>
    <n v="1251"/>
  </r>
  <r>
    <x v="17"/>
    <x v="85"/>
    <s v="State-59"/>
    <x v="0"/>
    <m/>
    <m/>
    <n v="21918"/>
  </r>
  <r>
    <x v="17"/>
    <x v="85"/>
    <s v="State-59"/>
    <x v="151"/>
    <s v="145"/>
    <s v="United Utah Party"/>
    <n v="519"/>
  </r>
  <r>
    <x v="17"/>
    <x v="85"/>
    <s v="State-59"/>
    <x v="152"/>
    <s v="146"/>
    <s v="Republican"/>
    <n v="7202"/>
  </r>
  <r>
    <x v="17"/>
    <x v="85"/>
    <s v="State-59"/>
    <x v="153"/>
    <s v="147"/>
    <s v="Democratic"/>
    <n v="13125"/>
  </r>
  <r>
    <x v="17"/>
    <x v="85"/>
    <s v="State-59"/>
    <x v="16"/>
    <m/>
    <m/>
    <n v="2"/>
  </r>
  <r>
    <x v="17"/>
    <x v="85"/>
    <s v="State-59"/>
    <x v="17"/>
    <m/>
    <m/>
    <n v="1070"/>
  </r>
  <r>
    <x v="17"/>
    <x v="86"/>
    <s v="State-60"/>
    <x v="0"/>
    <m/>
    <m/>
    <n v="18420"/>
  </r>
  <r>
    <x v="17"/>
    <x v="86"/>
    <s v="State-60"/>
    <x v="154"/>
    <s v="148"/>
    <s v="Republican"/>
    <n v="8451"/>
  </r>
  <r>
    <x v="17"/>
    <x v="86"/>
    <s v="State-60"/>
    <x v="155"/>
    <s v="149"/>
    <s v="Democratic"/>
    <n v="9139"/>
  </r>
  <r>
    <x v="17"/>
    <x v="86"/>
    <s v="State-60"/>
    <x v="16"/>
    <m/>
    <m/>
    <n v="0"/>
  </r>
  <r>
    <x v="17"/>
    <x v="86"/>
    <s v="State-60"/>
    <x v="17"/>
    <m/>
    <m/>
    <n v="830"/>
  </r>
  <r>
    <x v="17"/>
    <x v="87"/>
    <s v="State-61"/>
    <x v="0"/>
    <m/>
    <m/>
    <n v="19041"/>
  </r>
  <r>
    <x v="17"/>
    <x v="87"/>
    <s v="State-61"/>
    <x v="156"/>
    <s v="150"/>
    <s v="Republican"/>
    <n v="13333"/>
  </r>
  <r>
    <x v="17"/>
    <x v="87"/>
    <s v="State-61"/>
    <x v="16"/>
    <m/>
    <m/>
    <n v="0"/>
  </r>
  <r>
    <x v="17"/>
    <x v="87"/>
    <s v="State-61"/>
    <x v="17"/>
    <m/>
    <m/>
    <n v="5708"/>
  </r>
  <r>
    <x v="17"/>
    <x v="88"/>
    <s v="State-62"/>
    <x v="0"/>
    <m/>
    <m/>
    <n v="12642"/>
  </r>
  <r>
    <x v="17"/>
    <x v="88"/>
    <s v="State-62"/>
    <x v="157"/>
    <s v="152"/>
    <s v="Republican"/>
    <n v="5409"/>
  </r>
  <r>
    <x v="17"/>
    <x v="88"/>
    <s v="State-62"/>
    <x v="158"/>
    <s v="151"/>
    <s v="Democratic"/>
    <n v="6541"/>
  </r>
  <r>
    <x v="17"/>
    <x v="88"/>
    <s v="State-62"/>
    <x v="16"/>
    <m/>
    <m/>
    <n v="0"/>
  </r>
  <r>
    <x v="17"/>
    <x v="88"/>
    <s v="State-62"/>
    <x v="17"/>
    <m/>
    <m/>
    <n v="692"/>
  </r>
  <r>
    <x v="17"/>
    <x v="89"/>
    <s v="State-63"/>
    <x v="0"/>
    <m/>
    <m/>
    <n v="17322"/>
  </r>
  <r>
    <x v="17"/>
    <x v="89"/>
    <s v="State-63"/>
    <x v="159"/>
    <s v="154"/>
    <s v="Republican"/>
    <n v="9921"/>
  </r>
  <r>
    <x v="17"/>
    <x v="89"/>
    <s v="State-63"/>
    <x v="160"/>
    <s v="153"/>
    <s v="Democratic"/>
    <n v="6235"/>
  </r>
  <r>
    <x v="17"/>
    <x v="89"/>
    <s v="State-63"/>
    <x v="16"/>
    <m/>
    <m/>
    <n v="0"/>
  </r>
  <r>
    <x v="17"/>
    <x v="89"/>
    <s v="State-63"/>
    <x v="17"/>
    <m/>
    <m/>
    <n v="1166"/>
  </r>
  <r>
    <x v="17"/>
    <x v="90"/>
    <s v="State-64"/>
    <x v="0"/>
    <m/>
    <m/>
    <n v="17362"/>
  </r>
  <r>
    <x v="17"/>
    <x v="90"/>
    <s v="State-64"/>
    <x v="161"/>
    <s v="155"/>
    <s v="Unaffiliated"/>
    <n v="7112"/>
  </r>
  <r>
    <x v="17"/>
    <x v="90"/>
    <s v="State-64"/>
    <x v="162"/>
    <s v="156"/>
    <s v="Republican"/>
    <n v="8799"/>
  </r>
  <r>
    <x v="17"/>
    <x v="90"/>
    <s v="State-64"/>
    <x v="16"/>
    <m/>
    <m/>
    <n v="1"/>
  </r>
  <r>
    <x v="17"/>
    <x v="90"/>
    <s v="State-64"/>
    <x v="17"/>
    <m/>
    <m/>
    <n v="1450"/>
  </r>
  <r>
    <x v="17"/>
    <x v="91"/>
    <s v="State-65"/>
    <x v="0"/>
    <m/>
    <m/>
    <n v="16516"/>
  </r>
  <r>
    <x v="17"/>
    <x v="91"/>
    <s v="State-65"/>
    <x v="163"/>
    <s v="158"/>
    <s v="United Utah Party"/>
    <n v="483"/>
  </r>
  <r>
    <x v="17"/>
    <x v="91"/>
    <s v="State-65"/>
    <x v="164"/>
    <s v="159"/>
    <s v="Democratic"/>
    <n v="8883"/>
  </r>
  <r>
    <x v="17"/>
    <x v="91"/>
    <s v="State-65"/>
    <x v="165"/>
    <s v="157"/>
    <s v="Republican"/>
    <n v="6126"/>
  </r>
  <r>
    <x v="17"/>
    <x v="91"/>
    <s v="State-65"/>
    <x v="16"/>
    <m/>
    <m/>
    <n v="2"/>
  </r>
  <r>
    <x v="17"/>
    <x v="91"/>
    <s v="State-65"/>
    <x v="17"/>
    <m/>
    <m/>
    <n v="1022"/>
  </r>
  <r>
    <x v="17"/>
    <x v="92"/>
    <s v="State-66"/>
    <x v="0"/>
    <m/>
    <m/>
    <n v="25252"/>
  </r>
  <r>
    <x v="17"/>
    <x v="92"/>
    <s v="State-66"/>
    <x v="166"/>
    <s v="161"/>
    <s v="Democratic"/>
    <n v="15206"/>
  </r>
  <r>
    <x v="17"/>
    <x v="92"/>
    <s v="State-66"/>
    <x v="167"/>
    <s v="160"/>
    <s v="Republican"/>
    <n v="8622"/>
  </r>
  <r>
    <x v="17"/>
    <x v="92"/>
    <s v="State-66"/>
    <x v="16"/>
    <m/>
    <m/>
    <n v="1"/>
  </r>
  <r>
    <x v="17"/>
    <x v="92"/>
    <s v="State-66"/>
    <x v="17"/>
    <m/>
    <m/>
    <n v="1423"/>
  </r>
  <r>
    <x v="17"/>
    <x v="93"/>
    <s v="State-67"/>
    <x v="0"/>
    <m/>
    <m/>
    <n v="26258"/>
  </r>
  <r>
    <x v="17"/>
    <x v="93"/>
    <s v="State-67"/>
    <x v="168"/>
    <s v="162"/>
    <s v="Democratic"/>
    <n v="11303"/>
  </r>
  <r>
    <x v="17"/>
    <x v="93"/>
    <s v="State-67"/>
    <x v="169"/>
    <s v="163"/>
    <s v="Republican"/>
    <n v="13557"/>
  </r>
  <r>
    <x v="17"/>
    <x v="93"/>
    <s v="State-67"/>
    <x v="16"/>
    <m/>
    <m/>
    <n v="0"/>
  </r>
  <r>
    <x v="17"/>
    <x v="93"/>
    <s v="State-67"/>
    <x v="17"/>
    <m/>
    <m/>
    <n v="1398"/>
  </r>
  <r>
    <x v="17"/>
    <x v="94"/>
    <s v="State-68"/>
    <x v="0"/>
    <m/>
    <m/>
    <n v="21515"/>
  </r>
  <r>
    <x v="17"/>
    <x v="94"/>
    <s v="State-68"/>
    <x v="170"/>
    <s v="164"/>
    <s v="Democratic"/>
    <n v="8861"/>
  </r>
  <r>
    <x v="17"/>
    <x v="94"/>
    <s v="State-68"/>
    <x v="171"/>
    <s v="165"/>
    <s v="Republican"/>
    <n v="11354"/>
  </r>
  <r>
    <x v="17"/>
    <x v="94"/>
    <s v="State-68"/>
    <x v="16"/>
    <m/>
    <m/>
    <n v="0"/>
  </r>
  <r>
    <x v="17"/>
    <x v="94"/>
    <s v="State-68"/>
    <x v="17"/>
    <m/>
    <m/>
    <n v="1300"/>
  </r>
  <r>
    <x v="17"/>
    <x v="95"/>
    <s v="State-69"/>
    <x v="0"/>
    <m/>
    <m/>
    <n v="23417"/>
  </r>
  <r>
    <x v="17"/>
    <x v="95"/>
    <s v="State-69"/>
    <x v="172"/>
    <s v="167"/>
    <s v="Democratic"/>
    <n v="8539"/>
  </r>
  <r>
    <x v="17"/>
    <x v="95"/>
    <s v="State-69"/>
    <x v="173"/>
    <s v="166"/>
    <s v="Republican"/>
    <n v="13359"/>
  </r>
  <r>
    <x v="17"/>
    <x v="95"/>
    <s v="State-69"/>
    <x v="16"/>
    <m/>
    <m/>
    <n v="0"/>
  </r>
  <r>
    <x v="17"/>
    <x v="95"/>
    <s v="State-69"/>
    <x v="17"/>
    <m/>
    <m/>
    <n v="1519"/>
  </r>
  <r>
    <x v="17"/>
    <x v="96"/>
    <s v="State-70"/>
    <x v="0"/>
    <m/>
    <m/>
    <n v="22324"/>
  </r>
  <r>
    <x v="17"/>
    <x v="96"/>
    <s v="State-70"/>
    <x v="174"/>
    <s v="168"/>
    <s v="Democratic"/>
    <n v="6871"/>
  </r>
  <r>
    <x v="17"/>
    <x v="96"/>
    <s v="State-70"/>
    <x v="175"/>
    <s v="169"/>
    <s v="Republican"/>
    <n v="13930"/>
  </r>
  <r>
    <x v="17"/>
    <x v="96"/>
    <s v="State-70"/>
    <x v="16"/>
    <m/>
    <m/>
    <n v="1"/>
  </r>
  <r>
    <x v="17"/>
    <x v="96"/>
    <s v="State-70"/>
    <x v="17"/>
    <m/>
    <m/>
    <n v="1522"/>
  </r>
  <r>
    <x v="17"/>
    <x v="97"/>
    <s v="State-71"/>
    <x v="0"/>
    <m/>
    <m/>
    <n v="22720"/>
  </r>
  <r>
    <x v="17"/>
    <x v="97"/>
    <s v="State-71"/>
    <x v="176"/>
    <s v="170"/>
    <s v="Republican"/>
    <n v="16757"/>
  </r>
  <r>
    <x v="17"/>
    <x v="97"/>
    <s v="State-71"/>
    <x v="16"/>
    <m/>
    <m/>
    <n v="0"/>
  </r>
  <r>
    <x v="17"/>
    <x v="97"/>
    <s v="State-71"/>
    <x v="17"/>
    <m/>
    <m/>
    <n v="5963"/>
  </r>
  <r>
    <x v="17"/>
    <x v="98"/>
    <s v="State-72"/>
    <x v="0"/>
    <m/>
    <m/>
    <n v="22593"/>
  </r>
  <r>
    <x v="17"/>
    <x v="98"/>
    <s v="State-72"/>
    <x v="177"/>
    <s v="172"/>
    <s v="Republican"/>
    <n v="15170"/>
  </r>
  <r>
    <x v="17"/>
    <x v="98"/>
    <s v="State-72"/>
    <x v="178"/>
    <s v="171"/>
    <s v="United Utah Party"/>
    <n v="5034"/>
  </r>
  <r>
    <x v="17"/>
    <x v="98"/>
    <s v="State-72"/>
    <x v="16"/>
    <m/>
    <m/>
    <n v="1"/>
  </r>
  <r>
    <x v="17"/>
    <x v="98"/>
    <s v="State-72"/>
    <x v="17"/>
    <m/>
    <m/>
    <n v="2388"/>
  </r>
  <r>
    <x v="17"/>
    <x v="99"/>
    <s v="State-73"/>
    <x v="0"/>
    <m/>
    <m/>
    <n v="21904"/>
  </r>
  <r>
    <x v="17"/>
    <x v="99"/>
    <s v="State-73"/>
    <x v="179"/>
    <s v="174"/>
    <s v="Democratic"/>
    <n v="7405"/>
  </r>
  <r>
    <x v="17"/>
    <x v="99"/>
    <s v="State-73"/>
    <x v="180"/>
    <s v="173"/>
    <s v="Republican"/>
    <n v="13054"/>
  </r>
  <r>
    <x v="17"/>
    <x v="99"/>
    <s v="State-73"/>
    <x v="16"/>
    <m/>
    <m/>
    <n v="1"/>
  </r>
  <r>
    <x v="17"/>
    <x v="99"/>
    <s v="State-73"/>
    <x v="17"/>
    <m/>
    <m/>
    <n v="1444"/>
  </r>
  <r>
    <x v="17"/>
    <x v="100"/>
    <s v="State-74"/>
    <x v="0"/>
    <m/>
    <m/>
    <n v="21869"/>
  </r>
  <r>
    <x v="17"/>
    <x v="100"/>
    <s v="State-74"/>
    <x v="181"/>
    <s v="175"/>
    <s v="Democratic"/>
    <n v="6358"/>
  </r>
  <r>
    <x v="17"/>
    <x v="100"/>
    <s v="State-74"/>
    <x v="182"/>
    <s v="176"/>
    <s v="Republican"/>
    <n v="14166"/>
  </r>
  <r>
    <x v="17"/>
    <x v="100"/>
    <s v="State-74"/>
    <x v="16"/>
    <m/>
    <m/>
    <n v="1"/>
  </r>
  <r>
    <x v="17"/>
    <x v="100"/>
    <s v="State-74"/>
    <x v="17"/>
    <m/>
    <m/>
    <n v="1344"/>
  </r>
  <r>
    <x v="17"/>
    <x v="101"/>
    <s v="State-102"/>
    <x v="0"/>
    <m/>
    <m/>
    <n v="103415"/>
  </r>
  <r>
    <x v="17"/>
    <x v="101"/>
    <s v="State-102"/>
    <x v="183"/>
    <s v="219"/>
    <s v="Democratic"/>
    <n v="68001"/>
  </r>
  <r>
    <x v="17"/>
    <x v="101"/>
    <s v="State-102"/>
    <x v="184"/>
    <s v="220"/>
    <s v="Unaffiliated"/>
    <n v="24833"/>
  </r>
  <r>
    <x v="17"/>
    <x v="101"/>
    <s v="State-102"/>
    <x v="16"/>
    <m/>
    <m/>
    <n v="4"/>
  </r>
  <r>
    <x v="17"/>
    <x v="101"/>
    <s v="State-102"/>
    <x v="17"/>
    <m/>
    <m/>
    <n v="10577"/>
  </r>
  <r>
    <x v="17"/>
    <x v="102"/>
    <s v="State-103"/>
    <x v="0"/>
    <m/>
    <m/>
    <n v="117404"/>
  </r>
  <r>
    <x v="17"/>
    <x v="102"/>
    <s v="State-103"/>
    <x v="185"/>
    <s v="221"/>
    <s v="Republican"/>
    <n v="57464"/>
  </r>
  <r>
    <x v="17"/>
    <x v="102"/>
    <s v="State-103"/>
    <x v="186"/>
    <s v="222"/>
    <s v="Democratic"/>
    <n v="51660"/>
  </r>
  <r>
    <x v="17"/>
    <x v="102"/>
    <s v="State-103"/>
    <x v="16"/>
    <m/>
    <m/>
    <n v="5"/>
  </r>
  <r>
    <x v="17"/>
    <x v="102"/>
    <s v="State-103"/>
    <x v="17"/>
    <m/>
    <m/>
    <n v="8275"/>
  </r>
  <r>
    <x v="17"/>
    <x v="103"/>
    <s v="State-104"/>
    <x v="0"/>
    <m/>
    <m/>
    <n v="105224"/>
  </r>
  <r>
    <x v="17"/>
    <x v="103"/>
    <s v="State-104"/>
    <x v="187"/>
    <s v="223"/>
    <s v="Republican"/>
    <n v="67325"/>
  </r>
  <r>
    <x v="17"/>
    <x v="103"/>
    <s v="State-104"/>
    <x v="188"/>
    <s v="224"/>
    <s v="Democratic"/>
    <n v="29753"/>
  </r>
  <r>
    <x v="17"/>
    <x v="103"/>
    <s v="State-104"/>
    <x v="16"/>
    <m/>
    <m/>
    <n v="6"/>
  </r>
  <r>
    <x v="17"/>
    <x v="103"/>
    <s v="State-104"/>
    <x v="17"/>
    <m/>
    <m/>
    <n v="8140"/>
  </r>
  <r>
    <x v="17"/>
    <x v="104"/>
    <s v="State-105"/>
    <x v="0"/>
    <m/>
    <m/>
    <n v="19830"/>
  </r>
  <r>
    <x v="17"/>
    <x v="104"/>
    <s v="State-105"/>
    <x v="189"/>
    <s v="225"/>
    <s v="Republican"/>
    <n v="9545"/>
  </r>
  <r>
    <x v="17"/>
    <x v="104"/>
    <s v="State-105"/>
    <x v="190"/>
    <s v="226"/>
    <s v="Democratic"/>
    <n v="9128"/>
  </r>
  <r>
    <x v="17"/>
    <x v="104"/>
    <s v="State-105"/>
    <x v="16"/>
    <m/>
    <m/>
    <n v="2"/>
  </r>
  <r>
    <x v="17"/>
    <x v="104"/>
    <s v="State-105"/>
    <x v="17"/>
    <m/>
    <m/>
    <n v="1155"/>
  </r>
  <r>
    <x v="17"/>
    <x v="8"/>
    <s v="State-109"/>
    <x v="0"/>
    <m/>
    <m/>
    <n v="521756"/>
  </r>
  <r>
    <x v="17"/>
    <x v="8"/>
    <s v="State-109"/>
    <x v="46"/>
    <s v="232"/>
    <m/>
    <n v="305338"/>
  </r>
  <r>
    <x v="17"/>
    <x v="8"/>
    <s v="State-109"/>
    <x v="47"/>
    <s v="231"/>
    <m/>
    <n v="115074"/>
  </r>
  <r>
    <x v="17"/>
    <x v="8"/>
    <s v="State-109"/>
    <x v="16"/>
    <m/>
    <m/>
    <n v="60"/>
  </r>
  <r>
    <x v="17"/>
    <x v="8"/>
    <s v="State-109"/>
    <x v="17"/>
    <m/>
    <m/>
    <n v="101284"/>
  </r>
  <r>
    <x v="17"/>
    <x v="9"/>
    <s v="State-110"/>
    <x v="0"/>
    <m/>
    <m/>
    <n v="521756"/>
  </r>
  <r>
    <x v="17"/>
    <x v="9"/>
    <s v="State-110"/>
    <x v="46"/>
    <s v="233"/>
    <m/>
    <n v="301088"/>
  </r>
  <r>
    <x v="17"/>
    <x v="9"/>
    <s v="State-110"/>
    <x v="47"/>
    <s v="234"/>
    <m/>
    <n v="111028"/>
  </r>
  <r>
    <x v="17"/>
    <x v="9"/>
    <s v="State-110"/>
    <x v="16"/>
    <m/>
    <m/>
    <n v="38"/>
  </r>
  <r>
    <x v="17"/>
    <x v="9"/>
    <s v="State-110"/>
    <x v="17"/>
    <m/>
    <m/>
    <n v="109602"/>
  </r>
  <r>
    <x v="17"/>
    <x v="105"/>
    <s v="State-118"/>
    <x v="0"/>
    <m/>
    <m/>
    <n v="521756"/>
  </r>
  <r>
    <x v="17"/>
    <x v="105"/>
    <s v="State-118"/>
    <x v="46"/>
    <s v="249"/>
    <m/>
    <n v="302932"/>
  </r>
  <r>
    <x v="17"/>
    <x v="105"/>
    <s v="State-118"/>
    <x v="47"/>
    <s v="250"/>
    <m/>
    <n v="108763"/>
  </r>
  <r>
    <x v="17"/>
    <x v="105"/>
    <s v="State-118"/>
    <x v="16"/>
    <m/>
    <m/>
    <n v="57"/>
  </r>
  <r>
    <x v="17"/>
    <x v="105"/>
    <s v="State-118"/>
    <x v="17"/>
    <m/>
    <m/>
    <n v="110004"/>
  </r>
  <r>
    <x v="17"/>
    <x v="106"/>
    <s v="State-119"/>
    <x v="0"/>
    <m/>
    <m/>
    <n v="521756"/>
  </r>
  <r>
    <x v="17"/>
    <x v="106"/>
    <s v="State-119"/>
    <x v="46"/>
    <s v="252"/>
    <m/>
    <n v="305626"/>
  </r>
  <r>
    <x v="17"/>
    <x v="106"/>
    <s v="State-119"/>
    <x v="47"/>
    <s v="251"/>
    <m/>
    <n v="103446"/>
  </r>
  <r>
    <x v="17"/>
    <x v="106"/>
    <s v="State-119"/>
    <x v="16"/>
    <m/>
    <m/>
    <n v="54"/>
  </r>
  <r>
    <x v="17"/>
    <x v="106"/>
    <s v="State-119"/>
    <x v="17"/>
    <m/>
    <m/>
    <n v="112630"/>
  </r>
  <r>
    <x v="17"/>
    <x v="107"/>
    <s v="State-120"/>
    <x v="0"/>
    <m/>
    <m/>
    <n v="521756"/>
  </r>
  <r>
    <x v="17"/>
    <x v="107"/>
    <s v="State-120"/>
    <x v="46"/>
    <s v="253"/>
    <m/>
    <n v="301214"/>
  </r>
  <r>
    <x v="17"/>
    <x v="107"/>
    <s v="State-120"/>
    <x v="47"/>
    <s v="254"/>
    <m/>
    <n v="107480"/>
  </r>
  <r>
    <x v="17"/>
    <x v="107"/>
    <s v="State-120"/>
    <x v="16"/>
    <m/>
    <m/>
    <n v="70"/>
  </r>
  <r>
    <x v="17"/>
    <x v="107"/>
    <s v="State-120"/>
    <x v="17"/>
    <m/>
    <m/>
    <n v="112992"/>
  </r>
  <r>
    <x v="17"/>
    <x v="108"/>
    <s v="State-121"/>
    <x v="0"/>
    <m/>
    <m/>
    <n v="521756"/>
  </r>
  <r>
    <x v="17"/>
    <x v="108"/>
    <s v="State-121"/>
    <x v="46"/>
    <s v="255"/>
    <m/>
    <n v="297159"/>
  </r>
  <r>
    <x v="17"/>
    <x v="108"/>
    <s v="State-121"/>
    <x v="47"/>
    <s v="256"/>
    <m/>
    <n v="112017"/>
  </r>
  <r>
    <x v="17"/>
    <x v="108"/>
    <s v="State-121"/>
    <x v="16"/>
    <m/>
    <m/>
    <n v="56"/>
  </r>
  <r>
    <x v="17"/>
    <x v="108"/>
    <s v="State-121"/>
    <x v="17"/>
    <m/>
    <m/>
    <n v="112524"/>
  </r>
  <r>
    <x v="17"/>
    <x v="109"/>
    <s v="State-122"/>
    <x v="0"/>
    <m/>
    <m/>
    <n v="521756"/>
  </r>
  <r>
    <x v="17"/>
    <x v="109"/>
    <s v="State-122"/>
    <x v="46"/>
    <s v="258"/>
    <m/>
    <n v="301963"/>
  </r>
  <r>
    <x v="17"/>
    <x v="109"/>
    <s v="State-122"/>
    <x v="47"/>
    <s v="257"/>
    <m/>
    <n v="106868"/>
  </r>
  <r>
    <x v="17"/>
    <x v="109"/>
    <s v="State-122"/>
    <x v="16"/>
    <m/>
    <m/>
    <n v="44"/>
  </r>
  <r>
    <x v="17"/>
    <x v="109"/>
    <s v="State-122"/>
    <x v="17"/>
    <m/>
    <m/>
    <n v="112881"/>
  </r>
  <r>
    <x v="17"/>
    <x v="110"/>
    <s v="State-123"/>
    <x v="0"/>
    <m/>
    <m/>
    <n v="521756"/>
  </r>
  <r>
    <x v="17"/>
    <x v="110"/>
    <s v="State-123"/>
    <x v="46"/>
    <s v="259"/>
    <m/>
    <n v="296430"/>
  </r>
  <r>
    <x v="17"/>
    <x v="110"/>
    <s v="State-123"/>
    <x v="47"/>
    <s v="260"/>
    <m/>
    <n v="112426"/>
  </r>
  <r>
    <x v="17"/>
    <x v="110"/>
    <s v="State-123"/>
    <x v="16"/>
    <m/>
    <m/>
    <n v="72"/>
  </r>
  <r>
    <x v="17"/>
    <x v="110"/>
    <s v="State-123"/>
    <x v="17"/>
    <m/>
    <m/>
    <n v="112828"/>
  </r>
  <r>
    <x v="17"/>
    <x v="111"/>
    <s v="State-124"/>
    <x v="0"/>
    <m/>
    <m/>
    <n v="521756"/>
  </r>
  <r>
    <x v="17"/>
    <x v="111"/>
    <s v="State-124"/>
    <x v="46"/>
    <s v="262"/>
    <m/>
    <n v="318429"/>
  </r>
  <r>
    <x v="17"/>
    <x v="111"/>
    <s v="State-124"/>
    <x v="47"/>
    <s v="261"/>
    <m/>
    <n v="91343"/>
  </r>
  <r>
    <x v="17"/>
    <x v="111"/>
    <s v="State-124"/>
    <x v="16"/>
    <m/>
    <m/>
    <n v="50"/>
  </r>
  <r>
    <x v="17"/>
    <x v="111"/>
    <s v="State-124"/>
    <x v="17"/>
    <m/>
    <m/>
    <n v="111934"/>
  </r>
  <r>
    <x v="17"/>
    <x v="112"/>
    <s v="State-125"/>
    <x v="0"/>
    <m/>
    <m/>
    <n v="521756"/>
  </r>
  <r>
    <x v="17"/>
    <x v="112"/>
    <s v="State-125"/>
    <x v="46"/>
    <s v="263"/>
    <m/>
    <n v="319010"/>
  </r>
  <r>
    <x v="17"/>
    <x v="112"/>
    <s v="State-125"/>
    <x v="47"/>
    <s v="264"/>
    <m/>
    <n v="91580"/>
  </r>
  <r>
    <x v="17"/>
    <x v="112"/>
    <s v="State-125"/>
    <x v="16"/>
    <m/>
    <m/>
    <n v="42"/>
  </r>
  <r>
    <x v="17"/>
    <x v="112"/>
    <s v="State-125"/>
    <x v="17"/>
    <m/>
    <m/>
    <n v="111124"/>
  </r>
  <r>
    <x v="17"/>
    <x v="113"/>
    <s v="State-138"/>
    <x v="0"/>
    <m/>
    <m/>
    <n v="521756"/>
  </r>
  <r>
    <x v="17"/>
    <x v="113"/>
    <s v="State-138"/>
    <x v="46"/>
    <s v="289"/>
    <m/>
    <n v="315102"/>
  </r>
  <r>
    <x v="17"/>
    <x v="113"/>
    <s v="State-138"/>
    <x v="47"/>
    <s v="290"/>
    <m/>
    <n v="90829"/>
  </r>
  <r>
    <x v="17"/>
    <x v="113"/>
    <s v="State-138"/>
    <x v="16"/>
    <m/>
    <m/>
    <n v="46"/>
  </r>
  <r>
    <x v="17"/>
    <x v="113"/>
    <s v="State-138"/>
    <x v="17"/>
    <m/>
    <m/>
    <n v="115779"/>
  </r>
  <r>
    <x v="17"/>
    <x v="114"/>
    <s v="State-139"/>
    <x v="0"/>
    <m/>
    <m/>
    <n v="521756"/>
  </r>
  <r>
    <x v="17"/>
    <x v="114"/>
    <s v="State-139"/>
    <x v="46"/>
    <s v="292"/>
    <m/>
    <n v="315242"/>
  </r>
  <r>
    <x v="17"/>
    <x v="114"/>
    <s v="State-139"/>
    <x v="47"/>
    <s v="291"/>
    <m/>
    <n v="90349"/>
  </r>
  <r>
    <x v="17"/>
    <x v="114"/>
    <s v="State-139"/>
    <x v="16"/>
    <m/>
    <m/>
    <n v="244"/>
  </r>
  <r>
    <x v="17"/>
    <x v="114"/>
    <s v="State-139"/>
    <x v="17"/>
    <m/>
    <m/>
    <n v="115921"/>
  </r>
  <r>
    <x v="17"/>
    <x v="115"/>
    <s v="State-140"/>
    <x v="0"/>
    <m/>
    <m/>
    <n v="521756"/>
  </r>
  <r>
    <x v="17"/>
    <x v="115"/>
    <s v="State-140"/>
    <x v="46"/>
    <s v="294"/>
    <m/>
    <n v="319919"/>
  </r>
  <r>
    <x v="17"/>
    <x v="115"/>
    <s v="State-140"/>
    <x v="47"/>
    <s v="293"/>
    <m/>
    <n v="85722"/>
  </r>
  <r>
    <x v="17"/>
    <x v="115"/>
    <s v="State-140"/>
    <x v="16"/>
    <m/>
    <m/>
    <n v="93"/>
  </r>
  <r>
    <x v="17"/>
    <x v="115"/>
    <s v="State-140"/>
    <x v="17"/>
    <m/>
    <m/>
    <n v="116022"/>
  </r>
  <r>
    <x v="17"/>
    <x v="116"/>
    <s v="State-141"/>
    <x v="0"/>
    <m/>
    <m/>
    <n v="521756"/>
  </r>
  <r>
    <x v="17"/>
    <x v="116"/>
    <s v="State-141"/>
    <x v="46"/>
    <s v="295"/>
    <m/>
    <n v="313436"/>
  </r>
  <r>
    <x v="17"/>
    <x v="116"/>
    <s v="State-141"/>
    <x v="47"/>
    <s v="296"/>
    <m/>
    <n v="95167"/>
  </r>
  <r>
    <x v="17"/>
    <x v="116"/>
    <s v="State-141"/>
    <x v="16"/>
    <m/>
    <m/>
    <n v="122"/>
  </r>
  <r>
    <x v="17"/>
    <x v="116"/>
    <s v="State-141"/>
    <x v="17"/>
    <m/>
    <m/>
    <n v="113031"/>
  </r>
  <r>
    <x v="17"/>
    <x v="12"/>
    <s v="State-145"/>
    <x v="0"/>
    <m/>
    <m/>
    <n v="516712"/>
  </r>
  <r>
    <x v="17"/>
    <x v="12"/>
    <s v="State-145"/>
    <x v="48"/>
    <s v="303"/>
    <m/>
    <n v="355759"/>
  </r>
  <r>
    <x v="17"/>
    <x v="12"/>
    <s v="State-145"/>
    <x v="49"/>
    <s v="304"/>
    <m/>
    <n v="124371"/>
  </r>
  <r>
    <x v="17"/>
    <x v="12"/>
    <s v="State-145"/>
    <x v="16"/>
    <m/>
    <m/>
    <n v="34"/>
  </r>
  <r>
    <x v="17"/>
    <x v="12"/>
    <s v="State-145"/>
    <x v="17"/>
    <m/>
    <m/>
    <n v="36548"/>
  </r>
  <r>
    <x v="17"/>
    <x v="13"/>
    <s v="State-146"/>
    <x v="0"/>
    <m/>
    <m/>
    <n v="516712"/>
  </r>
  <r>
    <x v="17"/>
    <x v="13"/>
    <s v="State-146"/>
    <x v="48"/>
    <s v="305"/>
    <m/>
    <n v="389056"/>
  </r>
  <r>
    <x v="17"/>
    <x v="13"/>
    <s v="State-146"/>
    <x v="49"/>
    <s v="306"/>
    <m/>
    <n v="91100"/>
  </r>
  <r>
    <x v="17"/>
    <x v="13"/>
    <s v="State-146"/>
    <x v="16"/>
    <m/>
    <m/>
    <n v="40"/>
  </r>
  <r>
    <x v="17"/>
    <x v="13"/>
    <s v="State-146"/>
    <x v="17"/>
    <m/>
    <m/>
    <n v="36516"/>
  </r>
  <r>
    <x v="18"/>
    <x v="0"/>
    <s v="State-1"/>
    <x v="0"/>
    <m/>
    <m/>
    <n v="6441"/>
  </r>
  <r>
    <x v="18"/>
    <x v="0"/>
    <s v="State-1"/>
    <x v="1"/>
    <s v="9"/>
    <s v="Unaffiliated"/>
    <n v="16"/>
  </r>
  <r>
    <x v="18"/>
    <x v="0"/>
    <s v="State-1"/>
    <x v="2"/>
    <s v="3"/>
    <s v="Unaffiliated"/>
    <n v="10"/>
  </r>
  <r>
    <x v="18"/>
    <x v="0"/>
    <s v="State-1"/>
    <x v="3"/>
    <s v="13"/>
    <s v="Constitution"/>
    <n v="32"/>
  </r>
  <r>
    <x v="18"/>
    <x v="0"/>
    <s v="State-1"/>
    <x v="4"/>
    <s v="8"/>
    <s v="Green"/>
    <n v="14"/>
  </r>
  <r>
    <x v="18"/>
    <x v="0"/>
    <s v="State-1"/>
    <x v="5"/>
    <s v="5"/>
    <s v="Republican"/>
    <n v="3613"/>
  </r>
  <r>
    <x v="18"/>
    <x v="0"/>
    <s v="State-1"/>
    <x v="6"/>
    <s v="10"/>
    <s v="Libertarian"/>
    <n v="39"/>
  </r>
  <r>
    <x v="18"/>
    <x v="0"/>
    <s v="State-1"/>
    <x v="7"/>
    <s v="4"/>
    <s v="Democratic"/>
    <n v="2581"/>
  </r>
  <r>
    <x v="18"/>
    <x v="0"/>
    <s v="State-1"/>
    <x v="8"/>
    <s v="15"/>
    <s v="Unaffiliated"/>
    <n v="23"/>
  </r>
  <r>
    <x v="18"/>
    <x v="0"/>
    <s v="State-1"/>
    <x v="9"/>
    <s v="1"/>
    <s v="Unaffiliated"/>
    <n v="0"/>
  </r>
  <r>
    <x v="18"/>
    <x v="0"/>
    <s v="State-1"/>
    <x v="10"/>
    <s v="2"/>
    <s v="Unaffiliated"/>
    <n v="1"/>
  </r>
  <r>
    <x v="18"/>
    <x v="0"/>
    <s v="State-1"/>
    <x v="11"/>
    <s v="6"/>
    <s v="Unaffiliated"/>
    <n v="0"/>
  </r>
  <r>
    <x v="18"/>
    <x v="0"/>
    <s v="State-1"/>
    <x v="12"/>
    <s v="7"/>
    <s v="Unaffiliated"/>
    <n v="0"/>
  </r>
  <r>
    <x v="18"/>
    <x v="0"/>
    <s v="State-1"/>
    <x v="13"/>
    <s v="11"/>
    <s v="Unaffiliated"/>
    <n v="0"/>
  </r>
  <r>
    <x v="18"/>
    <x v="0"/>
    <s v="State-1"/>
    <x v="14"/>
    <s v="12"/>
    <s v="Unaffiliated"/>
    <n v="0"/>
  </r>
  <r>
    <x v="18"/>
    <x v="0"/>
    <s v="State-1"/>
    <x v="15"/>
    <s v="14"/>
    <s v="Unaffiliated"/>
    <n v="0"/>
  </r>
  <r>
    <x v="18"/>
    <x v="0"/>
    <s v="State-1"/>
    <x v="16"/>
    <m/>
    <m/>
    <n v="10"/>
  </r>
  <r>
    <x v="18"/>
    <x v="0"/>
    <s v="State-1"/>
    <x v="17"/>
    <m/>
    <m/>
    <n v="41"/>
  </r>
  <r>
    <x v="18"/>
    <x v="1"/>
    <s v="State-2"/>
    <x v="0"/>
    <m/>
    <m/>
    <n v="6441"/>
  </r>
  <r>
    <x v="18"/>
    <x v="1"/>
    <s v="State-2"/>
    <x v="18"/>
    <s v="19"/>
    <s v="Independent American"/>
    <n v="348"/>
  </r>
  <r>
    <x v="18"/>
    <x v="1"/>
    <s v="State-2"/>
    <x v="19"/>
    <s v="18"/>
    <s v="Republican"/>
    <n v="3694"/>
  </r>
  <r>
    <x v="18"/>
    <x v="1"/>
    <s v="State-2"/>
    <x v="20"/>
    <s v="17"/>
    <s v="Democratic"/>
    <n v="2141"/>
  </r>
  <r>
    <x v="18"/>
    <x v="1"/>
    <s v="State-2"/>
    <x v="21"/>
    <s v="16"/>
    <s v="Unaffiliated"/>
    <n v="1"/>
  </r>
  <r>
    <x v="18"/>
    <x v="1"/>
    <s v="State-2"/>
    <x v="16"/>
    <m/>
    <m/>
    <n v="20"/>
  </r>
  <r>
    <x v="18"/>
    <x v="1"/>
    <s v="State-2"/>
    <x v="17"/>
    <m/>
    <m/>
    <n v="201"/>
  </r>
  <r>
    <x v="18"/>
    <x v="24"/>
    <s v="State-5"/>
    <x v="0"/>
    <m/>
    <m/>
    <n v="6441"/>
  </r>
  <r>
    <x v="18"/>
    <x v="24"/>
    <s v="State-5"/>
    <x v="64"/>
    <s v="27"/>
    <s v="Republican"/>
    <n v="3636"/>
  </r>
  <r>
    <x v="18"/>
    <x v="24"/>
    <s v="State-5"/>
    <x v="65"/>
    <s v="28"/>
    <s v="Democratic"/>
    <n v="2370"/>
  </r>
  <r>
    <x v="18"/>
    <x v="24"/>
    <s v="State-5"/>
    <x v="16"/>
    <m/>
    <m/>
    <n v="2"/>
  </r>
  <r>
    <x v="18"/>
    <x v="24"/>
    <s v="State-5"/>
    <x v="17"/>
    <m/>
    <m/>
    <n v="433"/>
  </r>
  <r>
    <x v="18"/>
    <x v="3"/>
    <s v="State-7"/>
    <x v="0"/>
    <m/>
    <m/>
    <n v="6441"/>
  </r>
  <r>
    <x v="18"/>
    <x v="3"/>
    <s v="State-7"/>
    <x v="26"/>
    <s v="36"/>
    <s v="Republican"/>
    <n v="2241"/>
  </r>
  <r>
    <x v="18"/>
    <x v="3"/>
    <s v="State-7"/>
    <x v="27"/>
    <s v="40"/>
    <s v="Independent American"/>
    <n v="119"/>
  </r>
  <r>
    <x v="18"/>
    <x v="3"/>
    <s v="State-7"/>
    <x v="28"/>
    <s v="34"/>
    <s v="Democratic"/>
    <n v="1994"/>
  </r>
  <r>
    <x v="18"/>
    <x v="3"/>
    <s v="State-7"/>
    <x v="29"/>
    <s v="33"/>
    <s v="Libertarian"/>
    <n v="105"/>
  </r>
  <r>
    <x v="18"/>
    <x v="3"/>
    <s v="State-7"/>
    <x v="30"/>
    <s v="39"/>
    <s v="Unaffiliated"/>
    <n v="55"/>
  </r>
  <r>
    <x v="18"/>
    <x v="3"/>
    <s v="State-7"/>
    <x v="31"/>
    <s v="37"/>
    <s v="Unaffiliated"/>
    <n v="1715"/>
  </r>
  <r>
    <x v="18"/>
    <x v="3"/>
    <s v="State-7"/>
    <x v="32"/>
    <s v="38"/>
    <s v="Unaffiliated"/>
    <n v="6"/>
  </r>
  <r>
    <x v="18"/>
    <x v="3"/>
    <s v="State-7"/>
    <x v="16"/>
    <m/>
    <m/>
    <n v="24"/>
  </r>
  <r>
    <x v="18"/>
    <x v="3"/>
    <s v="State-7"/>
    <x v="17"/>
    <m/>
    <m/>
    <n v="170"/>
  </r>
  <r>
    <x v="18"/>
    <x v="4"/>
    <s v="State-8"/>
    <x v="0"/>
    <m/>
    <m/>
    <n v="6441"/>
  </r>
  <r>
    <x v="18"/>
    <x v="4"/>
    <s v="State-8"/>
    <x v="33"/>
    <s v="45"/>
    <s v="Republican"/>
    <n v="3373"/>
  </r>
  <r>
    <x v="18"/>
    <x v="4"/>
    <s v="State-8"/>
    <x v="34"/>
    <s v="41"/>
    <s v="Democratic"/>
    <n v="2169"/>
  </r>
  <r>
    <x v="18"/>
    <x v="4"/>
    <s v="State-8"/>
    <x v="35"/>
    <s v="42"/>
    <s v="Libertarian"/>
    <n v="232"/>
  </r>
  <r>
    <x v="18"/>
    <x v="4"/>
    <s v="State-8"/>
    <x v="36"/>
    <s v="43"/>
    <s v="Unaffiliated"/>
    <n v="166"/>
  </r>
  <r>
    <x v="18"/>
    <x v="4"/>
    <s v="State-8"/>
    <x v="37"/>
    <s v="44"/>
    <s v="United Utah Party"/>
    <n v="206"/>
  </r>
  <r>
    <x v="18"/>
    <x v="4"/>
    <s v="State-8"/>
    <x v="16"/>
    <m/>
    <m/>
    <n v="1"/>
  </r>
  <r>
    <x v="18"/>
    <x v="4"/>
    <s v="State-8"/>
    <x v="17"/>
    <m/>
    <m/>
    <n v="294"/>
  </r>
  <r>
    <x v="18"/>
    <x v="5"/>
    <s v="State-9"/>
    <x v="0"/>
    <m/>
    <m/>
    <n v="6441"/>
  </r>
  <r>
    <x v="18"/>
    <x v="5"/>
    <s v="State-9"/>
    <x v="38"/>
    <s v="48"/>
    <s v="Republican"/>
    <n v="3577"/>
  </r>
  <r>
    <x v="18"/>
    <x v="5"/>
    <s v="State-9"/>
    <x v="39"/>
    <s v="46"/>
    <s v="Constitution"/>
    <n v="276"/>
  </r>
  <r>
    <x v="18"/>
    <x v="5"/>
    <s v="State-9"/>
    <x v="40"/>
    <s v="47"/>
    <s v="Democratic"/>
    <n v="2241"/>
  </r>
  <r>
    <x v="18"/>
    <x v="5"/>
    <s v="State-9"/>
    <x v="16"/>
    <m/>
    <m/>
    <n v="0"/>
  </r>
  <r>
    <x v="18"/>
    <x v="5"/>
    <s v="State-9"/>
    <x v="17"/>
    <m/>
    <m/>
    <n v="347"/>
  </r>
  <r>
    <x v="18"/>
    <x v="6"/>
    <s v="State-10"/>
    <x v="0"/>
    <m/>
    <m/>
    <n v="6441"/>
  </r>
  <r>
    <x v="18"/>
    <x v="6"/>
    <s v="State-10"/>
    <x v="41"/>
    <s v="49"/>
    <s v="Utah Forward"/>
    <n v="204"/>
  </r>
  <r>
    <x v="18"/>
    <x v="6"/>
    <s v="State-10"/>
    <x v="42"/>
    <s v="50"/>
    <s v="Republican"/>
    <n v="3550"/>
  </r>
  <r>
    <x v="18"/>
    <x v="6"/>
    <s v="State-10"/>
    <x v="43"/>
    <s v="51"/>
    <s v="Democratic"/>
    <n v="2308"/>
  </r>
  <r>
    <x v="18"/>
    <x v="6"/>
    <s v="State-10"/>
    <x v="16"/>
    <m/>
    <m/>
    <n v="1"/>
  </r>
  <r>
    <x v="18"/>
    <x v="6"/>
    <s v="State-10"/>
    <x v="17"/>
    <m/>
    <m/>
    <n v="378"/>
  </r>
  <r>
    <x v="18"/>
    <x v="25"/>
    <s v="State-23"/>
    <x v="0"/>
    <m/>
    <m/>
    <n v="6441"/>
  </r>
  <r>
    <x v="18"/>
    <x v="25"/>
    <s v="State-23"/>
    <x v="66"/>
    <s v="78"/>
    <s v="Unaffiliated"/>
    <n v="201"/>
  </r>
  <r>
    <x v="18"/>
    <x v="25"/>
    <s v="State-23"/>
    <x v="67"/>
    <s v="76"/>
    <s v="Democratic"/>
    <n v="2280"/>
  </r>
  <r>
    <x v="18"/>
    <x v="25"/>
    <s v="State-23"/>
    <x v="68"/>
    <s v="77"/>
    <s v="Republican"/>
    <n v="3554"/>
  </r>
  <r>
    <x v="18"/>
    <x v="25"/>
    <s v="State-23"/>
    <x v="16"/>
    <m/>
    <m/>
    <n v="1"/>
  </r>
  <r>
    <x v="18"/>
    <x v="25"/>
    <s v="State-23"/>
    <x v="17"/>
    <m/>
    <m/>
    <n v="405"/>
  </r>
  <r>
    <x v="18"/>
    <x v="51"/>
    <s v="State-94"/>
    <x v="0"/>
    <m/>
    <m/>
    <n v="6441"/>
  </r>
  <r>
    <x v="18"/>
    <x v="51"/>
    <s v="State-94"/>
    <x v="100"/>
    <s v="206"/>
    <s v="Republican"/>
    <n v="3518"/>
  </r>
  <r>
    <x v="18"/>
    <x v="51"/>
    <s v="State-94"/>
    <x v="101"/>
    <s v="207"/>
    <s v="Democratic"/>
    <n v="2665"/>
  </r>
  <r>
    <x v="18"/>
    <x v="51"/>
    <s v="State-94"/>
    <x v="16"/>
    <m/>
    <m/>
    <n v="4"/>
  </r>
  <r>
    <x v="18"/>
    <x v="51"/>
    <s v="State-94"/>
    <x v="17"/>
    <m/>
    <m/>
    <n v="254"/>
  </r>
  <r>
    <x v="18"/>
    <x v="53"/>
    <s v="State-108"/>
    <x v="0"/>
    <m/>
    <m/>
    <n v="6441"/>
  </r>
  <r>
    <x v="18"/>
    <x v="53"/>
    <s v="State-108"/>
    <x v="103"/>
    <s v="230"/>
    <s v="Republican"/>
    <n v="4624"/>
  </r>
  <r>
    <x v="18"/>
    <x v="53"/>
    <s v="State-108"/>
    <x v="16"/>
    <m/>
    <m/>
    <n v="0"/>
  </r>
  <r>
    <x v="18"/>
    <x v="53"/>
    <s v="State-108"/>
    <x v="17"/>
    <m/>
    <m/>
    <n v="1817"/>
  </r>
  <r>
    <x v="18"/>
    <x v="8"/>
    <s v="State-109"/>
    <x v="0"/>
    <m/>
    <m/>
    <n v="6441"/>
  </r>
  <r>
    <x v="18"/>
    <x v="8"/>
    <s v="State-109"/>
    <x v="46"/>
    <s v="232"/>
    <m/>
    <n v="3755"/>
  </r>
  <r>
    <x v="18"/>
    <x v="8"/>
    <s v="State-109"/>
    <x v="47"/>
    <s v="231"/>
    <m/>
    <n v="1513"/>
  </r>
  <r>
    <x v="18"/>
    <x v="8"/>
    <s v="State-109"/>
    <x v="16"/>
    <m/>
    <m/>
    <n v="6"/>
  </r>
  <r>
    <x v="18"/>
    <x v="8"/>
    <s v="State-109"/>
    <x v="17"/>
    <m/>
    <m/>
    <n v="1167"/>
  </r>
  <r>
    <x v="18"/>
    <x v="9"/>
    <s v="State-110"/>
    <x v="0"/>
    <m/>
    <m/>
    <n v="6441"/>
  </r>
  <r>
    <x v="18"/>
    <x v="9"/>
    <s v="State-110"/>
    <x v="46"/>
    <s v="233"/>
    <m/>
    <n v="3695"/>
  </r>
  <r>
    <x v="18"/>
    <x v="9"/>
    <s v="State-110"/>
    <x v="47"/>
    <s v="234"/>
    <m/>
    <n v="1514"/>
  </r>
  <r>
    <x v="18"/>
    <x v="9"/>
    <s v="State-110"/>
    <x v="16"/>
    <m/>
    <m/>
    <n v="1"/>
  </r>
  <r>
    <x v="18"/>
    <x v="9"/>
    <s v="State-110"/>
    <x v="17"/>
    <m/>
    <m/>
    <n v="1231"/>
  </r>
  <r>
    <x v="18"/>
    <x v="27"/>
    <s v="State-133"/>
    <x v="0"/>
    <m/>
    <m/>
    <n v="6441"/>
  </r>
  <r>
    <x v="18"/>
    <x v="27"/>
    <s v="State-133"/>
    <x v="46"/>
    <s v="280"/>
    <m/>
    <n v="3722"/>
  </r>
  <r>
    <x v="18"/>
    <x v="27"/>
    <s v="State-133"/>
    <x v="47"/>
    <s v="279"/>
    <m/>
    <n v="1479"/>
  </r>
  <r>
    <x v="18"/>
    <x v="27"/>
    <s v="State-133"/>
    <x v="16"/>
    <m/>
    <m/>
    <n v="0"/>
  </r>
  <r>
    <x v="18"/>
    <x v="27"/>
    <s v="State-133"/>
    <x v="17"/>
    <m/>
    <m/>
    <n v="1240"/>
  </r>
  <r>
    <x v="18"/>
    <x v="12"/>
    <s v="State-145"/>
    <x v="0"/>
    <m/>
    <m/>
    <n v="6441"/>
  </r>
  <r>
    <x v="18"/>
    <x v="12"/>
    <s v="State-145"/>
    <x v="48"/>
    <s v="303"/>
    <m/>
    <n v="4039"/>
  </r>
  <r>
    <x v="18"/>
    <x v="12"/>
    <s v="State-145"/>
    <x v="49"/>
    <s v="304"/>
    <m/>
    <n v="1853"/>
  </r>
  <r>
    <x v="18"/>
    <x v="12"/>
    <s v="State-145"/>
    <x v="16"/>
    <m/>
    <m/>
    <n v="3"/>
  </r>
  <r>
    <x v="18"/>
    <x v="12"/>
    <s v="State-145"/>
    <x v="17"/>
    <m/>
    <m/>
    <n v="546"/>
  </r>
  <r>
    <x v="18"/>
    <x v="13"/>
    <s v="State-146"/>
    <x v="0"/>
    <m/>
    <m/>
    <n v="6441"/>
  </r>
  <r>
    <x v="18"/>
    <x v="13"/>
    <s v="State-146"/>
    <x v="48"/>
    <s v="305"/>
    <m/>
    <n v="5043"/>
  </r>
  <r>
    <x v="18"/>
    <x v="13"/>
    <s v="State-146"/>
    <x v="49"/>
    <s v="306"/>
    <m/>
    <n v="885"/>
  </r>
  <r>
    <x v="18"/>
    <x v="13"/>
    <s v="State-146"/>
    <x v="16"/>
    <m/>
    <m/>
    <n v="3"/>
  </r>
  <r>
    <x v="18"/>
    <x v="13"/>
    <s v="State-146"/>
    <x v="17"/>
    <m/>
    <m/>
    <n v="510"/>
  </r>
  <r>
    <x v="19"/>
    <x v="0"/>
    <s v="State-1"/>
    <x v="0"/>
    <m/>
    <m/>
    <n v="13226"/>
  </r>
  <r>
    <x v="19"/>
    <x v="0"/>
    <s v="State-1"/>
    <x v="1"/>
    <s v="9"/>
    <s v="Unaffiliated"/>
    <n v="17"/>
  </r>
  <r>
    <x v="19"/>
    <x v="0"/>
    <s v="State-1"/>
    <x v="2"/>
    <s v="3"/>
    <s v="Unaffiliated"/>
    <n v="15"/>
  </r>
  <r>
    <x v="19"/>
    <x v="0"/>
    <s v="State-1"/>
    <x v="3"/>
    <s v="13"/>
    <s v="Constitution"/>
    <n v="197"/>
  </r>
  <r>
    <x v="19"/>
    <x v="0"/>
    <s v="State-1"/>
    <x v="4"/>
    <s v="8"/>
    <s v="Green"/>
    <n v="35"/>
  </r>
  <r>
    <x v="19"/>
    <x v="0"/>
    <s v="State-1"/>
    <x v="5"/>
    <s v="5"/>
    <s v="Republican"/>
    <n v="10653"/>
  </r>
  <r>
    <x v="19"/>
    <x v="0"/>
    <s v="State-1"/>
    <x v="6"/>
    <s v="10"/>
    <s v="Libertarian"/>
    <n v="101"/>
  </r>
  <r>
    <x v="19"/>
    <x v="0"/>
    <s v="State-1"/>
    <x v="7"/>
    <s v="4"/>
    <s v="Democratic"/>
    <n v="1906"/>
  </r>
  <r>
    <x v="19"/>
    <x v="0"/>
    <s v="State-1"/>
    <x v="8"/>
    <s v="15"/>
    <s v="Unaffiliated"/>
    <n v="19"/>
  </r>
  <r>
    <x v="19"/>
    <x v="0"/>
    <s v="State-1"/>
    <x v="9"/>
    <s v="1"/>
    <s v="Unaffiliated"/>
    <n v="0"/>
  </r>
  <r>
    <x v="19"/>
    <x v="0"/>
    <s v="State-1"/>
    <x v="10"/>
    <s v="2"/>
    <s v="Unaffiliated"/>
    <n v="0"/>
  </r>
  <r>
    <x v="19"/>
    <x v="0"/>
    <s v="State-1"/>
    <x v="11"/>
    <s v="6"/>
    <s v="Unaffiliated"/>
    <n v="0"/>
  </r>
  <r>
    <x v="19"/>
    <x v="0"/>
    <s v="State-1"/>
    <x v="12"/>
    <s v="7"/>
    <s v="Unaffiliated"/>
    <n v="1"/>
  </r>
  <r>
    <x v="19"/>
    <x v="0"/>
    <s v="State-1"/>
    <x v="13"/>
    <s v="11"/>
    <s v="Unaffiliated"/>
    <n v="0"/>
  </r>
  <r>
    <x v="19"/>
    <x v="0"/>
    <s v="State-1"/>
    <x v="14"/>
    <s v="12"/>
    <s v="Unaffiliated"/>
    <n v="0"/>
  </r>
  <r>
    <x v="19"/>
    <x v="0"/>
    <s v="State-1"/>
    <x v="15"/>
    <s v="14"/>
    <s v="Unaffiliated"/>
    <n v="0"/>
  </r>
  <r>
    <x v="19"/>
    <x v="0"/>
    <s v="State-1"/>
    <x v="16"/>
    <m/>
    <m/>
    <n v="11"/>
  </r>
  <r>
    <x v="19"/>
    <x v="0"/>
    <s v="State-1"/>
    <x v="17"/>
    <m/>
    <m/>
    <n v="95"/>
  </r>
  <r>
    <x v="19"/>
    <x v="1"/>
    <s v="State-2"/>
    <x v="0"/>
    <m/>
    <m/>
    <n v="13226"/>
  </r>
  <r>
    <x v="19"/>
    <x v="1"/>
    <s v="State-2"/>
    <x v="18"/>
    <s v="19"/>
    <s v="Independent American"/>
    <n v="1166"/>
  </r>
  <r>
    <x v="19"/>
    <x v="1"/>
    <s v="State-2"/>
    <x v="19"/>
    <s v="18"/>
    <s v="Republican"/>
    <n v="10173"/>
  </r>
  <r>
    <x v="19"/>
    <x v="1"/>
    <s v="State-2"/>
    <x v="20"/>
    <s v="17"/>
    <s v="Democratic"/>
    <n v="1429"/>
  </r>
  <r>
    <x v="19"/>
    <x v="1"/>
    <s v="State-2"/>
    <x v="21"/>
    <s v="16"/>
    <s v="Unaffiliated"/>
    <n v="2"/>
  </r>
  <r>
    <x v="19"/>
    <x v="1"/>
    <s v="State-2"/>
    <x v="16"/>
    <m/>
    <m/>
    <n v="0"/>
  </r>
  <r>
    <x v="19"/>
    <x v="1"/>
    <s v="State-2"/>
    <x v="17"/>
    <m/>
    <m/>
    <n v="351"/>
  </r>
  <r>
    <x v="19"/>
    <x v="55"/>
    <s v="State-6"/>
    <x v="0"/>
    <m/>
    <m/>
    <n v="13226"/>
  </r>
  <r>
    <x v="19"/>
    <x v="55"/>
    <s v="State-6"/>
    <x v="106"/>
    <s v="32"/>
    <s v="Unaffiliated"/>
    <n v="184"/>
  </r>
  <r>
    <x v="19"/>
    <x v="55"/>
    <s v="State-6"/>
    <x v="107"/>
    <s v="29"/>
    <s v="United Utah Party"/>
    <n v="523"/>
  </r>
  <r>
    <x v="19"/>
    <x v="55"/>
    <s v="State-6"/>
    <x v="108"/>
    <s v="31"/>
    <s v="Democratic"/>
    <n v="1462"/>
  </r>
  <r>
    <x v="19"/>
    <x v="55"/>
    <s v="State-6"/>
    <x v="109"/>
    <s v="30"/>
    <s v="Republican"/>
    <n v="10617"/>
  </r>
  <r>
    <x v="19"/>
    <x v="55"/>
    <s v="State-6"/>
    <x v="16"/>
    <m/>
    <m/>
    <n v="2"/>
  </r>
  <r>
    <x v="19"/>
    <x v="55"/>
    <s v="State-6"/>
    <x v="17"/>
    <m/>
    <m/>
    <n v="438"/>
  </r>
  <r>
    <x v="19"/>
    <x v="3"/>
    <s v="State-7"/>
    <x v="0"/>
    <m/>
    <m/>
    <n v="13226"/>
  </r>
  <r>
    <x v="19"/>
    <x v="3"/>
    <s v="State-7"/>
    <x v="26"/>
    <s v="36"/>
    <s v="Republican"/>
    <n v="8052"/>
  </r>
  <r>
    <x v="19"/>
    <x v="3"/>
    <s v="State-7"/>
    <x v="27"/>
    <s v="40"/>
    <s v="Independent American"/>
    <n v="370"/>
  </r>
  <r>
    <x v="19"/>
    <x v="3"/>
    <s v="State-7"/>
    <x v="28"/>
    <s v="34"/>
    <s v="Democratic"/>
    <n v="1240"/>
  </r>
  <r>
    <x v="19"/>
    <x v="3"/>
    <s v="State-7"/>
    <x v="29"/>
    <s v="33"/>
    <s v="Libertarian"/>
    <n v="322"/>
  </r>
  <r>
    <x v="19"/>
    <x v="3"/>
    <s v="State-7"/>
    <x v="30"/>
    <s v="39"/>
    <s v="Unaffiliated"/>
    <n v="68"/>
  </r>
  <r>
    <x v="19"/>
    <x v="3"/>
    <s v="State-7"/>
    <x v="31"/>
    <s v="37"/>
    <s v="Unaffiliated"/>
    <n v="2767"/>
  </r>
  <r>
    <x v="19"/>
    <x v="3"/>
    <s v="State-7"/>
    <x v="32"/>
    <s v="38"/>
    <s v="Unaffiliated"/>
    <n v="2"/>
  </r>
  <r>
    <x v="19"/>
    <x v="3"/>
    <s v="State-7"/>
    <x v="16"/>
    <m/>
    <m/>
    <n v="3"/>
  </r>
  <r>
    <x v="19"/>
    <x v="3"/>
    <s v="State-7"/>
    <x v="17"/>
    <m/>
    <m/>
    <n v="302"/>
  </r>
  <r>
    <x v="19"/>
    <x v="4"/>
    <s v="State-8"/>
    <x v="0"/>
    <m/>
    <m/>
    <n v="13226"/>
  </r>
  <r>
    <x v="19"/>
    <x v="4"/>
    <s v="State-8"/>
    <x v="33"/>
    <s v="45"/>
    <s v="Republican"/>
    <n v="9751"/>
  </r>
  <r>
    <x v="19"/>
    <x v="4"/>
    <s v="State-8"/>
    <x v="34"/>
    <s v="41"/>
    <s v="Democratic"/>
    <n v="1325"/>
  </r>
  <r>
    <x v="19"/>
    <x v="4"/>
    <s v="State-8"/>
    <x v="35"/>
    <s v="42"/>
    <s v="Libertarian"/>
    <n v="414"/>
  </r>
  <r>
    <x v="19"/>
    <x v="4"/>
    <s v="State-8"/>
    <x v="36"/>
    <s v="43"/>
    <s v="Unaffiliated"/>
    <n v="662"/>
  </r>
  <r>
    <x v="19"/>
    <x v="4"/>
    <s v="State-8"/>
    <x v="37"/>
    <s v="44"/>
    <s v="United Utah Party"/>
    <n v="597"/>
  </r>
  <r>
    <x v="19"/>
    <x v="4"/>
    <s v="State-8"/>
    <x v="16"/>
    <m/>
    <m/>
    <n v="0"/>
  </r>
  <r>
    <x v="19"/>
    <x v="4"/>
    <s v="State-8"/>
    <x v="17"/>
    <m/>
    <m/>
    <n v="477"/>
  </r>
  <r>
    <x v="19"/>
    <x v="5"/>
    <s v="State-9"/>
    <x v="0"/>
    <m/>
    <m/>
    <n v="13226"/>
  </r>
  <r>
    <x v="19"/>
    <x v="5"/>
    <s v="State-9"/>
    <x v="38"/>
    <s v="48"/>
    <s v="Republican"/>
    <n v="10183"/>
  </r>
  <r>
    <x v="19"/>
    <x v="5"/>
    <s v="State-9"/>
    <x v="39"/>
    <s v="46"/>
    <s v="Constitution"/>
    <n v="981"/>
  </r>
  <r>
    <x v="19"/>
    <x v="5"/>
    <s v="State-9"/>
    <x v="40"/>
    <s v="47"/>
    <s v="Democratic"/>
    <n v="1438"/>
  </r>
  <r>
    <x v="19"/>
    <x v="5"/>
    <s v="State-9"/>
    <x v="16"/>
    <m/>
    <m/>
    <n v="0"/>
  </r>
  <r>
    <x v="19"/>
    <x v="5"/>
    <s v="State-9"/>
    <x v="17"/>
    <m/>
    <m/>
    <n v="624"/>
  </r>
  <r>
    <x v="19"/>
    <x v="6"/>
    <s v="State-10"/>
    <x v="0"/>
    <m/>
    <m/>
    <n v="13226"/>
  </r>
  <r>
    <x v="19"/>
    <x v="6"/>
    <s v="State-10"/>
    <x v="41"/>
    <s v="49"/>
    <s v="Utah Forward"/>
    <n v="480"/>
  </r>
  <r>
    <x v="19"/>
    <x v="6"/>
    <s v="State-10"/>
    <x v="42"/>
    <s v="50"/>
    <s v="Republican"/>
    <n v="10534"/>
  </r>
  <r>
    <x v="19"/>
    <x v="6"/>
    <s v="State-10"/>
    <x v="43"/>
    <s v="51"/>
    <s v="Democratic"/>
    <n v="1470"/>
  </r>
  <r>
    <x v="19"/>
    <x v="6"/>
    <s v="State-10"/>
    <x v="16"/>
    <m/>
    <m/>
    <n v="1"/>
  </r>
  <r>
    <x v="19"/>
    <x v="6"/>
    <s v="State-10"/>
    <x v="17"/>
    <m/>
    <m/>
    <n v="741"/>
  </r>
  <r>
    <x v="19"/>
    <x v="52"/>
    <s v="State-24"/>
    <x v="0"/>
    <m/>
    <m/>
    <n v="13226"/>
  </r>
  <r>
    <x v="19"/>
    <x v="52"/>
    <s v="State-24"/>
    <x v="102"/>
    <s v="79"/>
    <s v="Republican"/>
    <n v="11185"/>
  </r>
  <r>
    <x v="19"/>
    <x v="52"/>
    <s v="State-24"/>
    <x v="16"/>
    <m/>
    <m/>
    <n v="0"/>
  </r>
  <r>
    <x v="19"/>
    <x v="52"/>
    <s v="State-24"/>
    <x v="17"/>
    <m/>
    <m/>
    <n v="2041"/>
  </r>
  <r>
    <x v="19"/>
    <x v="57"/>
    <s v="State-91"/>
    <x v="0"/>
    <m/>
    <m/>
    <n v="13226"/>
  </r>
  <r>
    <x v="19"/>
    <x v="57"/>
    <s v="State-91"/>
    <x v="112"/>
    <s v="202"/>
    <s v="Republican"/>
    <n v="11111"/>
  </r>
  <r>
    <x v="19"/>
    <x v="57"/>
    <s v="State-91"/>
    <x v="16"/>
    <m/>
    <m/>
    <n v="0"/>
  </r>
  <r>
    <x v="19"/>
    <x v="57"/>
    <s v="State-91"/>
    <x v="17"/>
    <m/>
    <m/>
    <n v="2115"/>
  </r>
  <r>
    <x v="19"/>
    <x v="8"/>
    <s v="State-109"/>
    <x v="0"/>
    <m/>
    <m/>
    <n v="13226"/>
  </r>
  <r>
    <x v="19"/>
    <x v="8"/>
    <s v="State-109"/>
    <x v="46"/>
    <s v="232"/>
    <m/>
    <n v="9115"/>
  </r>
  <r>
    <x v="19"/>
    <x v="8"/>
    <s v="State-109"/>
    <x v="47"/>
    <s v="231"/>
    <m/>
    <n v="2378"/>
  </r>
  <r>
    <x v="19"/>
    <x v="8"/>
    <s v="State-109"/>
    <x v="16"/>
    <m/>
    <m/>
    <n v="6"/>
  </r>
  <r>
    <x v="19"/>
    <x v="8"/>
    <s v="State-109"/>
    <x v="17"/>
    <m/>
    <m/>
    <n v="1727"/>
  </r>
  <r>
    <x v="19"/>
    <x v="9"/>
    <s v="State-110"/>
    <x v="0"/>
    <m/>
    <m/>
    <n v="13226"/>
  </r>
  <r>
    <x v="19"/>
    <x v="9"/>
    <s v="State-110"/>
    <x v="46"/>
    <s v="233"/>
    <m/>
    <n v="9005"/>
  </r>
  <r>
    <x v="19"/>
    <x v="9"/>
    <s v="State-110"/>
    <x v="47"/>
    <s v="234"/>
    <m/>
    <n v="2386"/>
  </r>
  <r>
    <x v="19"/>
    <x v="9"/>
    <s v="State-110"/>
    <x v="16"/>
    <m/>
    <m/>
    <n v="0"/>
  </r>
  <r>
    <x v="19"/>
    <x v="9"/>
    <s v="State-110"/>
    <x v="17"/>
    <m/>
    <m/>
    <n v="1835"/>
  </r>
  <r>
    <x v="19"/>
    <x v="12"/>
    <s v="State-145"/>
    <x v="0"/>
    <m/>
    <m/>
    <n v="13226"/>
  </r>
  <r>
    <x v="19"/>
    <x v="12"/>
    <s v="State-145"/>
    <x v="48"/>
    <s v="303"/>
    <m/>
    <n v="7766"/>
  </r>
  <r>
    <x v="19"/>
    <x v="12"/>
    <s v="State-145"/>
    <x v="49"/>
    <s v="304"/>
    <m/>
    <n v="4648"/>
  </r>
  <r>
    <x v="19"/>
    <x v="12"/>
    <s v="State-145"/>
    <x v="16"/>
    <m/>
    <m/>
    <n v="7"/>
  </r>
  <r>
    <x v="19"/>
    <x v="12"/>
    <s v="State-145"/>
    <x v="17"/>
    <m/>
    <m/>
    <n v="805"/>
  </r>
  <r>
    <x v="19"/>
    <x v="13"/>
    <s v="State-146"/>
    <x v="0"/>
    <m/>
    <m/>
    <n v="13226"/>
  </r>
  <r>
    <x v="19"/>
    <x v="13"/>
    <s v="State-146"/>
    <x v="48"/>
    <s v="305"/>
    <m/>
    <n v="10780"/>
  </r>
  <r>
    <x v="19"/>
    <x v="13"/>
    <s v="State-146"/>
    <x v="49"/>
    <s v="306"/>
    <m/>
    <n v="1739"/>
  </r>
  <r>
    <x v="19"/>
    <x v="13"/>
    <s v="State-146"/>
    <x v="16"/>
    <m/>
    <m/>
    <n v="0"/>
  </r>
  <r>
    <x v="19"/>
    <x v="13"/>
    <s v="State-146"/>
    <x v="17"/>
    <m/>
    <m/>
    <n v="707"/>
  </r>
  <r>
    <x v="20"/>
    <x v="0"/>
    <s v="State-1"/>
    <x v="0"/>
    <m/>
    <m/>
    <n v="11072"/>
  </r>
  <r>
    <x v="20"/>
    <x v="0"/>
    <s v="State-1"/>
    <x v="1"/>
    <s v="9"/>
    <s v="Unaffiliated"/>
    <n v="4"/>
  </r>
  <r>
    <x v="20"/>
    <x v="0"/>
    <s v="State-1"/>
    <x v="2"/>
    <s v="3"/>
    <s v="Unaffiliated"/>
    <n v="11"/>
  </r>
  <r>
    <x v="20"/>
    <x v="0"/>
    <s v="State-1"/>
    <x v="3"/>
    <s v="13"/>
    <s v="Constitution"/>
    <n v="47"/>
  </r>
  <r>
    <x v="20"/>
    <x v="0"/>
    <s v="State-1"/>
    <x v="4"/>
    <s v="8"/>
    <s v="Green"/>
    <n v="27"/>
  </r>
  <r>
    <x v="20"/>
    <x v="0"/>
    <s v="State-1"/>
    <x v="5"/>
    <s v="5"/>
    <s v="Republican"/>
    <n v="9526"/>
  </r>
  <r>
    <x v="20"/>
    <x v="0"/>
    <s v="State-1"/>
    <x v="6"/>
    <s v="10"/>
    <s v="Libertarian"/>
    <n v="64"/>
  </r>
  <r>
    <x v="20"/>
    <x v="0"/>
    <s v="State-1"/>
    <x v="7"/>
    <s v="4"/>
    <s v="Democratic"/>
    <n v="1236"/>
  </r>
  <r>
    <x v="20"/>
    <x v="0"/>
    <s v="State-1"/>
    <x v="8"/>
    <s v="15"/>
    <s v="Unaffiliated"/>
    <n v="11"/>
  </r>
  <r>
    <x v="20"/>
    <x v="0"/>
    <s v="State-1"/>
    <x v="9"/>
    <s v="1"/>
    <s v="Unaffiliated"/>
    <n v="0"/>
  </r>
  <r>
    <x v="20"/>
    <x v="0"/>
    <s v="State-1"/>
    <x v="10"/>
    <s v="2"/>
    <s v="Unaffiliated"/>
    <n v="0"/>
  </r>
  <r>
    <x v="20"/>
    <x v="0"/>
    <s v="State-1"/>
    <x v="11"/>
    <s v="6"/>
    <s v="Unaffiliated"/>
    <n v="0"/>
  </r>
  <r>
    <x v="20"/>
    <x v="0"/>
    <s v="State-1"/>
    <x v="12"/>
    <s v="7"/>
    <s v="Unaffiliated"/>
    <n v="0"/>
  </r>
  <r>
    <x v="20"/>
    <x v="0"/>
    <s v="State-1"/>
    <x v="13"/>
    <s v="11"/>
    <s v="Unaffiliated"/>
    <n v="0"/>
  </r>
  <r>
    <x v="20"/>
    <x v="0"/>
    <s v="State-1"/>
    <x v="14"/>
    <s v="12"/>
    <s v="Unaffiliated"/>
    <n v="0"/>
  </r>
  <r>
    <x v="20"/>
    <x v="0"/>
    <s v="State-1"/>
    <x v="15"/>
    <s v="14"/>
    <s v="Unaffiliated"/>
    <n v="0"/>
  </r>
  <r>
    <x v="20"/>
    <x v="0"/>
    <s v="State-1"/>
    <x v="16"/>
    <m/>
    <m/>
    <n v="1"/>
  </r>
  <r>
    <x v="20"/>
    <x v="0"/>
    <s v="State-1"/>
    <x v="17"/>
    <m/>
    <m/>
    <n v="80"/>
  </r>
  <r>
    <x v="20"/>
    <x v="1"/>
    <s v="State-2"/>
    <x v="0"/>
    <m/>
    <m/>
    <n v="11072"/>
  </r>
  <r>
    <x v="20"/>
    <x v="1"/>
    <s v="State-2"/>
    <x v="18"/>
    <s v="19"/>
    <s v="Independent American"/>
    <n v="739"/>
  </r>
  <r>
    <x v="20"/>
    <x v="1"/>
    <s v="State-2"/>
    <x v="19"/>
    <s v="18"/>
    <s v="Republican"/>
    <n v="9103"/>
  </r>
  <r>
    <x v="20"/>
    <x v="1"/>
    <s v="State-2"/>
    <x v="20"/>
    <s v="17"/>
    <s v="Democratic"/>
    <n v="938"/>
  </r>
  <r>
    <x v="20"/>
    <x v="1"/>
    <s v="State-2"/>
    <x v="21"/>
    <s v="16"/>
    <s v="Unaffiliated"/>
    <n v="0"/>
  </r>
  <r>
    <x v="20"/>
    <x v="1"/>
    <s v="State-2"/>
    <x v="16"/>
    <m/>
    <m/>
    <n v="4"/>
  </r>
  <r>
    <x v="20"/>
    <x v="1"/>
    <s v="State-2"/>
    <x v="17"/>
    <m/>
    <m/>
    <n v="249"/>
  </r>
  <r>
    <x v="20"/>
    <x v="2"/>
    <s v="State-4"/>
    <x v="0"/>
    <m/>
    <m/>
    <n v="11072"/>
  </r>
  <r>
    <x v="20"/>
    <x v="2"/>
    <s v="State-4"/>
    <x v="22"/>
    <s v="25"/>
    <s v="Democratic"/>
    <n v="912"/>
  </r>
  <r>
    <x v="20"/>
    <x v="2"/>
    <s v="State-4"/>
    <x v="23"/>
    <s v="26"/>
    <s v="Constitution"/>
    <n v="608"/>
  </r>
  <r>
    <x v="20"/>
    <x v="2"/>
    <s v="State-4"/>
    <x v="24"/>
    <s v="24"/>
    <s v="Republican"/>
    <n v="8948"/>
  </r>
  <r>
    <x v="20"/>
    <x v="2"/>
    <s v="State-4"/>
    <x v="25"/>
    <s v="23"/>
    <s v="Unaffiliated"/>
    <n v="192"/>
  </r>
  <r>
    <x v="20"/>
    <x v="2"/>
    <s v="State-4"/>
    <x v="16"/>
    <m/>
    <m/>
    <n v="2"/>
  </r>
  <r>
    <x v="20"/>
    <x v="2"/>
    <s v="State-4"/>
    <x v="17"/>
    <m/>
    <m/>
    <n v="410"/>
  </r>
  <r>
    <x v="20"/>
    <x v="3"/>
    <s v="State-7"/>
    <x v="0"/>
    <m/>
    <m/>
    <n v="11072"/>
  </r>
  <r>
    <x v="20"/>
    <x v="3"/>
    <s v="State-7"/>
    <x v="26"/>
    <s v="36"/>
    <s v="Republican"/>
    <n v="7341"/>
  </r>
  <r>
    <x v="20"/>
    <x v="3"/>
    <s v="State-7"/>
    <x v="27"/>
    <s v="40"/>
    <s v="Independent American"/>
    <n v="246"/>
  </r>
  <r>
    <x v="20"/>
    <x v="3"/>
    <s v="State-7"/>
    <x v="28"/>
    <s v="34"/>
    <s v="Democratic"/>
    <n v="777"/>
  </r>
  <r>
    <x v="20"/>
    <x v="3"/>
    <s v="State-7"/>
    <x v="29"/>
    <s v="33"/>
    <s v="Libertarian"/>
    <n v="213"/>
  </r>
  <r>
    <x v="20"/>
    <x v="3"/>
    <s v="State-7"/>
    <x v="30"/>
    <s v="39"/>
    <s v="Unaffiliated"/>
    <n v="43"/>
  </r>
  <r>
    <x v="20"/>
    <x v="3"/>
    <s v="State-7"/>
    <x v="31"/>
    <s v="37"/>
    <s v="Unaffiliated"/>
    <n v="2162"/>
  </r>
  <r>
    <x v="20"/>
    <x v="3"/>
    <s v="State-7"/>
    <x v="32"/>
    <s v="38"/>
    <s v="Unaffiliated"/>
    <n v="4"/>
  </r>
  <r>
    <x v="20"/>
    <x v="3"/>
    <s v="State-7"/>
    <x v="16"/>
    <m/>
    <m/>
    <n v="2"/>
  </r>
  <r>
    <x v="20"/>
    <x v="3"/>
    <s v="State-7"/>
    <x v="17"/>
    <m/>
    <m/>
    <n v="255"/>
  </r>
  <r>
    <x v="20"/>
    <x v="4"/>
    <s v="State-8"/>
    <x v="0"/>
    <m/>
    <m/>
    <n v="11072"/>
  </r>
  <r>
    <x v="20"/>
    <x v="4"/>
    <s v="State-8"/>
    <x v="33"/>
    <s v="45"/>
    <s v="Republican"/>
    <n v="9011"/>
  </r>
  <r>
    <x v="20"/>
    <x v="4"/>
    <s v="State-8"/>
    <x v="34"/>
    <s v="41"/>
    <s v="Democratic"/>
    <n v="850"/>
  </r>
  <r>
    <x v="20"/>
    <x v="4"/>
    <s v="State-8"/>
    <x v="35"/>
    <s v="42"/>
    <s v="Libertarian"/>
    <n v="271"/>
  </r>
  <r>
    <x v="20"/>
    <x v="4"/>
    <s v="State-8"/>
    <x v="36"/>
    <s v="43"/>
    <s v="Unaffiliated"/>
    <n v="284"/>
  </r>
  <r>
    <x v="20"/>
    <x v="4"/>
    <s v="State-8"/>
    <x v="37"/>
    <s v="44"/>
    <s v="United Utah Party"/>
    <n v="275"/>
  </r>
  <r>
    <x v="20"/>
    <x v="4"/>
    <s v="State-8"/>
    <x v="16"/>
    <m/>
    <m/>
    <n v="1"/>
  </r>
  <r>
    <x v="20"/>
    <x v="4"/>
    <s v="State-8"/>
    <x v="17"/>
    <m/>
    <m/>
    <n v="380"/>
  </r>
  <r>
    <x v="20"/>
    <x v="5"/>
    <s v="State-9"/>
    <x v="0"/>
    <m/>
    <m/>
    <n v="11072"/>
  </r>
  <r>
    <x v="20"/>
    <x v="5"/>
    <s v="State-9"/>
    <x v="38"/>
    <s v="48"/>
    <s v="Republican"/>
    <n v="9176"/>
  </r>
  <r>
    <x v="20"/>
    <x v="5"/>
    <s v="State-9"/>
    <x v="39"/>
    <s v="46"/>
    <s v="Constitution"/>
    <n v="514"/>
  </r>
  <r>
    <x v="20"/>
    <x v="5"/>
    <s v="State-9"/>
    <x v="40"/>
    <s v="47"/>
    <s v="Democratic"/>
    <n v="909"/>
  </r>
  <r>
    <x v="20"/>
    <x v="5"/>
    <s v="State-9"/>
    <x v="16"/>
    <m/>
    <m/>
    <n v="1"/>
  </r>
  <r>
    <x v="20"/>
    <x v="5"/>
    <s v="State-9"/>
    <x v="17"/>
    <m/>
    <m/>
    <n v="472"/>
  </r>
  <r>
    <x v="20"/>
    <x v="6"/>
    <s v="State-10"/>
    <x v="0"/>
    <m/>
    <m/>
    <n v="11072"/>
  </r>
  <r>
    <x v="20"/>
    <x v="6"/>
    <s v="State-10"/>
    <x v="41"/>
    <s v="49"/>
    <s v="Utah Forward"/>
    <n v="275"/>
  </r>
  <r>
    <x v="20"/>
    <x v="6"/>
    <s v="State-10"/>
    <x v="42"/>
    <s v="50"/>
    <s v="Republican"/>
    <n v="9311"/>
  </r>
  <r>
    <x v="20"/>
    <x v="6"/>
    <s v="State-10"/>
    <x v="43"/>
    <s v="51"/>
    <s v="Democratic"/>
    <n v="921"/>
  </r>
  <r>
    <x v="20"/>
    <x v="6"/>
    <s v="State-10"/>
    <x v="16"/>
    <m/>
    <m/>
    <n v="2"/>
  </r>
  <r>
    <x v="20"/>
    <x v="6"/>
    <s v="State-10"/>
    <x v="17"/>
    <m/>
    <m/>
    <n v="563"/>
  </r>
  <r>
    <x v="20"/>
    <x v="52"/>
    <s v="State-24"/>
    <x v="0"/>
    <m/>
    <m/>
    <n v="11072"/>
  </r>
  <r>
    <x v="20"/>
    <x v="52"/>
    <s v="State-24"/>
    <x v="102"/>
    <s v="79"/>
    <s v="Republican"/>
    <n v="9752"/>
  </r>
  <r>
    <x v="20"/>
    <x v="52"/>
    <s v="State-24"/>
    <x v="16"/>
    <m/>
    <m/>
    <n v="0"/>
  </r>
  <r>
    <x v="20"/>
    <x v="52"/>
    <s v="State-24"/>
    <x v="17"/>
    <m/>
    <m/>
    <n v="1320"/>
  </r>
  <r>
    <x v="20"/>
    <x v="7"/>
    <s v="State-95"/>
    <x v="0"/>
    <m/>
    <m/>
    <n v="11072"/>
  </r>
  <r>
    <x v="20"/>
    <x v="7"/>
    <s v="State-95"/>
    <x v="44"/>
    <s v="208"/>
    <s v="Republican"/>
    <n v="9780"/>
  </r>
  <r>
    <x v="20"/>
    <x v="7"/>
    <s v="State-95"/>
    <x v="45"/>
    <s v="209"/>
    <s v="United Utah Party"/>
    <n v="596"/>
  </r>
  <r>
    <x v="20"/>
    <x v="7"/>
    <s v="State-95"/>
    <x v="16"/>
    <m/>
    <m/>
    <n v="3"/>
  </r>
  <r>
    <x v="20"/>
    <x v="7"/>
    <s v="State-95"/>
    <x v="17"/>
    <m/>
    <m/>
    <n v="693"/>
  </r>
  <r>
    <x v="20"/>
    <x v="8"/>
    <s v="State-109"/>
    <x v="0"/>
    <m/>
    <m/>
    <n v="11072"/>
  </r>
  <r>
    <x v="20"/>
    <x v="8"/>
    <s v="State-109"/>
    <x v="46"/>
    <s v="232"/>
    <m/>
    <n v="8130"/>
  </r>
  <r>
    <x v="20"/>
    <x v="8"/>
    <s v="State-109"/>
    <x v="47"/>
    <s v="231"/>
    <m/>
    <n v="1415"/>
  </r>
  <r>
    <x v="20"/>
    <x v="8"/>
    <s v="State-109"/>
    <x v="16"/>
    <m/>
    <m/>
    <n v="4"/>
  </r>
  <r>
    <x v="20"/>
    <x v="8"/>
    <s v="State-109"/>
    <x v="17"/>
    <m/>
    <m/>
    <n v="1523"/>
  </r>
  <r>
    <x v="20"/>
    <x v="9"/>
    <s v="State-110"/>
    <x v="0"/>
    <m/>
    <m/>
    <n v="11072"/>
  </r>
  <r>
    <x v="20"/>
    <x v="9"/>
    <s v="State-110"/>
    <x v="46"/>
    <s v="233"/>
    <m/>
    <n v="8092"/>
  </r>
  <r>
    <x v="20"/>
    <x v="9"/>
    <s v="State-110"/>
    <x v="47"/>
    <s v="234"/>
    <m/>
    <n v="1374"/>
  </r>
  <r>
    <x v="20"/>
    <x v="9"/>
    <s v="State-110"/>
    <x v="16"/>
    <m/>
    <m/>
    <n v="3"/>
  </r>
  <r>
    <x v="20"/>
    <x v="9"/>
    <s v="State-110"/>
    <x v="17"/>
    <m/>
    <m/>
    <n v="1603"/>
  </r>
  <r>
    <x v="20"/>
    <x v="12"/>
    <s v="State-145"/>
    <x v="0"/>
    <m/>
    <m/>
    <n v="11072"/>
  </r>
  <r>
    <x v="20"/>
    <x v="12"/>
    <s v="State-145"/>
    <x v="48"/>
    <s v="303"/>
    <m/>
    <n v="6673"/>
  </r>
  <r>
    <x v="20"/>
    <x v="12"/>
    <s v="State-145"/>
    <x v="49"/>
    <s v="304"/>
    <m/>
    <n v="3610"/>
  </r>
  <r>
    <x v="20"/>
    <x v="12"/>
    <s v="State-145"/>
    <x v="16"/>
    <m/>
    <m/>
    <n v="2"/>
  </r>
  <r>
    <x v="20"/>
    <x v="12"/>
    <s v="State-145"/>
    <x v="17"/>
    <m/>
    <m/>
    <n v="787"/>
  </r>
  <r>
    <x v="20"/>
    <x v="13"/>
    <s v="State-146"/>
    <x v="0"/>
    <m/>
    <m/>
    <n v="11072"/>
  </r>
  <r>
    <x v="20"/>
    <x v="13"/>
    <s v="State-146"/>
    <x v="48"/>
    <s v="305"/>
    <m/>
    <n v="9205"/>
  </r>
  <r>
    <x v="20"/>
    <x v="13"/>
    <s v="State-146"/>
    <x v="49"/>
    <s v="306"/>
    <m/>
    <n v="1211"/>
  </r>
  <r>
    <x v="20"/>
    <x v="13"/>
    <s v="State-146"/>
    <x v="16"/>
    <m/>
    <m/>
    <n v="5"/>
  </r>
  <r>
    <x v="20"/>
    <x v="13"/>
    <s v="State-146"/>
    <x v="17"/>
    <m/>
    <m/>
    <n v="651"/>
  </r>
  <r>
    <x v="21"/>
    <x v="0"/>
    <s v="State-1"/>
    <x v="0"/>
    <m/>
    <m/>
    <n v="26482"/>
  </r>
  <r>
    <x v="21"/>
    <x v="0"/>
    <s v="State-1"/>
    <x v="1"/>
    <s v="9"/>
    <s v="Unaffiliated"/>
    <n v="23"/>
  </r>
  <r>
    <x v="21"/>
    <x v="0"/>
    <s v="State-1"/>
    <x v="2"/>
    <s v="3"/>
    <s v="Unaffiliated"/>
    <n v="36"/>
  </r>
  <r>
    <x v="21"/>
    <x v="0"/>
    <s v="State-1"/>
    <x v="3"/>
    <s v="13"/>
    <s v="Constitution"/>
    <n v="46"/>
  </r>
  <r>
    <x v="21"/>
    <x v="0"/>
    <s v="State-1"/>
    <x v="4"/>
    <s v="8"/>
    <s v="Green"/>
    <n v="121"/>
  </r>
  <r>
    <x v="21"/>
    <x v="0"/>
    <s v="State-1"/>
    <x v="5"/>
    <s v="5"/>
    <s v="Republican"/>
    <n v="10783"/>
  </r>
  <r>
    <x v="21"/>
    <x v="0"/>
    <s v="State-1"/>
    <x v="6"/>
    <s v="10"/>
    <s v="Libertarian"/>
    <n v="236"/>
  </r>
  <r>
    <x v="21"/>
    <x v="0"/>
    <s v="State-1"/>
    <x v="7"/>
    <s v="4"/>
    <s v="Democratic"/>
    <n v="14612"/>
  </r>
  <r>
    <x v="21"/>
    <x v="0"/>
    <s v="State-1"/>
    <x v="8"/>
    <s v="15"/>
    <s v="Unaffiliated"/>
    <n v="19"/>
  </r>
  <r>
    <x v="21"/>
    <x v="0"/>
    <s v="State-1"/>
    <x v="9"/>
    <s v="1"/>
    <s v="Unaffiliated"/>
    <n v="0"/>
  </r>
  <r>
    <x v="21"/>
    <x v="0"/>
    <s v="State-1"/>
    <x v="10"/>
    <s v="2"/>
    <s v="Unaffiliated"/>
    <n v="0"/>
  </r>
  <r>
    <x v="21"/>
    <x v="0"/>
    <s v="State-1"/>
    <x v="11"/>
    <s v="6"/>
    <s v="Unaffiliated"/>
    <n v="0"/>
  </r>
  <r>
    <x v="21"/>
    <x v="0"/>
    <s v="State-1"/>
    <x v="12"/>
    <s v="7"/>
    <s v="Unaffiliated"/>
    <n v="0"/>
  </r>
  <r>
    <x v="21"/>
    <x v="0"/>
    <s v="State-1"/>
    <x v="13"/>
    <s v="11"/>
    <s v="Unaffiliated"/>
    <n v="0"/>
  </r>
  <r>
    <x v="21"/>
    <x v="0"/>
    <s v="State-1"/>
    <x v="14"/>
    <s v="12"/>
    <s v="Unaffiliated"/>
    <n v="0"/>
  </r>
  <r>
    <x v="21"/>
    <x v="0"/>
    <s v="State-1"/>
    <x v="15"/>
    <s v="14"/>
    <s v="Unaffiliated"/>
    <n v="0"/>
  </r>
  <r>
    <x v="21"/>
    <x v="0"/>
    <s v="State-1"/>
    <x v="16"/>
    <m/>
    <m/>
    <n v="5"/>
  </r>
  <r>
    <x v="21"/>
    <x v="0"/>
    <s v="State-1"/>
    <x v="17"/>
    <m/>
    <m/>
    <n v="253"/>
  </r>
  <r>
    <x v="21"/>
    <x v="1"/>
    <s v="State-2"/>
    <x v="0"/>
    <m/>
    <m/>
    <n v="26482"/>
  </r>
  <r>
    <x v="21"/>
    <x v="1"/>
    <s v="State-2"/>
    <x v="18"/>
    <s v="19"/>
    <s v="Independent American"/>
    <n v="741"/>
  </r>
  <r>
    <x v="21"/>
    <x v="1"/>
    <s v="State-2"/>
    <x v="19"/>
    <s v="18"/>
    <s v="Republican"/>
    <n v="11399"/>
  </r>
  <r>
    <x v="21"/>
    <x v="1"/>
    <s v="State-2"/>
    <x v="20"/>
    <s v="17"/>
    <s v="Democratic"/>
    <n v="13282"/>
  </r>
  <r>
    <x v="21"/>
    <x v="1"/>
    <s v="State-2"/>
    <x v="21"/>
    <s v="16"/>
    <s v="Unaffiliated"/>
    <n v="1"/>
  </r>
  <r>
    <x v="21"/>
    <x v="1"/>
    <s v="State-2"/>
    <x v="16"/>
    <m/>
    <m/>
    <n v="5"/>
  </r>
  <r>
    <x v="21"/>
    <x v="1"/>
    <s v="State-2"/>
    <x v="17"/>
    <m/>
    <m/>
    <n v="967"/>
  </r>
  <r>
    <x v="21"/>
    <x v="14"/>
    <s v="State-3"/>
    <x v="0"/>
    <m/>
    <m/>
    <n v="16441"/>
  </r>
  <r>
    <x v="21"/>
    <x v="14"/>
    <s v="State-3"/>
    <x v="50"/>
    <s v="22"/>
    <s v="Democratic"/>
    <n v="8181"/>
  </r>
  <r>
    <x v="21"/>
    <x v="14"/>
    <s v="State-3"/>
    <x v="51"/>
    <s v="20"/>
    <s v="Libertarian"/>
    <n v="465"/>
  </r>
  <r>
    <x v="21"/>
    <x v="14"/>
    <s v="State-3"/>
    <x v="52"/>
    <s v="21"/>
    <s v="Republican"/>
    <n v="6850"/>
  </r>
  <r>
    <x v="21"/>
    <x v="14"/>
    <s v="State-3"/>
    <x v="16"/>
    <m/>
    <m/>
    <n v="0"/>
  </r>
  <r>
    <x v="21"/>
    <x v="14"/>
    <s v="State-3"/>
    <x v="17"/>
    <m/>
    <m/>
    <n v="945"/>
  </r>
  <r>
    <x v="21"/>
    <x v="24"/>
    <s v="State-5"/>
    <x v="0"/>
    <m/>
    <m/>
    <n v="10041"/>
  </r>
  <r>
    <x v="21"/>
    <x v="24"/>
    <s v="State-5"/>
    <x v="64"/>
    <s v="27"/>
    <s v="Republican"/>
    <n v="4742"/>
  </r>
  <r>
    <x v="21"/>
    <x v="24"/>
    <s v="State-5"/>
    <x v="65"/>
    <s v="28"/>
    <s v="Democratic"/>
    <n v="4778"/>
  </r>
  <r>
    <x v="21"/>
    <x v="24"/>
    <s v="State-5"/>
    <x v="16"/>
    <m/>
    <m/>
    <n v="0"/>
  </r>
  <r>
    <x v="21"/>
    <x v="24"/>
    <s v="State-5"/>
    <x v="17"/>
    <m/>
    <m/>
    <n v="521"/>
  </r>
  <r>
    <x v="21"/>
    <x v="3"/>
    <s v="State-7"/>
    <x v="0"/>
    <m/>
    <m/>
    <n v="26365"/>
  </r>
  <r>
    <x v="21"/>
    <x v="3"/>
    <s v="State-7"/>
    <x v="26"/>
    <s v="36"/>
    <s v="Republican"/>
    <n v="11202"/>
  </r>
  <r>
    <x v="21"/>
    <x v="3"/>
    <s v="State-7"/>
    <x v="27"/>
    <s v="40"/>
    <s v="Independent American"/>
    <n v="296"/>
  </r>
  <r>
    <x v="21"/>
    <x v="3"/>
    <s v="State-7"/>
    <x v="28"/>
    <s v="34"/>
    <s v="Democratic"/>
    <n v="11435"/>
  </r>
  <r>
    <x v="21"/>
    <x v="3"/>
    <s v="State-7"/>
    <x v="29"/>
    <s v="33"/>
    <s v="Libertarian"/>
    <n v="570"/>
  </r>
  <r>
    <x v="21"/>
    <x v="3"/>
    <s v="State-7"/>
    <x v="30"/>
    <s v="39"/>
    <s v="Unaffiliated"/>
    <n v="31"/>
  </r>
  <r>
    <x v="21"/>
    <x v="3"/>
    <s v="State-7"/>
    <x v="31"/>
    <s v="37"/>
    <s v="Unaffiliated"/>
    <n v="1952"/>
  </r>
  <r>
    <x v="21"/>
    <x v="3"/>
    <s v="State-7"/>
    <x v="32"/>
    <s v="38"/>
    <s v="Unaffiliated"/>
    <n v="5"/>
  </r>
  <r>
    <x v="21"/>
    <x v="3"/>
    <s v="State-7"/>
    <x v="16"/>
    <m/>
    <m/>
    <n v="3"/>
  </r>
  <r>
    <x v="21"/>
    <x v="3"/>
    <s v="State-7"/>
    <x v="17"/>
    <m/>
    <m/>
    <n v="820"/>
  </r>
  <r>
    <x v="21"/>
    <x v="4"/>
    <s v="State-8"/>
    <x v="0"/>
    <m/>
    <m/>
    <n v="26365"/>
  </r>
  <r>
    <x v="21"/>
    <x v="4"/>
    <s v="State-8"/>
    <x v="33"/>
    <s v="45"/>
    <s v="Republican"/>
    <n v="10694"/>
  </r>
  <r>
    <x v="21"/>
    <x v="4"/>
    <s v="State-8"/>
    <x v="34"/>
    <s v="41"/>
    <s v="Democratic"/>
    <n v="11669"/>
  </r>
  <r>
    <x v="21"/>
    <x v="4"/>
    <s v="State-8"/>
    <x v="35"/>
    <s v="42"/>
    <s v="Libertarian"/>
    <n v="839"/>
  </r>
  <r>
    <x v="21"/>
    <x v="4"/>
    <s v="State-8"/>
    <x v="36"/>
    <s v="43"/>
    <s v="Unaffiliated"/>
    <n v="365"/>
  </r>
  <r>
    <x v="21"/>
    <x v="4"/>
    <s v="State-8"/>
    <x v="37"/>
    <s v="44"/>
    <s v="United Utah Party"/>
    <n v="1306"/>
  </r>
  <r>
    <x v="21"/>
    <x v="4"/>
    <s v="State-8"/>
    <x v="16"/>
    <m/>
    <m/>
    <n v="2"/>
  </r>
  <r>
    <x v="21"/>
    <x v="4"/>
    <s v="State-8"/>
    <x v="17"/>
    <m/>
    <m/>
    <n v="1490"/>
  </r>
  <r>
    <x v="21"/>
    <x v="5"/>
    <s v="State-9"/>
    <x v="0"/>
    <m/>
    <m/>
    <n v="26365"/>
  </r>
  <r>
    <x v="21"/>
    <x v="5"/>
    <s v="State-9"/>
    <x v="38"/>
    <s v="48"/>
    <s v="Republican"/>
    <n v="11582"/>
  </r>
  <r>
    <x v="21"/>
    <x v="5"/>
    <s v="State-9"/>
    <x v="39"/>
    <s v="46"/>
    <s v="Constitution"/>
    <n v="702"/>
  </r>
  <r>
    <x v="21"/>
    <x v="5"/>
    <s v="State-9"/>
    <x v="40"/>
    <s v="47"/>
    <s v="Democratic"/>
    <n v="12023"/>
  </r>
  <r>
    <x v="21"/>
    <x v="5"/>
    <s v="State-9"/>
    <x v="16"/>
    <m/>
    <m/>
    <n v="2"/>
  </r>
  <r>
    <x v="21"/>
    <x v="5"/>
    <s v="State-9"/>
    <x v="17"/>
    <m/>
    <m/>
    <n v="2056"/>
  </r>
  <r>
    <x v="21"/>
    <x v="6"/>
    <s v="State-10"/>
    <x v="0"/>
    <m/>
    <m/>
    <n v="26365"/>
  </r>
  <r>
    <x v="21"/>
    <x v="6"/>
    <s v="State-10"/>
    <x v="41"/>
    <s v="49"/>
    <s v="Utah Forward"/>
    <n v="869"/>
  </r>
  <r>
    <x v="21"/>
    <x v="6"/>
    <s v="State-10"/>
    <x v="42"/>
    <s v="50"/>
    <s v="Republican"/>
    <n v="11801"/>
  </r>
  <r>
    <x v="21"/>
    <x v="6"/>
    <s v="State-10"/>
    <x v="43"/>
    <s v="51"/>
    <s v="Democratic"/>
    <n v="11588"/>
  </r>
  <r>
    <x v="21"/>
    <x v="6"/>
    <s v="State-10"/>
    <x v="16"/>
    <m/>
    <m/>
    <n v="0"/>
  </r>
  <r>
    <x v="21"/>
    <x v="6"/>
    <s v="State-10"/>
    <x v="17"/>
    <m/>
    <m/>
    <n v="2107"/>
  </r>
  <r>
    <x v="21"/>
    <x v="65"/>
    <s v="State-12"/>
    <x v="0"/>
    <m/>
    <m/>
    <n v="10577"/>
  </r>
  <r>
    <x v="21"/>
    <x v="65"/>
    <s v="State-12"/>
    <x v="113"/>
    <s v="55"/>
    <s v="Democratic"/>
    <n v="5334"/>
  </r>
  <r>
    <x v="21"/>
    <x v="65"/>
    <s v="State-12"/>
    <x v="114"/>
    <s v="54"/>
    <s v="Republican"/>
    <n v="4523"/>
  </r>
  <r>
    <x v="21"/>
    <x v="65"/>
    <s v="State-12"/>
    <x v="16"/>
    <m/>
    <m/>
    <n v="1"/>
  </r>
  <r>
    <x v="21"/>
    <x v="65"/>
    <s v="State-12"/>
    <x v="17"/>
    <m/>
    <m/>
    <n v="719"/>
  </r>
  <r>
    <x v="21"/>
    <x v="66"/>
    <s v="State-29"/>
    <x v="0"/>
    <m/>
    <m/>
    <n v="18801"/>
  </r>
  <r>
    <x v="21"/>
    <x v="66"/>
    <s v="State-29"/>
    <x v="115"/>
    <s v="89"/>
    <s v="Republican"/>
    <n v="8821"/>
  </r>
  <r>
    <x v="21"/>
    <x v="66"/>
    <s v="State-29"/>
    <x v="116"/>
    <s v="88"/>
    <s v="Democratic"/>
    <n v="8757"/>
  </r>
  <r>
    <x v="21"/>
    <x v="66"/>
    <s v="State-29"/>
    <x v="16"/>
    <m/>
    <m/>
    <n v="0"/>
  </r>
  <r>
    <x v="21"/>
    <x v="66"/>
    <s v="State-29"/>
    <x v="17"/>
    <m/>
    <m/>
    <n v="1223"/>
  </r>
  <r>
    <x v="21"/>
    <x v="76"/>
    <s v="State-48"/>
    <x v="0"/>
    <m/>
    <m/>
    <n v="1178"/>
  </r>
  <r>
    <x v="21"/>
    <x v="76"/>
    <s v="State-48"/>
    <x v="133"/>
    <s v="124"/>
    <s v="Republican"/>
    <n v="228"/>
  </r>
  <r>
    <x v="21"/>
    <x v="76"/>
    <s v="State-48"/>
    <x v="134"/>
    <s v="123"/>
    <s v="United Utah Party"/>
    <n v="32"/>
  </r>
  <r>
    <x v="21"/>
    <x v="76"/>
    <s v="State-48"/>
    <x v="135"/>
    <s v="125"/>
    <s v="Democratic"/>
    <n v="854"/>
  </r>
  <r>
    <x v="21"/>
    <x v="76"/>
    <s v="State-48"/>
    <x v="16"/>
    <m/>
    <m/>
    <n v="0"/>
  </r>
  <r>
    <x v="21"/>
    <x v="76"/>
    <s v="State-48"/>
    <x v="17"/>
    <m/>
    <m/>
    <n v="64"/>
  </r>
  <r>
    <x v="21"/>
    <x v="117"/>
    <s v="State-84"/>
    <x v="0"/>
    <m/>
    <m/>
    <n v="6372"/>
  </r>
  <r>
    <x v="21"/>
    <x v="117"/>
    <s v="State-84"/>
    <x v="191"/>
    <s v="190"/>
    <s v="Democratic"/>
    <n v="3959"/>
  </r>
  <r>
    <x v="21"/>
    <x v="117"/>
    <s v="State-84"/>
    <x v="192"/>
    <s v="191"/>
    <s v="Republican"/>
    <n v="1995"/>
  </r>
  <r>
    <x v="21"/>
    <x v="117"/>
    <s v="State-84"/>
    <x v="16"/>
    <m/>
    <m/>
    <n v="0"/>
  </r>
  <r>
    <x v="21"/>
    <x v="117"/>
    <s v="State-84"/>
    <x v="17"/>
    <m/>
    <m/>
    <n v="418"/>
  </r>
  <r>
    <x v="21"/>
    <x v="28"/>
    <s v="State-93"/>
    <x v="0"/>
    <m/>
    <m/>
    <n v="14"/>
  </r>
  <r>
    <x v="21"/>
    <x v="28"/>
    <s v="State-93"/>
    <x v="71"/>
    <s v="205"/>
    <s v="Republican"/>
    <n v="11"/>
  </r>
  <r>
    <x v="21"/>
    <x v="28"/>
    <s v="State-93"/>
    <x v="16"/>
    <m/>
    <m/>
    <n v="0"/>
  </r>
  <r>
    <x v="21"/>
    <x v="28"/>
    <s v="State-93"/>
    <x v="17"/>
    <m/>
    <m/>
    <n v="3"/>
  </r>
  <r>
    <x v="21"/>
    <x v="101"/>
    <s v="State-102"/>
    <x v="0"/>
    <m/>
    <m/>
    <n v="17332"/>
  </r>
  <r>
    <x v="21"/>
    <x v="101"/>
    <s v="State-102"/>
    <x v="183"/>
    <s v="219"/>
    <s v="Democratic"/>
    <n v="9939"/>
  </r>
  <r>
    <x v="21"/>
    <x v="101"/>
    <s v="State-102"/>
    <x v="184"/>
    <s v="220"/>
    <s v="Unaffiliated"/>
    <n v="4644"/>
  </r>
  <r>
    <x v="21"/>
    <x v="101"/>
    <s v="State-102"/>
    <x v="16"/>
    <m/>
    <m/>
    <n v="5"/>
  </r>
  <r>
    <x v="21"/>
    <x v="101"/>
    <s v="State-102"/>
    <x v="17"/>
    <m/>
    <m/>
    <n v="2744"/>
  </r>
  <r>
    <x v="21"/>
    <x v="8"/>
    <s v="State-109"/>
    <x v="0"/>
    <m/>
    <m/>
    <n v="26365"/>
  </r>
  <r>
    <x v="21"/>
    <x v="8"/>
    <s v="State-109"/>
    <x v="46"/>
    <s v="232"/>
    <m/>
    <n v="14237"/>
  </r>
  <r>
    <x v="21"/>
    <x v="8"/>
    <s v="State-109"/>
    <x v="47"/>
    <s v="231"/>
    <m/>
    <n v="4329"/>
  </r>
  <r>
    <x v="21"/>
    <x v="8"/>
    <s v="State-109"/>
    <x v="16"/>
    <m/>
    <m/>
    <n v="6"/>
  </r>
  <r>
    <x v="21"/>
    <x v="8"/>
    <s v="State-109"/>
    <x v="17"/>
    <m/>
    <m/>
    <n v="7793"/>
  </r>
  <r>
    <x v="21"/>
    <x v="9"/>
    <s v="State-110"/>
    <x v="0"/>
    <m/>
    <m/>
    <n v="26365"/>
  </r>
  <r>
    <x v="21"/>
    <x v="9"/>
    <s v="State-110"/>
    <x v="46"/>
    <s v="233"/>
    <m/>
    <n v="13864"/>
  </r>
  <r>
    <x v="21"/>
    <x v="9"/>
    <s v="State-110"/>
    <x v="47"/>
    <s v="234"/>
    <m/>
    <n v="4181"/>
  </r>
  <r>
    <x v="21"/>
    <x v="9"/>
    <s v="State-110"/>
    <x v="16"/>
    <m/>
    <m/>
    <n v="4"/>
  </r>
  <r>
    <x v="21"/>
    <x v="9"/>
    <s v="State-110"/>
    <x v="17"/>
    <m/>
    <m/>
    <n v="8316"/>
  </r>
  <r>
    <x v="21"/>
    <x v="105"/>
    <s v="State-118"/>
    <x v="0"/>
    <m/>
    <m/>
    <n v="26365"/>
  </r>
  <r>
    <x v="21"/>
    <x v="105"/>
    <s v="State-118"/>
    <x v="46"/>
    <s v="249"/>
    <m/>
    <n v="13817"/>
  </r>
  <r>
    <x v="21"/>
    <x v="105"/>
    <s v="State-118"/>
    <x v="47"/>
    <s v="250"/>
    <m/>
    <n v="4122"/>
  </r>
  <r>
    <x v="21"/>
    <x v="105"/>
    <s v="State-118"/>
    <x v="16"/>
    <m/>
    <m/>
    <n v="4"/>
  </r>
  <r>
    <x v="21"/>
    <x v="105"/>
    <s v="State-118"/>
    <x v="17"/>
    <m/>
    <m/>
    <n v="8422"/>
  </r>
  <r>
    <x v="21"/>
    <x v="106"/>
    <s v="State-119"/>
    <x v="0"/>
    <m/>
    <m/>
    <n v="26365"/>
  </r>
  <r>
    <x v="21"/>
    <x v="106"/>
    <s v="State-119"/>
    <x v="46"/>
    <s v="252"/>
    <m/>
    <n v="14084"/>
  </r>
  <r>
    <x v="21"/>
    <x v="106"/>
    <s v="State-119"/>
    <x v="47"/>
    <s v="251"/>
    <m/>
    <n v="3782"/>
  </r>
  <r>
    <x v="21"/>
    <x v="106"/>
    <s v="State-119"/>
    <x v="16"/>
    <m/>
    <m/>
    <n v="5"/>
  </r>
  <r>
    <x v="21"/>
    <x v="106"/>
    <s v="State-119"/>
    <x v="17"/>
    <m/>
    <m/>
    <n v="8494"/>
  </r>
  <r>
    <x v="21"/>
    <x v="107"/>
    <s v="State-120"/>
    <x v="0"/>
    <m/>
    <m/>
    <n v="26365"/>
  </r>
  <r>
    <x v="21"/>
    <x v="107"/>
    <s v="State-120"/>
    <x v="46"/>
    <s v="253"/>
    <m/>
    <n v="13908"/>
  </r>
  <r>
    <x v="21"/>
    <x v="107"/>
    <s v="State-120"/>
    <x v="47"/>
    <s v="254"/>
    <m/>
    <n v="3919"/>
  </r>
  <r>
    <x v="21"/>
    <x v="107"/>
    <s v="State-120"/>
    <x v="16"/>
    <m/>
    <m/>
    <n v="3"/>
  </r>
  <r>
    <x v="21"/>
    <x v="107"/>
    <s v="State-120"/>
    <x v="17"/>
    <m/>
    <m/>
    <n v="8535"/>
  </r>
  <r>
    <x v="21"/>
    <x v="108"/>
    <s v="State-121"/>
    <x v="0"/>
    <m/>
    <m/>
    <n v="26365"/>
  </r>
  <r>
    <x v="21"/>
    <x v="108"/>
    <s v="State-121"/>
    <x v="46"/>
    <s v="255"/>
    <m/>
    <n v="13507"/>
  </r>
  <r>
    <x v="21"/>
    <x v="108"/>
    <s v="State-121"/>
    <x v="47"/>
    <s v="256"/>
    <m/>
    <n v="4230"/>
  </r>
  <r>
    <x v="21"/>
    <x v="108"/>
    <s v="State-121"/>
    <x v="16"/>
    <m/>
    <m/>
    <n v="8"/>
  </r>
  <r>
    <x v="21"/>
    <x v="108"/>
    <s v="State-121"/>
    <x v="17"/>
    <m/>
    <m/>
    <n v="8620"/>
  </r>
  <r>
    <x v="21"/>
    <x v="109"/>
    <s v="State-122"/>
    <x v="0"/>
    <m/>
    <m/>
    <n v="26365"/>
  </r>
  <r>
    <x v="21"/>
    <x v="109"/>
    <s v="State-122"/>
    <x v="46"/>
    <s v="258"/>
    <m/>
    <n v="13848"/>
  </r>
  <r>
    <x v="21"/>
    <x v="109"/>
    <s v="State-122"/>
    <x v="47"/>
    <s v="257"/>
    <m/>
    <n v="3877"/>
  </r>
  <r>
    <x v="21"/>
    <x v="109"/>
    <s v="State-122"/>
    <x v="16"/>
    <m/>
    <m/>
    <n v="1"/>
  </r>
  <r>
    <x v="21"/>
    <x v="109"/>
    <s v="State-122"/>
    <x v="17"/>
    <m/>
    <m/>
    <n v="8639"/>
  </r>
  <r>
    <x v="21"/>
    <x v="110"/>
    <s v="State-123"/>
    <x v="0"/>
    <m/>
    <m/>
    <n v="26365"/>
  </r>
  <r>
    <x v="21"/>
    <x v="110"/>
    <s v="State-123"/>
    <x v="46"/>
    <s v="259"/>
    <m/>
    <n v="13539"/>
  </r>
  <r>
    <x v="21"/>
    <x v="110"/>
    <s v="State-123"/>
    <x v="47"/>
    <s v="260"/>
    <m/>
    <n v="4274"/>
  </r>
  <r>
    <x v="21"/>
    <x v="110"/>
    <s v="State-123"/>
    <x v="16"/>
    <m/>
    <m/>
    <n v="3"/>
  </r>
  <r>
    <x v="21"/>
    <x v="110"/>
    <s v="State-123"/>
    <x v="17"/>
    <m/>
    <m/>
    <n v="8549"/>
  </r>
  <r>
    <x v="21"/>
    <x v="111"/>
    <s v="State-124"/>
    <x v="0"/>
    <m/>
    <m/>
    <n v="26365"/>
  </r>
  <r>
    <x v="21"/>
    <x v="111"/>
    <s v="State-124"/>
    <x v="46"/>
    <s v="262"/>
    <m/>
    <n v="14505"/>
  </r>
  <r>
    <x v="21"/>
    <x v="111"/>
    <s v="State-124"/>
    <x v="47"/>
    <s v="261"/>
    <m/>
    <n v="3317"/>
  </r>
  <r>
    <x v="21"/>
    <x v="111"/>
    <s v="State-124"/>
    <x v="16"/>
    <m/>
    <m/>
    <n v="4"/>
  </r>
  <r>
    <x v="21"/>
    <x v="111"/>
    <s v="State-124"/>
    <x v="17"/>
    <m/>
    <m/>
    <n v="8539"/>
  </r>
  <r>
    <x v="21"/>
    <x v="112"/>
    <s v="State-125"/>
    <x v="0"/>
    <m/>
    <m/>
    <n v="26365"/>
  </r>
  <r>
    <x v="21"/>
    <x v="112"/>
    <s v="State-125"/>
    <x v="46"/>
    <s v="263"/>
    <m/>
    <n v="14482"/>
  </r>
  <r>
    <x v="21"/>
    <x v="112"/>
    <s v="State-125"/>
    <x v="47"/>
    <s v="264"/>
    <m/>
    <n v="3341"/>
  </r>
  <r>
    <x v="21"/>
    <x v="112"/>
    <s v="State-125"/>
    <x v="16"/>
    <m/>
    <m/>
    <n v="4"/>
  </r>
  <r>
    <x v="21"/>
    <x v="112"/>
    <s v="State-125"/>
    <x v="17"/>
    <m/>
    <m/>
    <n v="8538"/>
  </r>
  <r>
    <x v="21"/>
    <x v="113"/>
    <s v="State-138"/>
    <x v="0"/>
    <m/>
    <m/>
    <n v="26365"/>
  </r>
  <r>
    <x v="21"/>
    <x v="113"/>
    <s v="State-138"/>
    <x v="46"/>
    <s v="289"/>
    <m/>
    <n v="14409"/>
  </r>
  <r>
    <x v="21"/>
    <x v="113"/>
    <s v="State-138"/>
    <x v="47"/>
    <s v="290"/>
    <m/>
    <n v="3374"/>
  </r>
  <r>
    <x v="21"/>
    <x v="113"/>
    <s v="State-138"/>
    <x v="16"/>
    <m/>
    <m/>
    <n v="6"/>
  </r>
  <r>
    <x v="21"/>
    <x v="113"/>
    <s v="State-138"/>
    <x v="17"/>
    <m/>
    <m/>
    <n v="8576"/>
  </r>
  <r>
    <x v="21"/>
    <x v="114"/>
    <s v="State-139"/>
    <x v="0"/>
    <m/>
    <m/>
    <n v="26365"/>
  </r>
  <r>
    <x v="21"/>
    <x v="114"/>
    <s v="State-139"/>
    <x v="46"/>
    <s v="292"/>
    <m/>
    <n v="14477"/>
  </r>
  <r>
    <x v="21"/>
    <x v="114"/>
    <s v="State-139"/>
    <x v="47"/>
    <s v="291"/>
    <m/>
    <n v="3242"/>
  </r>
  <r>
    <x v="21"/>
    <x v="114"/>
    <s v="State-139"/>
    <x v="16"/>
    <m/>
    <m/>
    <n v="1"/>
  </r>
  <r>
    <x v="21"/>
    <x v="114"/>
    <s v="State-139"/>
    <x v="17"/>
    <m/>
    <m/>
    <n v="8645"/>
  </r>
  <r>
    <x v="21"/>
    <x v="115"/>
    <s v="State-140"/>
    <x v="0"/>
    <m/>
    <m/>
    <n v="26365"/>
  </r>
  <r>
    <x v="21"/>
    <x v="115"/>
    <s v="State-140"/>
    <x v="46"/>
    <s v="294"/>
    <m/>
    <n v="14517"/>
  </r>
  <r>
    <x v="21"/>
    <x v="115"/>
    <s v="State-140"/>
    <x v="47"/>
    <s v="293"/>
    <m/>
    <n v="3113"/>
  </r>
  <r>
    <x v="21"/>
    <x v="115"/>
    <s v="State-140"/>
    <x v="16"/>
    <m/>
    <m/>
    <n v="10"/>
  </r>
  <r>
    <x v="21"/>
    <x v="115"/>
    <s v="State-140"/>
    <x v="17"/>
    <m/>
    <m/>
    <n v="8725"/>
  </r>
  <r>
    <x v="21"/>
    <x v="116"/>
    <s v="State-141"/>
    <x v="0"/>
    <m/>
    <m/>
    <n v="26365"/>
  </r>
  <r>
    <x v="21"/>
    <x v="116"/>
    <s v="State-141"/>
    <x v="46"/>
    <s v="295"/>
    <m/>
    <n v="14029"/>
  </r>
  <r>
    <x v="21"/>
    <x v="116"/>
    <s v="State-141"/>
    <x v="47"/>
    <s v="296"/>
    <m/>
    <n v="3492"/>
  </r>
  <r>
    <x v="21"/>
    <x v="116"/>
    <s v="State-141"/>
    <x v="16"/>
    <m/>
    <m/>
    <n v="1"/>
  </r>
  <r>
    <x v="21"/>
    <x v="116"/>
    <s v="State-141"/>
    <x v="17"/>
    <m/>
    <m/>
    <n v="8843"/>
  </r>
  <r>
    <x v="21"/>
    <x v="12"/>
    <s v="State-145"/>
    <x v="0"/>
    <m/>
    <m/>
    <n v="26365"/>
  </r>
  <r>
    <x v="21"/>
    <x v="12"/>
    <s v="State-145"/>
    <x v="48"/>
    <s v="303"/>
    <m/>
    <n v="17698"/>
  </r>
  <r>
    <x v="21"/>
    <x v="12"/>
    <s v="State-145"/>
    <x v="49"/>
    <s v="304"/>
    <m/>
    <n v="6149"/>
  </r>
  <r>
    <x v="21"/>
    <x v="12"/>
    <s v="State-145"/>
    <x v="16"/>
    <m/>
    <m/>
    <n v="4"/>
  </r>
  <r>
    <x v="21"/>
    <x v="12"/>
    <s v="State-145"/>
    <x v="17"/>
    <m/>
    <m/>
    <n v="2514"/>
  </r>
  <r>
    <x v="21"/>
    <x v="13"/>
    <s v="State-146"/>
    <x v="0"/>
    <m/>
    <m/>
    <n v="26365"/>
  </r>
  <r>
    <x v="21"/>
    <x v="13"/>
    <s v="State-146"/>
    <x v="48"/>
    <s v="305"/>
    <m/>
    <n v="19495"/>
  </r>
  <r>
    <x v="21"/>
    <x v="13"/>
    <s v="State-146"/>
    <x v="49"/>
    <s v="306"/>
    <m/>
    <n v="4240"/>
  </r>
  <r>
    <x v="21"/>
    <x v="13"/>
    <s v="State-146"/>
    <x v="16"/>
    <m/>
    <m/>
    <n v="6"/>
  </r>
  <r>
    <x v="21"/>
    <x v="13"/>
    <s v="State-146"/>
    <x v="17"/>
    <m/>
    <m/>
    <n v="2624"/>
  </r>
  <r>
    <x v="22"/>
    <x v="0"/>
    <s v="State-1"/>
    <x v="0"/>
    <m/>
    <m/>
    <n v="34652"/>
  </r>
  <r>
    <x v="22"/>
    <x v="0"/>
    <s v="State-1"/>
    <x v="1"/>
    <s v="9"/>
    <s v="Unaffiliated"/>
    <n v="36"/>
  </r>
  <r>
    <x v="22"/>
    <x v="0"/>
    <s v="State-1"/>
    <x v="2"/>
    <s v="3"/>
    <s v="Unaffiliated"/>
    <n v="79"/>
  </r>
  <r>
    <x v="22"/>
    <x v="0"/>
    <s v="State-1"/>
    <x v="3"/>
    <s v="13"/>
    <s v="Constitution"/>
    <n v="237"/>
  </r>
  <r>
    <x v="22"/>
    <x v="0"/>
    <s v="State-1"/>
    <x v="4"/>
    <s v="8"/>
    <s v="Green"/>
    <n v="168"/>
  </r>
  <r>
    <x v="22"/>
    <x v="0"/>
    <s v="State-1"/>
    <x v="5"/>
    <s v="5"/>
    <s v="Republican"/>
    <n v="23484"/>
  </r>
  <r>
    <x v="22"/>
    <x v="0"/>
    <s v="State-1"/>
    <x v="6"/>
    <s v="10"/>
    <s v="Libertarian"/>
    <n v="358"/>
  </r>
  <r>
    <x v="22"/>
    <x v="0"/>
    <s v="State-1"/>
    <x v="7"/>
    <s v="4"/>
    <s v="Democratic"/>
    <n v="9560"/>
  </r>
  <r>
    <x v="22"/>
    <x v="0"/>
    <s v="State-1"/>
    <x v="8"/>
    <s v="15"/>
    <s v="Unaffiliated"/>
    <n v="66"/>
  </r>
  <r>
    <x v="22"/>
    <x v="0"/>
    <s v="State-1"/>
    <x v="9"/>
    <s v="1"/>
    <s v="Unaffiliated"/>
    <n v="0"/>
  </r>
  <r>
    <x v="22"/>
    <x v="0"/>
    <s v="State-1"/>
    <x v="10"/>
    <s v="2"/>
    <s v="Unaffiliated"/>
    <n v="18"/>
  </r>
  <r>
    <x v="22"/>
    <x v="0"/>
    <s v="State-1"/>
    <x v="11"/>
    <s v="6"/>
    <s v="Unaffiliated"/>
    <n v="0"/>
  </r>
  <r>
    <x v="22"/>
    <x v="0"/>
    <s v="State-1"/>
    <x v="12"/>
    <s v="7"/>
    <s v="Unaffiliated"/>
    <n v="0"/>
  </r>
  <r>
    <x v="22"/>
    <x v="0"/>
    <s v="State-1"/>
    <x v="13"/>
    <s v="11"/>
    <s v="Unaffiliated"/>
    <n v="0"/>
  </r>
  <r>
    <x v="22"/>
    <x v="0"/>
    <s v="State-1"/>
    <x v="14"/>
    <s v="12"/>
    <s v="Unaffiliated"/>
    <n v="0"/>
  </r>
  <r>
    <x v="22"/>
    <x v="0"/>
    <s v="State-1"/>
    <x v="15"/>
    <s v="14"/>
    <s v="Unaffiliated"/>
    <n v="0"/>
  </r>
  <r>
    <x v="22"/>
    <x v="0"/>
    <s v="State-1"/>
    <x v="16"/>
    <m/>
    <m/>
    <n v="25"/>
  </r>
  <r>
    <x v="22"/>
    <x v="0"/>
    <s v="State-1"/>
    <x v="17"/>
    <m/>
    <m/>
    <n v="261"/>
  </r>
  <r>
    <x v="22"/>
    <x v="1"/>
    <s v="State-2"/>
    <x v="0"/>
    <m/>
    <m/>
    <n v="34652"/>
  </r>
  <r>
    <x v="22"/>
    <x v="1"/>
    <s v="State-2"/>
    <x v="18"/>
    <s v="19"/>
    <s v="Independent American"/>
    <n v="2336"/>
  </r>
  <r>
    <x v="22"/>
    <x v="1"/>
    <s v="State-2"/>
    <x v="19"/>
    <s v="18"/>
    <s v="Republican"/>
    <n v="22984"/>
  </r>
  <r>
    <x v="22"/>
    <x v="1"/>
    <s v="State-2"/>
    <x v="20"/>
    <s v="17"/>
    <s v="Democratic"/>
    <n v="8140"/>
  </r>
  <r>
    <x v="22"/>
    <x v="1"/>
    <s v="State-2"/>
    <x v="21"/>
    <s v="16"/>
    <s v="Unaffiliated"/>
    <n v="6"/>
  </r>
  <r>
    <x v="22"/>
    <x v="1"/>
    <s v="State-2"/>
    <x v="16"/>
    <m/>
    <m/>
    <n v="4"/>
  </r>
  <r>
    <x v="22"/>
    <x v="1"/>
    <s v="State-2"/>
    <x v="17"/>
    <m/>
    <m/>
    <n v="992"/>
  </r>
  <r>
    <x v="22"/>
    <x v="2"/>
    <s v="State-4"/>
    <x v="0"/>
    <m/>
    <m/>
    <n v="34652"/>
  </r>
  <r>
    <x v="22"/>
    <x v="2"/>
    <s v="State-4"/>
    <x v="22"/>
    <s v="25"/>
    <s v="Democratic"/>
    <n v="7955"/>
  </r>
  <r>
    <x v="22"/>
    <x v="2"/>
    <s v="State-4"/>
    <x v="23"/>
    <s v="26"/>
    <s v="Constitution"/>
    <n v="2184"/>
  </r>
  <r>
    <x v="22"/>
    <x v="2"/>
    <s v="State-4"/>
    <x v="24"/>
    <s v="24"/>
    <s v="Republican"/>
    <n v="22231"/>
  </r>
  <r>
    <x v="22"/>
    <x v="2"/>
    <s v="State-4"/>
    <x v="25"/>
    <s v="23"/>
    <s v="Unaffiliated"/>
    <n v="740"/>
  </r>
  <r>
    <x v="22"/>
    <x v="2"/>
    <s v="State-4"/>
    <x v="16"/>
    <m/>
    <m/>
    <n v="7"/>
  </r>
  <r>
    <x v="22"/>
    <x v="2"/>
    <s v="State-4"/>
    <x v="17"/>
    <m/>
    <m/>
    <n v="1535"/>
  </r>
  <r>
    <x v="22"/>
    <x v="3"/>
    <s v="State-7"/>
    <x v="0"/>
    <m/>
    <m/>
    <n v="34625"/>
  </r>
  <r>
    <x v="22"/>
    <x v="3"/>
    <s v="State-7"/>
    <x v="26"/>
    <s v="36"/>
    <s v="Republican"/>
    <n v="19827"/>
  </r>
  <r>
    <x v="22"/>
    <x v="3"/>
    <s v="State-7"/>
    <x v="27"/>
    <s v="40"/>
    <s v="Independent American"/>
    <n v="989"/>
  </r>
  <r>
    <x v="22"/>
    <x v="3"/>
    <s v="State-7"/>
    <x v="28"/>
    <s v="34"/>
    <s v="Democratic"/>
    <n v="7104"/>
  </r>
  <r>
    <x v="22"/>
    <x v="3"/>
    <s v="State-7"/>
    <x v="29"/>
    <s v="33"/>
    <s v="Libertarian"/>
    <n v="1239"/>
  </r>
  <r>
    <x v="22"/>
    <x v="3"/>
    <s v="State-7"/>
    <x v="30"/>
    <s v="39"/>
    <s v="Unaffiliated"/>
    <n v="224"/>
  </r>
  <r>
    <x v="22"/>
    <x v="3"/>
    <s v="State-7"/>
    <x v="31"/>
    <s v="37"/>
    <s v="Unaffiliated"/>
    <n v="4079"/>
  </r>
  <r>
    <x v="22"/>
    <x v="3"/>
    <s v="State-7"/>
    <x v="32"/>
    <s v="38"/>
    <s v="Unaffiliated"/>
    <n v="45"/>
  </r>
  <r>
    <x v="22"/>
    <x v="3"/>
    <s v="State-7"/>
    <x v="16"/>
    <m/>
    <m/>
    <n v="13"/>
  </r>
  <r>
    <x v="22"/>
    <x v="3"/>
    <s v="State-7"/>
    <x v="17"/>
    <m/>
    <m/>
    <n v="1021"/>
  </r>
  <r>
    <x v="22"/>
    <x v="4"/>
    <s v="State-8"/>
    <x v="0"/>
    <m/>
    <m/>
    <n v="34625"/>
  </r>
  <r>
    <x v="22"/>
    <x v="4"/>
    <s v="State-8"/>
    <x v="33"/>
    <s v="45"/>
    <s v="Republican"/>
    <n v="21064"/>
  </r>
  <r>
    <x v="22"/>
    <x v="4"/>
    <s v="State-8"/>
    <x v="34"/>
    <s v="41"/>
    <s v="Democratic"/>
    <n v="7316"/>
  </r>
  <r>
    <x v="22"/>
    <x v="4"/>
    <s v="State-8"/>
    <x v="35"/>
    <s v="42"/>
    <s v="Libertarian"/>
    <n v="1347"/>
  </r>
  <r>
    <x v="22"/>
    <x v="4"/>
    <s v="State-8"/>
    <x v="36"/>
    <s v="43"/>
    <s v="Unaffiliated"/>
    <n v="1239"/>
  </r>
  <r>
    <x v="22"/>
    <x v="4"/>
    <s v="State-8"/>
    <x v="37"/>
    <s v="44"/>
    <s v="United Utah Party"/>
    <n v="1623"/>
  </r>
  <r>
    <x v="22"/>
    <x v="4"/>
    <s v="State-8"/>
    <x v="16"/>
    <m/>
    <m/>
    <n v="1"/>
  </r>
  <r>
    <x v="22"/>
    <x v="4"/>
    <s v="State-8"/>
    <x v="17"/>
    <m/>
    <m/>
    <n v="2035"/>
  </r>
  <r>
    <x v="22"/>
    <x v="5"/>
    <s v="State-9"/>
    <x v="0"/>
    <m/>
    <m/>
    <n v="34625"/>
  </r>
  <r>
    <x v="22"/>
    <x v="5"/>
    <s v="State-9"/>
    <x v="38"/>
    <s v="48"/>
    <s v="Republican"/>
    <n v="22176"/>
  </r>
  <r>
    <x v="22"/>
    <x v="5"/>
    <s v="State-9"/>
    <x v="39"/>
    <s v="46"/>
    <s v="Constitution"/>
    <n v="2293"/>
  </r>
  <r>
    <x v="22"/>
    <x v="5"/>
    <s v="State-9"/>
    <x v="40"/>
    <s v="47"/>
    <s v="Democratic"/>
    <n v="7740"/>
  </r>
  <r>
    <x v="22"/>
    <x v="5"/>
    <s v="State-9"/>
    <x v="16"/>
    <m/>
    <m/>
    <n v="3"/>
  </r>
  <r>
    <x v="22"/>
    <x v="5"/>
    <s v="State-9"/>
    <x v="17"/>
    <m/>
    <m/>
    <n v="2413"/>
  </r>
  <r>
    <x v="22"/>
    <x v="6"/>
    <s v="State-10"/>
    <x v="0"/>
    <m/>
    <m/>
    <n v="34625"/>
  </r>
  <r>
    <x v="22"/>
    <x v="6"/>
    <s v="State-10"/>
    <x v="41"/>
    <s v="49"/>
    <s v="Utah Forward"/>
    <n v="1715"/>
  </r>
  <r>
    <x v="22"/>
    <x v="6"/>
    <s v="State-10"/>
    <x v="42"/>
    <s v="50"/>
    <s v="Republican"/>
    <n v="22953"/>
  </r>
  <r>
    <x v="22"/>
    <x v="6"/>
    <s v="State-10"/>
    <x v="43"/>
    <s v="51"/>
    <s v="Democratic"/>
    <n v="7403"/>
  </r>
  <r>
    <x v="22"/>
    <x v="6"/>
    <s v="State-10"/>
    <x v="16"/>
    <m/>
    <m/>
    <n v="1"/>
  </r>
  <r>
    <x v="22"/>
    <x v="6"/>
    <s v="State-10"/>
    <x v="17"/>
    <m/>
    <m/>
    <n v="2553"/>
  </r>
  <r>
    <x v="22"/>
    <x v="118"/>
    <s v="State-53"/>
    <x v="0"/>
    <m/>
    <m/>
    <n v="18618"/>
  </r>
  <r>
    <x v="22"/>
    <x v="118"/>
    <s v="State-53"/>
    <x v="193"/>
    <s v="134"/>
    <s v="Democratic"/>
    <n v="5344"/>
  </r>
  <r>
    <x v="22"/>
    <x v="118"/>
    <s v="State-53"/>
    <x v="194"/>
    <s v="133"/>
    <s v="Republican"/>
    <n v="11863"/>
  </r>
  <r>
    <x v="22"/>
    <x v="118"/>
    <s v="State-53"/>
    <x v="16"/>
    <m/>
    <m/>
    <n v="0"/>
  </r>
  <r>
    <x v="22"/>
    <x v="118"/>
    <s v="State-53"/>
    <x v="17"/>
    <m/>
    <m/>
    <n v="1411"/>
  </r>
  <r>
    <x v="22"/>
    <x v="56"/>
    <s v="State-54"/>
    <x v="0"/>
    <m/>
    <m/>
    <n v="16007"/>
  </r>
  <r>
    <x v="22"/>
    <x v="56"/>
    <s v="State-54"/>
    <x v="110"/>
    <s v="135"/>
    <s v="Republican"/>
    <n v="11403"/>
  </r>
  <r>
    <x v="22"/>
    <x v="56"/>
    <s v="State-54"/>
    <x v="111"/>
    <s v="136"/>
    <s v="Democratic"/>
    <n v="3463"/>
  </r>
  <r>
    <x v="22"/>
    <x v="56"/>
    <s v="State-54"/>
    <x v="16"/>
    <m/>
    <m/>
    <n v="1"/>
  </r>
  <r>
    <x v="22"/>
    <x v="56"/>
    <s v="State-54"/>
    <x v="17"/>
    <m/>
    <m/>
    <n v="1140"/>
  </r>
  <r>
    <x v="22"/>
    <x v="104"/>
    <s v="State-105"/>
    <x v="0"/>
    <m/>
    <m/>
    <n v="34625"/>
  </r>
  <r>
    <x v="22"/>
    <x v="104"/>
    <s v="State-105"/>
    <x v="189"/>
    <s v="225"/>
    <s v="Republican"/>
    <n v="22394"/>
  </r>
  <r>
    <x v="22"/>
    <x v="104"/>
    <s v="State-105"/>
    <x v="190"/>
    <s v="226"/>
    <s v="Democratic"/>
    <n v="9555"/>
  </r>
  <r>
    <x v="22"/>
    <x v="104"/>
    <s v="State-105"/>
    <x v="16"/>
    <m/>
    <m/>
    <n v="1"/>
  </r>
  <r>
    <x v="22"/>
    <x v="104"/>
    <s v="State-105"/>
    <x v="17"/>
    <m/>
    <m/>
    <n v="2675"/>
  </r>
  <r>
    <x v="22"/>
    <x v="8"/>
    <s v="State-109"/>
    <x v="0"/>
    <m/>
    <m/>
    <n v="34625"/>
  </r>
  <r>
    <x v="22"/>
    <x v="8"/>
    <s v="State-109"/>
    <x v="46"/>
    <s v="232"/>
    <m/>
    <n v="20610"/>
  </r>
  <r>
    <x v="22"/>
    <x v="8"/>
    <s v="State-109"/>
    <x v="47"/>
    <s v="231"/>
    <m/>
    <n v="7006"/>
  </r>
  <r>
    <x v="22"/>
    <x v="8"/>
    <s v="State-109"/>
    <x v="16"/>
    <m/>
    <m/>
    <n v="13"/>
  </r>
  <r>
    <x v="22"/>
    <x v="8"/>
    <s v="State-109"/>
    <x v="17"/>
    <m/>
    <m/>
    <n v="6996"/>
  </r>
  <r>
    <x v="22"/>
    <x v="9"/>
    <s v="State-110"/>
    <x v="0"/>
    <m/>
    <m/>
    <n v="34625"/>
  </r>
  <r>
    <x v="22"/>
    <x v="9"/>
    <s v="State-110"/>
    <x v="46"/>
    <s v="233"/>
    <m/>
    <n v="20228"/>
  </r>
  <r>
    <x v="22"/>
    <x v="9"/>
    <s v="State-110"/>
    <x v="47"/>
    <s v="234"/>
    <m/>
    <n v="7309"/>
  </r>
  <r>
    <x v="22"/>
    <x v="9"/>
    <s v="State-110"/>
    <x v="16"/>
    <m/>
    <m/>
    <n v="9"/>
  </r>
  <r>
    <x v="22"/>
    <x v="9"/>
    <s v="State-110"/>
    <x v="17"/>
    <m/>
    <m/>
    <n v="7079"/>
  </r>
  <r>
    <x v="22"/>
    <x v="105"/>
    <s v="State-118"/>
    <x v="0"/>
    <m/>
    <m/>
    <n v="34625"/>
  </r>
  <r>
    <x v="22"/>
    <x v="105"/>
    <s v="State-118"/>
    <x v="46"/>
    <s v="249"/>
    <m/>
    <n v="19743"/>
  </r>
  <r>
    <x v="22"/>
    <x v="105"/>
    <s v="State-118"/>
    <x v="47"/>
    <s v="250"/>
    <m/>
    <n v="7833"/>
  </r>
  <r>
    <x v="22"/>
    <x v="105"/>
    <s v="State-118"/>
    <x v="16"/>
    <m/>
    <m/>
    <n v="8"/>
  </r>
  <r>
    <x v="22"/>
    <x v="105"/>
    <s v="State-118"/>
    <x v="17"/>
    <m/>
    <m/>
    <n v="7041"/>
  </r>
  <r>
    <x v="22"/>
    <x v="106"/>
    <s v="State-119"/>
    <x v="0"/>
    <m/>
    <m/>
    <n v="34625"/>
  </r>
  <r>
    <x v="22"/>
    <x v="106"/>
    <s v="State-119"/>
    <x v="46"/>
    <s v="252"/>
    <m/>
    <n v="20359"/>
  </r>
  <r>
    <x v="22"/>
    <x v="106"/>
    <s v="State-119"/>
    <x v="47"/>
    <s v="251"/>
    <m/>
    <n v="7086"/>
  </r>
  <r>
    <x v="22"/>
    <x v="106"/>
    <s v="State-119"/>
    <x v="16"/>
    <m/>
    <m/>
    <n v="8"/>
  </r>
  <r>
    <x v="22"/>
    <x v="106"/>
    <s v="State-119"/>
    <x v="17"/>
    <m/>
    <m/>
    <n v="7172"/>
  </r>
  <r>
    <x v="22"/>
    <x v="107"/>
    <s v="State-120"/>
    <x v="0"/>
    <m/>
    <m/>
    <n v="34625"/>
  </r>
  <r>
    <x v="22"/>
    <x v="107"/>
    <s v="State-120"/>
    <x v="46"/>
    <s v="253"/>
    <m/>
    <n v="20764"/>
  </r>
  <r>
    <x v="22"/>
    <x v="107"/>
    <s v="State-120"/>
    <x v="47"/>
    <s v="254"/>
    <m/>
    <n v="7135"/>
  </r>
  <r>
    <x v="22"/>
    <x v="107"/>
    <s v="State-120"/>
    <x v="16"/>
    <m/>
    <m/>
    <n v="13"/>
  </r>
  <r>
    <x v="22"/>
    <x v="107"/>
    <s v="State-120"/>
    <x v="17"/>
    <m/>
    <m/>
    <n v="6713"/>
  </r>
  <r>
    <x v="22"/>
    <x v="108"/>
    <s v="State-121"/>
    <x v="0"/>
    <m/>
    <m/>
    <n v="34625"/>
  </r>
  <r>
    <x v="22"/>
    <x v="108"/>
    <s v="State-121"/>
    <x v="46"/>
    <s v="255"/>
    <m/>
    <n v="19522"/>
  </r>
  <r>
    <x v="22"/>
    <x v="108"/>
    <s v="State-121"/>
    <x v="47"/>
    <s v="256"/>
    <m/>
    <n v="7960"/>
  </r>
  <r>
    <x v="22"/>
    <x v="108"/>
    <s v="State-121"/>
    <x v="16"/>
    <m/>
    <m/>
    <n v="6"/>
  </r>
  <r>
    <x v="22"/>
    <x v="108"/>
    <s v="State-121"/>
    <x v="17"/>
    <m/>
    <m/>
    <n v="7137"/>
  </r>
  <r>
    <x v="22"/>
    <x v="109"/>
    <s v="State-122"/>
    <x v="0"/>
    <m/>
    <m/>
    <n v="34625"/>
  </r>
  <r>
    <x v="22"/>
    <x v="109"/>
    <s v="State-122"/>
    <x v="46"/>
    <s v="258"/>
    <m/>
    <n v="20082"/>
  </r>
  <r>
    <x v="22"/>
    <x v="109"/>
    <s v="State-122"/>
    <x v="47"/>
    <s v="257"/>
    <m/>
    <n v="7380"/>
  </r>
  <r>
    <x v="22"/>
    <x v="109"/>
    <s v="State-122"/>
    <x v="16"/>
    <m/>
    <m/>
    <n v="8"/>
  </r>
  <r>
    <x v="22"/>
    <x v="109"/>
    <s v="State-122"/>
    <x v="17"/>
    <m/>
    <m/>
    <n v="7155"/>
  </r>
  <r>
    <x v="22"/>
    <x v="110"/>
    <s v="State-123"/>
    <x v="0"/>
    <m/>
    <m/>
    <n v="34625"/>
  </r>
  <r>
    <x v="22"/>
    <x v="110"/>
    <s v="State-123"/>
    <x v="46"/>
    <s v="259"/>
    <m/>
    <n v="19311"/>
  </r>
  <r>
    <x v="22"/>
    <x v="110"/>
    <s v="State-123"/>
    <x v="47"/>
    <s v="260"/>
    <m/>
    <n v="8096"/>
  </r>
  <r>
    <x v="22"/>
    <x v="110"/>
    <s v="State-123"/>
    <x v="16"/>
    <m/>
    <m/>
    <n v="6"/>
  </r>
  <r>
    <x v="22"/>
    <x v="110"/>
    <s v="State-123"/>
    <x v="17"/>
    <m/>
    <m/>
    <n v="7212"/>
  </r>
  <r>
    <x v="22"/>
    <x v="111"/>
    <s v="State-124"/>
    <x v="0"/>
    <m/>
    <m/>
    <n v="34625"/>
  </r>
  <r>
    <x v="22"/>
    <x v="111"/>
    <s v="State-124"/>
    <x v="46"/>
    <s v="262"/>
    <m/>
    <n v="20463"/>
  </r>
  <r>
    <x v="22"/>
    <x v="111"/>
    <s v="State-124"/>
    <x v="47"/>
    <s v="261"/>
    <m/>
    <n v="6995"/>
  </r>
  <r>
    <x v="22"/>
    <x v="111"/>
    <s v="State-124"/>
    <x v="16"/>
    <m/>
    <m/>
    <n v="9"/>
  </r>
  <r>
    <x v="22"/>
    <x v="111"/>
    <s v="State-124"/>
    <x v="17"/>
    <m/>
    <m/>
    <n v="7158"/>
  </r>
  <r>
    <x v="22"/>
    <x v="112"/>
    <s v="State-125"/>
    <x v="0"/>
    <m/>
    <m/>
    <n v="34625"/>
  </r>
  <r>
    <x v="22"/>
    <x v="112"/>
    <s v="State-125"/>
    <x v="46"/>
    <s v="263"/>
    <m/>
    <n v="20406"/>
  </r>
  <r>
    <x v="22"/>
    <x v="112"/>
    <s v="State-125"/>
    <x v="47"/>
    <s v="264"/>
    <m/>
    <n v="7186"/>
  </r>
  <r>
    <x v="22"/>
    <x v="112"/>
    <s v="State-125"/>
    <x v="16"/>
    <m/>
    <m/>
    <n v="10"/>
  </r>
  <r>
    <x v="22"/>
    <x v="112"/>
    <s v="State-125"/>
    <x v="17"/>
    <m/>
    <m/>
    <n v="7023"/>
  </r>
  <r>
    <x v="22"/>
    <x v="113"/>
    <s v="State-138"/>
    <x v="0"/>
    <m/>
    <m/>
    <n v="34625"/>
  </r>
  <r>
    <x v="22"/>
    <x v="113"/>
    <s v="State-138"/>
    <x v="46"/>
    <s v="289"/>
    <m/>
    <n v="20192"/>
  </r>
  <r>
    <x v="22"/>
    <x v="113"/>
    <s v="State-138"/>
    <x v="47"/>
    <s v="290"/>
    <m/>
    <n v="7014"/>
  </r>
  <r>
    <x v="22"/>
    <x v="113"/>
    <s v="State-138"/>
    <x v="16"/>
    <m/>
    <m/>
    <n v="4"/>
  </r>
  <r>
    <x v="22"/>
    <x v="113"/>
    <s v="State-138"/>
    <x v="17"/>
    <m/>
    <m/>
    <n v="7415"/>
  </r>
  <r>
    <x v="22"/>
    <x v="114"/>
    <s v="State-139"/>
    <x v="0"/>
    <m/>
    <m/>
    <n v="34625"/>
  </r>
  <r>
    <x v="22"/>
    <x v="114"/>
    <s v="State-139"/>
    <x v="46"/>
    <s v="292"/>
    <m/>
    <n v="20476"/>
  </r>
  <r>
    <x v="22"/>
    <x v="114"/>
    <s v="State-139"/>
    <x v="47"/>
    <s v="291"/>
    <m/>
    <n v="6878"/>
  </r>
  <r>
    <x v="22"/>
    <x v="114"/>
    <s v="State-139"/>
    <x v="16"/>
    <m/>
    <m/>
    <n v="13"/>
  </r>
  <r>
    <x v="22"/>
    <x v="114"/>
    <s v="State-139"/>
    <x v="17"/>
    <m/>
    <m/>
    <n v="7258"/>
  </r>
  <r>
    <x v="22"/>
    <x v="115"/>
    <s v="State-140"/>
    <x v="0"/>
    <m/>
    <m/>
    <n v="34625"/>
  </r>
  <r>
    <x v="22"/>
    <x v="115"/>
    <s v="State-140"/>
    <x v="46"/>
    <s v="294"/>
    <m/>
    <n v="20747"/>
  </r>
  <r>
    <x v="22"/>
    <x v="115"/>
    <s v="State-140"/>
    <x v="47"/>
    <s v="293"/>
    <m/>
    <n v="6597"/>
  </r>
  <r>
    <x v="22"/>
    <x v="115"/>
    <s v="State-140"/>
    <x v="16"/>
    <m/>
    <m/>
    <n v="18"/>
  </r>
  <r>
    <x v="22"/>
    <x v="115"/>
    <s v="State-140"/>
    <x v="17"/>
    <m/>
    <m/>
    <n v="7263"/>
  </r>
  <r>
    <x v="22"/>
    <x v="116"/>
    <s v="State-141"/>
    <x v="0"/>
    <m/>
    <m/>
    <n v="34625"/>
  </r>
  <r>
    <x v="22"/>
    <x v="116"/>
    <s v="State-141"/>
    <x v="46"/>
    <s v="295"/>
    <m/>
    <n v="19765"/>
  </r>
  <r>
    <x v="22"/>
    <x v="116"/>
    <s v="State-141"/>
    <x v="47"/>
    <s v="296"/>
    <m/>
    <n v="7720"/>
  </r>
  <r>
    <x v="22"/>
    <x v="116"/>
    <s v="State-141"/>
    <x v="16"/>
    <m/>
    <m/>
    <n v="3"/>
  </r>
  <r>
    <x v="22"/>
    <x v="116"/>
    <s v="State-141"/>
    <x v="17"/>
    <m/>
    <m/>
    <n v="7137"/>
  </r>
  <r>
    <x v="22"/>
    <x v="12"/>
    <s v="State-145"/>
    <x v="0"/>
    <m/>
    <m/>
    <n v="34625"/>
  </r>
  <r>
    <x v="22"/>
    <x v="12"/>
    <s v="State-145"/>
    <x v="48"/>
    <s v="303"/>
    <m/>
    <n v="20522"/>
  </r>
  <r>
    <x v="22"/>
    <x v="12"/>
    <s v="State-145"/>
    <x v="49"/>
    <s v="304"/>
    <m/>
    <n v="11649"/>
  </r>
  <r>
    <x v="22"/>
    <x v="12"/>
    <s v="State-145"/>
    <x v="16"/>
    <m/>
    <m/>
    <n v="1"/>
  </r>
  <r>
    <x v="22"/>
    <x v="12"/>
    <s v="State-145"/>
    <x v="17"/>
    <m/>
    <m/>
    <n v="2453"/>
  </r>
  <r>
    <x v="22"/>
    <x v="13"/>
    <s v="State-146"/>
    <x v="0"/>
    <m/>
    <m/>
    <n v="34625"/>
  </r>
  <r>
    <x v="22"/>
    <x v="13"/>
    <s v="State-146"/>
    <x v="48"/>
    <s v="305"/>
    <m/>
    <n v="27976"/>
  </r>
  <r>
    <x v="22"/>
    <x v="13"/>
    <s v="State-146"/>
    <x v="49"/>
    <s v="306"/>
    <m/>
    <n v="4387"/>
  </r>
  <r>
    <x v="22"/>
    <x v="13"/>
    <s v="State-146"/>
    <x v="16"/>
    <m/>
    <m/>
    <n v="1"/>
  </r>
  <r>
    <x v="22"/>
    <x v="13"/>
    <s v="State-146"/>
    <x v="17"/>
    <m/>
    <m/>
    <n v="2261"/>
  </r>
  <r>
    <x v="23"/>
    <x v="0"/>
    <s v="State-1"/>
    <x v="0"/>
    <m/>
    <m/>
    <n v="16036"/>
  </r>
  <r>
    <x v="23"/>
    <x v="0"/>
    <s v="State-1"/>
    <x v="1"/>
    <s v="9"/>
    <s v="Unaffiliated"/>
    <n v="11"/>
  </r>
  <r>
    <x v="23"/>
    <x v="0"/>
    <s v="State-1"/>
    <x v="2"/>
    <s v="3"/>
    <s v="Unaffiliated"/>
    <n v="24"/>
  </r>
  <r>
    <x v="23"/>
    <x v="0"/>
    <s v="State-1"/>
    <x v="3"/>
    <s v="13"/>
    <s v="Constitution"/>
    <n v="84"/>
  </r>
  <r>
    <x v="23"/>
    <x v="0"/>
    <s v="State-1"/>
    <x v="4"/>
    <s v="8"/>
    <s v="Green"/>
    <n v="33"/>
  </r>
  <r>
    <x v="23"/>
    <x v="0"/>
    <s v="State-1"/>
    <x v="5"/>
    <s v="5"/>
    <s v="Republican"/>
    <n v="13599"/>
  </r>
  <r>
    <x v="23"/>
    <x v="0"/>
    <s v="State-1"/>
    <x v="6"/>
    <s v="10"/>
    <s v="Libertarian"/>
    <n v="113"/>
  </r>
  <r>
    <x v="23"/>
    <x v="0"/>
    <s v="State-1"/>
    <x v="7"/>
    <s v="4"/>
    <s v="Democratic"/>
    <n v="1952"/>
  </r>
  <r>
    <x v="23"/>
    <x v="0"/>
    <s v="State-1"/>
    <x v="8"/>
    <s v="15"/>
    <s v="Unaffiliated"/>
    <n v="15"/>
  </r>
  <r>
    <x v="23"/>
    <x v="0"/>
    <s v="State-1"/>
    <x v="9"/>
    <s v="1"/>
    <s v="Unaffiliated"/>
    <n v="0"/>
  </r>
  <r>
    <x v="23"/>
    <x v="0"/>
    <s v="State-1"/>
    <x v="10"/>
    <s v="2"/>
    <s v="Unaffiliated"/>
    <n v="1"/>
  </r>
  <r>
    <x v="23"/>
    <x v="0"/>
    <s v="State-1"/>
    <x v="11"/>
    <s v="6"/>
    <s v="Unaffiliated"/>
    <n v="0"/>
  </r>
  <r>
    <x v="23"/>
    <x v="0"/>
    <s v="State-1"/>
    <x v="12"/>
    <s v="7"/>
    <s v="Unaffiliated"/>
    <n v="0"/>
  </r>
  <r>
    <x v="23"/>
    <x v="0"/>
    <s v="State-1"/>
    <x v="13"/>
    <s v="11"/>
    <s v="Unaffiliated"/>
    <n v="0"/>
  </r>
  <r>
    <x v="23"/>
    <x v="0"/>
    <s v="State-1"/>
    <x v="14"/>
    <s v="12"/>
    <s v="Unaffiliated"/>
    <n v="0"/>
  </r>
  <r>
    <x v="23"/>
    <x v="0"/>
    <s v="State-1"/>
    <x v="15"/>
    <s v="14"/>
    <s v="Unaffiliated"/>
    <n v="0"/>
  </r>
  <r>
    <x v="23"/>
    <x v="0"/>
    <s v="State-1"/>
    <x v="16"/>
    <m/>
    <m/>
    <n v="4"/>
  </r>
  <r>
    <x v="23"/>
    <x v="0"/>
    <s v="State-1"/>
    <x v="17"/>
    <m/>
    <m/>
    <n v="103"/>
  </r>
  <r>
    <x v="23"/>
    <x v="1"/>
    <s v="State-2"/>
    <x v="0"/>
    <m/>
    <m/>
    <n v="16036"/>
  </r>
  <r>
    <x v="23"/>
    <x v="1"/>
    <s v="State-2"/>
    <x v="18"/>
    <s v="19"/>
    <s v="Independent American"/>
    <n v="931"/>
  </r>
  <r>
    <x v="23"/>
    <x v="1"/>
    <s v="State-2"/>
    <x v="19"/>
    <s v="18"/>
    <s v="Republican"/>
    <n v="13077"/>
  </r>
  <r>
    <x v="23"/>
    <x v="1"/>
    <s v="State-2"/>
    <x v="20"/>
    <s v="17"/>
    <s v="Democratic"/>
    <n v="1565"/>
  </r>
  <r>
    <x v="23"/>
    <x v="1"/>
    <s v="State-2"/>
    <x v="21"/>
    <s v="16"/>
    <s v="Unaffiliated"/>
    <n v="0"/>
  </r>
  <r>
    <x v="23"/>
    <x v="1"/>
    <s v="State-2"/>
    <x v="16"/>
    <m/>
    <m/>
    <n v="4"/>
  </r>
  <r>
    <x v="23"/>
    <x v="1"/>
    <s v="State-2"/>
    <x v="17"/>
    <m/>
    <m/>
    <n v="374"/>
  </r>
  <r>
    <x v="23"/>
    <x v="24"/>
    <s v="State-5"/>
    <x v="0"/>
    <m/>
    <m/>
    <n v="16036"/>
  </r>
  <r>
    <x v="23"/>
    <x v="24"/>
    <s v="State-5"/>
    <x v="64"/>
    <s v="27"/>
    <s v="Republican"/>
    <n v="13718"/>
  </r>
  <r>
    <x v="23"/>
    <x v="24"/>
    <s v="State-5"/>
    <x v="65"/>
    <s v="28"/>
    <s v="Democratic"/>
    <n v="1722"/>
  </r>
  <r>
    <x v="23"/>
    <x v="24"/>
    <s v="State-5"/>
    <x v="16"/>
    <m/>
    <m/>
    <n v="2"/>
  </r>
  <r>
    <x v="23"/>
    <x v="24"/>
    <s v="State-5"/>
    <x v="17"/>
    <m/>
    <m/>
    <n v="594"/>
  </r>
  <r>
    <x v="23"/>
    <x v="3"/>
    <s v="State-7"/>
    <x v="0"/>
    <m/>
    <m/>
    <n v="16027"/>
  </r>
  <r>
    <x v="23"/>
    <x v="3"/>
    <s v="State-7"/>
    <x v="26"/>
    <s v="36"/>
    <s v="Republican"/>
    <n v="10208"/>
  </r>
  <r>
    <x v="23"/>
    <x v="3"/>
    <s v="State-7"/>
    <x v="27"/>
    <s v="40"/>
    <s v="Independent American"/>
    <n v="562"/>
  </r>
  <r>
    <x v="23"/>
    <x v="3"/>
    <s v="State-7"/>
    <x v="28"/>
    <s v="34"/>
    <s v="Democratic"/>
    <n v="1428"/>
  </r>
  <r>
    <x v="23"/>
    <x v="3"/>
    <s v="State-7"/>
    <x v="29"/>
    <s v="33"/>
    <s v="Libertarian"/>
    <n v="593"/>
  </r>
  <r>
    <x v="23"/>
    <x v="3"/>
    <s v="State-7"/>
    <x v="30"/>
    <s v="39"/>
    <s v="Unaffiliated"/>
    <n v="90"/>
  </r>
  <r>
    <x v="23"/>
    <x v="3"/>
    <s v="State-7"/>
    <x v="31"/>
    <s v="37"/>
    <s v="Unaffiliated"/>
    <n v="2610"/>
  </r>
  <r>
    <x v="23"/>
    <x v="3"/>
    <s v="State-7"/>
    <x v="32"/>
    <s v="38"/>
    <s v="Unaffiliated"/>
    <n v="4"/>
  </r>
  <r>
    <x v="23"/>
    <x v="3"/>
    <s v="State-7"/>
    <x v="16"/>
    <m/>
    <m/>
    <n v="0"/>
  </r>
  <r>
    <x v="23"/>
    <x v="3"/>
    <s v="State-7"/>
    <x v="17"/>
    <m/>
    <m/>
    <n v="501"/>
  </r>
  <r>
    <x v="23"/>
    <x v="4"/>
    <s v="State-8"/>
    <x v="0"/>
    <m/>
    <m/>
    <n v="16027"/>
  </r>
  <r>
    <x v="23"/>
    <x v="4"/>
    <s v="State-8"/>
    <x v="33"/>
    <s v="45"/>
    <s v="Republican"/>
    <n v="12644"/>
  </r>
  <r>
    <x v="23"/>
    <x v="4"/>
    <s v="State-8"/>
    <x v="34"/>
    <s v="41"/>
    <s v="Democratic"/>
    <n v="1506"/>
  </r>
  <r>
    <x v="23"/>
    <x v="4"/>
    <s v="State-8"/>
    <x v="35"/>
    <s v="42"/>
    <s v="Libertarian"/>
    <n v="524"/>
  </r>
  <r>
    <x v="23"/>
    <x v="4"/>
    <s v="State-8"/>
    <x v="36"/>
    <s v="43"/>
    <s v="Unaffiliated"/>
    <n v="392"/>
  </r>
  <r>
    <x v="23"/>
    <x v="4"/>
    <s v="State-8"/>
    <x v="37"/>
    <s v="44"/>
    <s v="United Utah Party"/>
    <n v="394"/>
  </r>
  <r>
    <x v="23"/>
    <x v="4"/>
    <s v="State-8"/>
    <x v="16"/>
    <m/>
    <m/>
    <n v="0"/>
  </r>
  <r>
    <x v="23"/>
    <x v="4"/>
    <s v="State-8"/>
    <x v="17"/>
    <m/>
    <m/>
    <n v="567"/>
  </r>
  <r>
    <x v="23"/>
    <x v="5"/>
    <s v="State-9"/>
    <x v="0"/>
    <m/>
    <m/>
    <n v="16027"/>
  </r>
  <r>
    <x v="23"/>
    <x v="5"/>
    <s v="State-9"/>
    <x v="38"/>
    <s v="48"/>
    <s v="Republican"/>
    <n v="12669"/>
  </r>
  <r>
    <x v="23"/>
    <x v="5"/>
    <s v="State-9"/>
    <x v="39"/>
    <s v="46"/>
    <s v="Constitution"/>
    <n v="1102"/>
  </r>
  <r>
    <x v="23"/>
    <x v="5"/>
    <s v="State-9"/>
    <x v="40"/>
    <s v="47"/>
    <s v="Democratic"/>
    <n v="1557"/>
  </r>
  <r>
    <x v="23"/>
    <x v="5"/>
    <s v="State-9"/>
    <x v="16"/>
    <m/>
    <m/>
    <n v="0"/>
  </r>
  <r>
    <x v="23"/>
    <x v="5"/>
    <s v="State-9"/>
    <x v="17"/>
    <m/>
    <m/>
    <n v="699"/>
  </r>
  <r>
    <x v="23"/>
    <x v="6"/>
    <s v="State-10"/>
    <x v="0"/>
    <m/>
    <m/>
    <n v="16027"/>
  </r>
  <r>
    <x v="23"/>
    <x v="6"/>
    <s v="State-10"/>
    <x v="41"/>
    <s v="49"/>
    <s v="Utah Forward"/>
    <n v="489"/>
  </r>
  <r>
    <x v="23"/>
    <x v="6"/>
    <s v="State-10"/>
    <x v="42"/>
    <s v="50"/>
    <s v="Republican"/>
    <n v="13274"/>
  </r>
  <r>
    <x v="23"/>
    <x v="6"/>
    <s v="State-10"/>
    <x v="43"/>
    <s v="51"/>
    <s v="Democratic"/>
    <n v="1551"/>
  </r>
  <r>
    <x v="23"/>
    <x v="6"/>
    <s v="State-10"/>
    <x v="16"/>
    <m/>
    <m/>
    <n v="0"/>
  </r>
  <r>
    <x v="23"/>
    <x v="6"/>
    <s v="State-10"/>
    <x v="17"/>
    <m/>
    <m/>
    <n v="713"/>
  </r>
  <r>
    <x v="23"/>
    <x v="28"/>
    <s v="State-93"/>
    <x v="0"/>
    <m/>
    <m/>
    <n v="16027"/>
  </r>
  <r>
    <x v="23"/>
    <x v="28"/>
    <s v="State-93"/>
    <x v="71"/>
    <s v="205"/>
    <s v="Republican"/>
    <n v="14425"/>
  </r>
  <r>
    <x v="23"/>
    <x v="28"/>
    <s v="State-93"/>
    <x v="16"/>
    <m/>
    <m/>
    <n v="0"/>
  </r>
  <r>
    <x v="23"/>
    <x v="28"/>
    <s v="State-93"/>
    <x v="17"/>
    <m/>
    <m/>
    <n v="1602"/>
  </r>
  <r>
    <x v="23"/>
    <x v="29"/>
    <s v="State-106"/>
    <x v="0"/>
    <m/>
    <m/>
    <n v="16027"/>
  </r>
  <r>
    <x v="23"/>
    <x v="29"/>
    <s v="State-106"/>
    <x v="72"/>
    <s v="227"/>
    <s v="Republican"/>
    <n v="12577"/>
  </r>
  <r>
    <x v="23"/>
    <x v="29"/>
    <s v="State-106"/>
    <x v="73"/>
    <s v="228"/>
    <s v="Unaffiliated"/>
    <n v="2294"/>
  </r>
  <r>
    <x v="23"/>
    <x v="29"/>
    <s v="State-106"/>
    <x v="16"/>
    <m/>
    <m/>
    <n v="0"/>
  </r>
  <r>
    <x v="23"/>
    <x v="29"/>
    <s v="State-106"/>
    <x v="17"/>
    <m/>
    <m/>
    <n v="1156"/>
  </r>
  <r>
    <x v="23"/>
    <x v="8"/>
    <s v="State-109"/>
    <x v="0"/>
    <m/>
    <m/>
    <n v="16027"/>
  </r>
  <r>
    <x v="23"/>
    <x v="8"/>
    <s v="State-109"/>
    <x v="46"/>
    <s v="232"/>
    <m/>
    <n v="11167"/>
  </r>
  <r>
    <x v="23"/>
    <x v="8"/>
    <s v="State-109"/>
    <x v="47"/>
    <s v="231"/>
    <m/>
    <n v="2427"/>
  </r>
  <r>
    <x v="23"/>
    <x v="8"/>
    <s v="State-109"/>
    <x v="16"/>
    <m/>
    <m/>
    <n v="6"/>
  </r>
  <r>
    <x v="23"/>
    <x v="8"/>
    <s v="State-109"/>
    <x v="17"/>
    <m/>
    <m/>
    <n v="2427"/>
  </r>
  <r>
    <x v="23"/>
    <x v="9"/>
    <s v="State-110"/>
    <x v="0"/>
    <m/>
    <m/>
    <n v="16027"/>
  </r>
  <r>
    <x v="23"/>
    <x v="9"/>
    <s v="State-110"/>
    <x v="46"/>
    <s v="233"/>
    <m/>
    <n v="11120"/>
  </r>
  <r>
    <x v="23"/>
    <x v="9"/>
    <s v="State-110"/>
    <x v="47"/>
    <s v="234"/>
    <m/>
    <n v="2402"/>
  </r>
  <r>
    <x v="23"/>
    <x v="9"/>
    <s v="State-110"/>
    <x v="16"/>
    <m/>
    <m/>
    <n v="7"/>
  </r>
  <r>
    <x v="23"/>
    <x v="9"/>
    <s v="State-110"/>
    <x v="17"/>
    <m/>
    <m/>
    <n v="2498"/>
  </r>
  <r>
    <x v="23"/>
    <x v="30"/>
    <s v="State-134"/>
    <x v="0"/>
    <m/>
    <m/>
    <n v="16027"/>
  </r>
  <r>
    <x v="23"/>
    <x v="30"/>
    <s v="State-134"/>
    <x v="46"/>
    <s v="281"/>
    <m/>
    <n v="11376"/>
  </r>
  <r>
    <x v="23"/>
    <x v="30"/>
    <s v="State-134"/>
    <x v="47"/>
    <s v="282"/>
    <m/>
    <n v="2532"/>
  </r>
  <r>
    <x v="23"/>
    <x v="30"/>
    <s v="State-134"/>
    <x v="16"/>
    <m/>
    <m/>
    <n v="5"/>
  </r>
  <r>
    <x v="23"/>
    <x v="30"/>
    <s v="State-134"/>
    <x v="17"/>
    <m/>
    <m/>
    <n v="2114"/>
  </r>
  <r>
    <x v="23"/>
    <x v="31"/>
    <s v="State-135"/>
    <x v="0"/>
    <m/>
    <m/>
    <n v="16027"/>
  </r>
  <r>
    <x v="23"/>
    <x v="31"/>
    <s v="State-135"/>
    <x v="46"/>
    <s v="283"/>
    <m/>
    <n v="11717"/>
  </r>
  <r>
    <x v="23"/>
    <x v="31"/>
    <s v="State-135"/>
    <x v="47"/>
    <s v="284"/>
    <m/>
    <n v="2120"/>
  </r>
  <r>
    <x v="23"/>
    <x v="31"/>
    <s v="State-135"/>
    <x v="16"/>
    <m/>
    <m/>
    <n v="0"/>
  </r>
  <r>
    <x v="23"/>
    <x v="31"/>
    <s v="State-135"/>
    <x v="17"/>
    <m/>
    <m/>
    <n v="2190"/>
  </r>
  <r>
    <x v="23"/>
    <x v="12"/>
    <s v="State-145"/>
    <x v="0"/>
    <m/>
    <m/>
    <n v="16027"/>
  </r>
  <r>
    <x v="23"/>
    <x v="12"/>
    <s v="State-145"/>
    <x v="48"/>
    <s v="303"/>
    <m/>
    <n v="8958"/>
  </r>
  <r>
    <x v="23"/>
    <x v="12"/>
    <s v="State-145"/>
    <x v="49"/>
    <s v="304"/>
    <m/>
    <n v="6020"/>
  </r>
  <r>
    <x v="23"/>
    <x v="12"/>
    <s v="State-145"/>
    <x v="16"/>
    <m/>
    <m/>
    <n v="1"/>
  </r>
  <r>
    <x v="23"/>
    <x v="12"/>
    <s v="State-145"/>
    <x v="17"/>
    <m/>
    <m/>
    <n v="1048"/>
  </r>
  <r>
    <x v="23"/>
    <x v="13"/>
    <s v="State-146"/>
    <x v="0"/>
    <m/>
    <m/>
    <n v="16027"/>
  </r>
  <r>
    <x v="23"/>
    <x v="13"/>
    <s v="State-146"/>
    <x v="48"/>
    <s v="305"/>
    <m/>
    <n v="13727"/>
  </r>
  <r>
    <x v="23"/>
    <x v="13"/>
    <s v="State-146"/>
    <x v="49"/>
    <s v="306"/>
    <m/>
    <n v="1489"/>
  </r>
  <r>
    <x v="23"/>
    <x v="13"/>
    <s v="State-146"/>
    <x v="16"/>
    <m/>
    <m/>
    <n v="4"/>
  </r>
  <r>
    <x v="23"/>
    <x v="13"/>
    <s v="State-146"/>
    <x v="17"/>
    <m/>
    <m/>
    <n v="807"/>
  </r>
  <r>
    <x v="24"/>
    <x v="0"/>
    <s v="State-1"/>
    <x v="0"/>
    <m/>
    <m/>
    <n v="308981"/>
  </r>
  <r>
    <x v="24"/>
    <x v="0"/>
    <s v="State-1"/>
    <x v="1"/>
    <s v="9"/>
    <s v="Unaffiliated"/>
    <n v="382"/>
  </r>
  <r>
    <x v="24"/>
    <x v="0"/>
    <s v="State-1"/>
    <x v="2"/>
    <s v="3"/>
    <s v="Unaffiliated"/>
    <n v="470"/>
  </r>
  <r>
    <x v="24"/>
    <x v="0"/>
    <s v="State-1"/>
    <x v="3"/>
    <s v="13"/>
    <s v="Constitution"/>
    <n v="2164"/>
  </r>
  <r>
    <x v="24"/>
    <x v="0"/>
    <s v="State-1"/>
    <x v="4"/>
    <s v="8"/>
    <s v="Green"/>
    <n v="1582"/>
  </r>
  <r>
    <x v="24"/>
    <x v="0"/>
    <s v="State-1"/>
    <x v="5"/>
    <s v="5"/>
    <s v="Republican"/>
    <n v="203476"/>
  </r>
  <r>
    <x v="24"/>
    <x v="0"/>
    <s v="State-1"/>
    <x v="6"/>
    <s v="10"/>
    <s v="Libertarian"/>
    <n v="4397"/>
  </r>
  <r>
    <x v="24"/>
    <x v="0"/>
    <s v="State-1"/>
    <x v="7"/>
    <s v="4"/>
    <s v="Democratic"/>
    <n v="84937"/>
  </r>
  <r>
    <x v="24"/>
    <x v="0"/>
    <s v="State-1"/>
    <x v="8"/>
    <s v="15"/>
    <s v="Unaffiliated"/>
    <n v="536"/>
  </r>
  <r>
    <x v="24"/>
    <x v="0"/>
    <s v="State-1"/>
    <x v="9"/>
    <s v="1"/>
    <s v="Unaffiliated"/>
    <n v="1"/>
  </r>
  <r>
    <x v="24"/>
    <x v="0"/>
    <s v="State-1"/>
    <x v="10"/>
    <s v="2"/>
    <s v="Unaffiliated"/>
    <n v="155"/>
  </r>
  <r>
    <x v="24"/>
    <x v="0"/>
    <s v="State-1"/>
    <x v="11"/>
    <s v="6"/>
    <s v="Unaffiliated"/>
    <n v="13"/>
  </r>
  <r>
    <x v="24"/>
    <x v="0"/>
    <s v="State-1"/>
    <x v="12"/>
    <s v="7"/>
    <s v="Unaffiliated"/>
    <n v="30"/>
  </r>
  <r>
    <x v="24"/>
    <x v="0"/>
    <s v="State-1"/>
    <x v="13"/>
    <s v="11"/>
    <s v="Unaffiliated"/>
    <n v="0"/>
  </r>
  <r>
    <x v="24"/>
    <x v="0"/>
    <s v="State-1"/>
    <x v="14"/>
    <s v="12"/>
    <s v="Unaffiliated"/>
    <n v="0"/>
  </r>
  <r>
    <x v="24"/>
    <x v="0"/>
    <s v="State-1"/>
    <x v="15"/>
    <s v="14"/>
    <s v="Unaffiliated"/>
    <n v="0"/>
  </r>
  <r>
    <x v="24"/>
    <x v="0"/>
    <s v="State-1"/>
    <x v="16"/>
    <m/>
    <m/>
    <n v="42"/>
  </r>
  <r>
    <x v="24"/>
    <x v="0"/>
    <s v="State-1"/>
    <x v="17"/>
    <m/>
    <m/>
    <n v="3668"/>
  </r>
  <r>
    <x v="24"/>
    <x v="1"/>
    <s v="State-2"/>
    <x v="0"/>
    <m/>
    <m/>
    <n v="308981"/>
  </r>
  <r>
    <x v="24"/>
    <x v="1"/>
    <s v="State-2"/>
    <x v="18"/>
    <s v="19"/>
    <s v="Independent American"/>
    <n v="21419"/>
  </r>
  <r>
    <x v="24"/>
    <x v="1"/>
    <s v="State-2"/>
    <x v="19"/>
    <s v="18"/>
    <s v="Republican"/>
    <n v="214605"/>
  </r>
  <r>
    <x v="24"/>
    <x v="1"/>
    <s v="State-2"/>
    <x v="20"/>
    <s v="17"/>
    <s v="Democratic"/>
    <n v="60490"/>
  </r>
  <r>
    <x v="24"/>
    <x v="1"/>
    <s v="State-2"/>
    <x v="21"/>
    <s v="16"/>
    <s v="Unaffiliated"/>
    <n v="70"/>
  </r>
  <r>
    <x v="24"/>
    <x v="1"/>
    <s v="State-2"/>
    <x v="16"/>
    <m/>
    <m/>
    <n v="22"/>
  </r>
  <r>
    <x v="24"/>
    <x v="1"/>
    <s v="State-2"/>
    <x v="17"/>
    <m/>
    <m/>
    <n v="9999"/>
  </r>
  <r>
    <x v="24"/>
    <x v="24"/>
    <s v="State-5"/>
    <x v="0"/>
    <m/>
    <m/>
    <n v="169457"/>
  </r>
  <r>
    <x v="24"/>
    <x v="24"/>
    <s v="State-5"/>
    <x v="64"/>
    <s v="27"/>
    <s v="Republican"/>
    <n v="120259"/>
  </r>
  <r>
    <x v="24"/>
    <x v="24"/>
    <s v="State-5"/>
    <x v="65"/>
    <s v="28"/>
    <s v="Democratic"/>
    <n v="40389"/>
  </r>
  <r>
    <x v="24"/>
    <x v="24"/>
    <s v="State-5"/>
    <x v="16"/>
    <m/>
    <m/>
    <n v="9"/>
  </r>
  <r>
    <x v="24"/>
    <x v="24"/>
    <s v="State-5"/>
    <x v="17"/>
    <m/>
    <m/>
    <n v="8800"/>
  </r>
  <r>
    <x v="24"/>
    <x v="55"/>
    <s v="State-6"/>
    <x v="0"/>
    <m/>
    <m/>
    <n v="139524"/>
  </r>
  <r>
    <x v="24"/>
    <x v="55"/>
    <s v="State-6"/>
    <x v="106"/>
    <s v="32"/>
    <s v="Unaffiliated"/>
    <n v="2254"/>
  </r>
  <r>
    <x v="24"/>
    <x v="55"/>
    <s v="State-6"/>
    <x v="107"/>
    <s v="29"/>
    <s v="United Utah Party"/>
    <n v="7511"/>
  </r>
  <r>
    <x v="24"/>
    <x v="55"/>
    <s v="State-6"/>
    <x v="108"/>
    <s v="31"/>
    <s v="Democratic"/>
    <n v="25389"/>
  </r>
  <r>
    <x v="24"/>
    <x v="55"/>
    <s v="State-6"/>
    <x v="109"/>
    <s v="30"/>
    <s v="Republican"/>
    <n v="98063"/>
  </r>
  <r>
    <x v="24"/>
    <x v="55"/>
    <s v="State-6"/>
    <x v="16"/>
    <m/>
    <m/>
    <n v="40"/>
  </r>
  <r>
    <x v="24"/>
    <x v="55"/>
    <s v="State-6"/>
    <x v="17"/>
    <m/>
    <m/>
    <n v="6267"/>
  </r>
  <r>
    <x v="24"/>
    <x v="3"/>
    <s v="State-7"/>
    <x v="0"/>
    <m/>
    <m/>
    <n v="308663"/>
  </r>
  <r>
    <x v="24"/>
    <x v="3"/>
    <s v="State-7"/>
    <x v="26"/>
    <s v="36"/>
    <s v="Republican"/>
    <n v="171100"/>
  </r>
  <r>
    <x v="24"/>
    <x v="3"/>
    <s v="State-7"/>
    <x v="27"/>
    <s v="40"/>
    <s v="Independent American"/>
    <n v="4979"/>
  </r>
  <r>
    <x v="24"/>
    <x v="3"/>
    <s v="State-7"/>
    <x v="28"/>
    <s v="34"/>
    <s v="Democratic"/>
    <n v="54536"/>
  </r>
  <r>
    <x v="24"/>
    <x v="3"/>
    <s v="State-7"/>
    <x v="29"/>
    <s v="33"/>
    <s v="Libertarian"/>
    <n v="7664"/>
  </r>
  <r>
    <x v="24"/>
    <x v="3"/>
    <s v="State-7"/>
    <x v="30"/>
    <s v="39"/>
    <s v="Unaffiliated"/>
    <n v="951"/>
  </r>
  <r>
    <x v="24"/>
    <x v="3"/>
    <s v="State-7"/>
    <x v="31"/>
    <s v="37"/>
    <s v="Unaffiliated"/>
    <n v="59531"/>
  </r>
  <r>
    <x v="24"/>
    <x v="3"/>
    <s v="State-7"/>
    <x v="32"/>
    <s v="38"/>
    <s v="Unaffiliated"/>
    <n v="99"/>
  </r>
  <r>
    <x v="24"/>
    <x v="3"/>
    <s v="State-7"/>
    <x v="16"/>
    <m/>
    <m/>
    <n v="34"/>
  </r>
  <r>
    <x v="24"/>
    <x v="3"/>
    <s v="State-7"/>
    <x v="17"/>
    <m/>
    <m/>
    <n v="8954"/>
  </r>
  <r>
    <x v="24"/>
    <x v="4"/>
    <s v="State-8"/>
    <x v="0"/>
    <m/>
    <m/>
    <n v="308663"/>
  </r>
  <r>
    <x v="24"/>
    <x v="4"/>
    <s v="State-8"/>
    <x v="33"/>
    <s v="45"/>
    <s v="Republican"/>
    <n v="193005"/>
  </r>
  <r>
    <x v="24"/>
    <x v="4"/>
    <s v="State-8"/>
    <x v="34"/>
    <s v="41"/>
    <s v="Democratic"/>
    <n v="51326"/>
  </r>
  <r>
    <x v="24"/>
    <x v="4"/>
    <s v="State-8"/>
    <x v="35"/>
    <s v="42"/>
    <s v="Libertarian"/>
    <n v="11462"/>
  </r>
  <r>
    <x v="24"/>
    <x v="4"/>
    <s v="State-8"/>
    <x v="36"/>
    <s v="43"/>
    <s v="Unaffiliated"/>
    <n v="12635"/>
  </r>
  <r>
    <x v="24"/>
    <x v="4"/>
    <s v="State-8"/>
    <x v="37"/>
    <s v="44"/>
    <s v="United Utah Party"/>
    <n v="24115"/>
  </r>
  <r>
    <x v="24"/>
    <x v="4"/>
    <s v="State-8"/>
    <x v="16"/>
    <m/>
    <m/>
    <n v="27"/>
  </r>
  <r>
    <x v="24"/>
    <x v="4"/>
    <s v="State-8"/>
    <x v="17"/>
    <m/>
    <m/>
    <n v="16093"/>
  </r>
  <r>
    <x v="24"/>
    <x v="5"/>
    <s v="State-9"/>
    <x v="0"/>
    <m/>
    <m/>
    <n v="308663"/>
  </r>
  <r>
    <x v="24"/>
    <x v="5"/>
    <s v="State-9"/>
    <x v="38"/>
    <s v="48"/>
    <s v="Republican"/>
    <n v="212000"/>
  </r>
  <r>
    <x v="24"/>
    <x v="5"/>
    <s v="State-9"/>
    <x v="39"/>
    <s v="46"/>
    <s v="Constitution"/>
    <n v="15216"/>
  </r>
  <r>
    <x v="24"/>
    <x v="5"/>
    <s v="State-9"/>
    <x v="40"/>
    <s v="47"/>
    <s v="Democratic"/>
    <n v="59852"/>
  </r>
  <r>
    <x v="24"/>
    <x v="5"/>
    <s v="State-9"/>
    <x v="16"/>
    <m/>
    <m/>
    <n v="6"/>
  </r>
  <r>
    <x v="24"/>
    <x v="5"/>
    <s v="State-9"/>
    <x v="17"/>
    <m/>
    <m/>
    <n v="21589"/>
  </r>
  <r>
    <x v="24"/>
    <x v="6"/>
    <s v="State-10"/>
    <x v="0"/>
    <m/>
    <m/>
    <n v="308663"/>
  </r>
  <r>
    <x v="24"/>
    <x v="6"/>
    <s v="State-10"/>
    <x v="41"/>
    <s v="49"/>
    <s v="Utah Forward"/>
    <n v="16772"/>
  </r>
  <r>
    <x v="24"/>
    <x v="6"/>
    <s v="State-10"/>
    <x v="42"/>
    <s v="50"/>
    <s v="Republican"/>
    <n v="215313"/>
  </r>
  <r>
    <x v="24"/>
    <x v="6"/>
    <s v="State-10"/>
    <x v="43"/>
    <s v="51"/>
    <s v="Democratic"/>
    <n v="52970"/>
  </r>
  <r>
    <x v="24"/>
    <x v="6"/>
    <s v="State-10"/>
    <x v="16"/>
    <m/>
    <m/>
    <n v="49"/>
  </r>
  <r>
    <x v="24"/>
    <x v="6"/>
    <s v="State-10"/>
    <x v="17"/>
    <m/>
    <m/>
    <n v="23559"/>
  </r>
  <r>
    <x v="24"/>
    <x v="73"/>
    <s v="State-20"/>
    <x v="0"/>
    <m/>
    <m/>
    <n v="52791"/>
  </r>
  <r>
    <x v="24"/>
    <x v="73"/>
    <s v="State-20"/>
    <x v="128"/>
    <s v="71"/>
    <s v="Republican"/>
    <n v="40636"/>
  </r>
  <r>
    <x v="24"/>
    <x v="73"/>
    <s v="State-20"/>
    <x v="16"/>
    <m/>
    <m/>
    <n v="0"/>
  </r>
  <r>
    <x v="24"/>
    <x v="73"/>
    <s v="State-20"/>
    <x v="17"/>
    <m/>
    <m/>
    <n v="12155"/>
  </r>
  <r>
    <x v="24"/>
    <x v="119"/>
    <s v="State-21"/>
    <x v="0"/>
    <m/>
    <m/>
    <n v="39837"/>
  </r>
  <r>
    <x v="24"/>
    <x v="119"/>
    <s v="State-21"/>
    <x v="195"/>
    <s v="72"/>
    <s v="Republican"/>
    <n v="23385"/>
  </r>
  <r>
    <x v="24"/>
    <x v="119"/>
    <s v="State-21"/>
    <x v="196"/>
    <s v="73"/>
    <s v="Unaffiliated"/>
    <n v="12098"/>
  </r>
  <r>
    <x v="24"/>
    <x v="119"/>
    <s v="State-21"/>
    <x v="16"/>
    <m/>
    <m/>
    <n v="1"/>
  </r>
  <r>
    <x v="24"/>
    <x v="119"/>
    <s v="State-21"/>
    <x v="17"/>
    <m/>
    <m/>
    <n v="4353"/>
  </r>
  <r>
    <x v="24"/>
    <x v="120"/>
    <s v="State-22"/>
    <x v="0"/>
    <m/>
    <m/>
    <n v="52943"/>
  </r>
  <r>
    <x v="24"/>
    <x v="120"/>
    <s v="State-22"/>
    <x v="197"/>
    <s v="74"/>
    <s v="Republican"/>
    <n v="38597"/>
  </r>
  <r>
    <x v="24"/>
    <x v="120"/>
    <s v="State-22"/>
    <x v="198"/>
    <s v="75"/>
    <s v="Democratic"/>
    <n v="10420"/>
  </r>
  <r>
    <x v="24"/>
    <x v="120"/>
    <s v="State-22"/>
    <x v="16"/>
    <m/>
    <m/>
    <n v="2"/>
  </r>
  <r>
    <x v="24"/>
    <x v="120"/>
    <s v="State-22"/>
    <x v="17"/>
    <m/>
    <m/>
    <n v="3924"/>
  </r>
  <r>
    <x v="24"/>
    <x v="25"/>
    <s v="State-23"/>
    <x v="0"/>
    <m/>
    <m/>
    <n v="24725"/>
  </r>
  <r>
    <x v="24"/>
    <x v="25"/>
    <s v="State-23"/>
    <x v="66"/>
    <s v="78"/>
    <s v="Unaffiliated"/>
    <n v="1524"/>
  </r>
  <r>
    <x v="24"/>
    <x v="25"/>
    <s v="State-23"/>
    <x v="67"/>
    <s v="76"/>
    <s v="Democratic"/>
    <n v="4566"/>
  </r>
  <r>
    <x v="24"/>
    <x v="25"/>
    <s v="State-23"/>
    <x v="68"/>
    <s v="77"/>
    <s v="Republican"/>
    <n v="16615"/>
  </r>
  <r>
    <x v="24"/>
    <x v="25"/>
    <s v="State-23"/>
    <x v="16"/>
    <m/>
    <m/>
    <n v="0"/>
  </r>
  <r>
    <x v="24"/>
    <x v="25"/>
    <s v="State-23"/>
    <x v="17"/>
    <m/>
    <m/>
    <n v="2020"/>
  </r>
  <r>
    <x v="24"/>
    <x v="52"/>
    <s v="State-24"/>
    <x v="0"/>
    <m/>
    <m/>
    <n v="5646"/>
  </r>
  <r>
    <x v="24"/>
    <x v="52"/>
    <s v="State-24"/>
    <x v="102"/>
    <s v="79"/>
    <s v="Republican"/>
    <n v="4501"/>
  </r>
  <r>
    <x v="24"/>
    <x v="52"/>
    <s v="State-24"/>
    <x v="16"/>
    <m/>
    <m/>
    <n v="0"/>
  </r>
  <r>
    <x v="24"/>
    <x v="52"/>
    <s v="State-24"/>
    <x v="17"/>
    <m/>
    <m/>
    <n v="1145"/>
  </r>
  <r>
    <x v="24"/>
    <x v="121"/>
    <s v="State-75"/>
    <x v="0"/>
    <m/>
    <m/>
    <n v="22588"/>
  </r>
  <r>
    <x v="24"/>
    <x v="121"/>
    <s v="State-75"/>
    <x v="199"/>
    <s v="177"/>
    <s v="Republican"/>
    <n v="17414"/>
  </r>
  <r>
    <x v="24"/>
    <x v="121"/>
    <s v="State-75"/>
    <x v="16"/>
    <m/>
    <m/>
    <n v="0"/>
  </r>
  <r>
    <x v="24"/>
    <x v="121"/>
    <s v="State-75"/>
    <x v="17"/>
    <m/>
    <m/>
    <n v="5174"/>
  </r>
  <r>
    <x v="24"/>
    <x v="122"/>
    <s v="State-76"/>
    <x v="0"/>
    <m/>
    <m/>
    <n v="25724"/>
  </r>
  <r>
    <x v="24"/>
    <x v="122"/>
    <s v="State-76"/>
    <x v="200"/>
    <s v="178"/>
    <s v="Republican"/>
    <n v="20013"/>
  </r>
  <r>
    <x v="24"/>
    <x v="122"/>
    <s v="State-76"/>
    <x v="16"/>
    <m/>
    <m/>
    <n v="0"/>
  </r>
  <r>
    <x v="24"/>
    <x v="122"/>
    <s v="State-76"/>
    <x v="17"/>
    <m/>
    <m/>
    <n v="5711"/>
  </r>
  <r>
    <x v="24"/>
    <x v="123"/>
    <s v="State-77"/>
    <x v="0"/>
    <m/>
    <m/>
    <n v="22442"/>
  </r>
  <r>
    <x v="24"/>
    <x v="123"/>
    <s v="State-77"/>
    <x v="201"/>
    <s v="179"/>
    <s v="Republican"/>
    <n v="15166"/>
  </r>
  <r>
    <x v="24"/>
    <x v="123"/>
    <s v="State-77"/>
    <x v="202"/>
    <s v="180"/>
    <s v="Democratic"/>
    <n v="5440"/>
  </r>
  <r>
    <x v="24"/>
    <x v="123"/>
    <s v="State-77"/>
    <x v="16"/>
    <m/>
    <m/>
    <n v="0"/>
  </r>
  <r>
    <x v="24"/>
    <x v="123"/>
    <s v="State-77"/>
    <x v="17"/>
    <m/>
    <m/>
    <n v="1836"/>
  </r>
  <r>
    <x v="24"/>
    <x v="124"/>
    <s v="State-78"/>
    <x v="0"/>
    <m/>
    <m/>
    <n v="21914"/>
  </r>
  <r>
    <x v="24"/>
    <x v="124"/>
    <s v="State-78"/>
    <x v="203"/>
    <s v="181"/>
    <s v="Republican"/>
    <n v="15791"/>
  </r>
  <r>
    <x v="24"/>
    <x v="124"/>
    <s v="State-78"/>
    <x v="204"/>
    <s v="182"/>
    <s v="United Utah Party"/>
    <n v="3943"/>
  </r>
  <r>
    <x v="24"/>
    <x v="124"/>
    <s v="State-78"/>
    <x v="16"/>
    <m/>
    <m/>
    <n v="0"/>
  </r>
  <r>
    <x v="24"/>
    <x v="124"/>
    <s v="State-78"/>
    <x v="17"/>
    <m/>
    <m/>
    <n v="2180"/>
  </r>
  <r>
    <x v="24"/>
    <x v="125"/>
    <s v="State-79"/>
    <x v="0"/>
    <m/>
    <m/>
    <n v="25655"/>
  </r>
  <r>
    <x v="24"/>
    <x v="125"/>
    <s v="State-79"/>
    <x v="205"/>
    <s v="183"/>
    <s v="Republican"/>
    <n v="19780"/>
  </r>
  <r>
    <x v="24"/>
    <x v="125"/>
    <s v="State-79"/>
    <x v="16"/>
    <m/>
    <m/>
    <n v="0"/>
  </r>
  <r>
    <x v="24"/>
    <x v="125"/>
    <s v="State-79"/>
    <x v="17"/>
    <m/>
    <m/>
    <n v="5875"/>
  </r>
  <r>
    <x v="24"/>
    <x v="126"/>
    <s v="State-80"/>
    <x v="0"/>
    <m/>
    <m/>
    <n v="21573"/>
  </r>
  <r>
    <x v="24"/>
    <x v="126"/>
    <s v="State-80"/>
    <x v="206"/>
    <s v="184"/>
    <s v="Republican"/>
    <n v="16745"/>
  </r>
  <r>
    <x v="24"/>
    <x v="126"/>
    <s v="State-80"/>
    <x v="16"/>
    <m/>
    <m/>
    <n v="0"/>
  </r>
  <r>
    <x v="24"/>
    <x v="126"/>
    <s v="State-80"/>
    <x v="17"/>
    <m/>
    <m/>
    <n v="4828"/>
  </r>
  <r>
    <x v="24"/>
    <x v="127"/>
    <s v="State-81"/>
    <x v="0"/>
    <m/>
    <m/>
    <n v="16534"/>
  </r>
  <r>
    <x v="24"/>
    <x v="127"/>
    <s v="State-81"/>
    <x v="207"/>
    <s v="185"/>
    <s v="Republican"/>
    <n v="12338"/>
  </r>
  <r>
    <x v="24"/>
    <x v="127"/>
    <s v="State-81"/>
    <x v="16"/>
    <m/>
    <m/>
    <n v="0"/>
  </r>
  <r>
    <x v="24"/>
    <x v="127"/>
    <s v="State-81"/>
    <x v="17"/>
    <m/>
    <m/>
    <n v="4196"/>
  </r>
  <r>
    <x v="24"/>
    <x v="128"/>
    <s v="State-82"/>
    <x v="0"/>
    <m/>
    <m/>
    <n v="18911"/>
  </r>
  <r>
    <x v="24"/>
    <x v="128"/>
    <s v="State-82"/>
    <x v="208"/>
    <s v="186"/>
    <s v="Republican"/>
    <n v="12553"/>
  </r>
  <r>
    <x v="24"/>
    <x v="128"/>
    <s v="State-82"/>
    <x v="209"/>
    <s v="187"/>
    <s v="Democratic"/>
    <n v="4755"/>
  </r>
  <r>
    <x v="24"/>
    <x v="128"/>
    <s v="State-82"/>
    <x v="16"/>
    <m/>
    <m/>
    <n v="0"/>
  </r>
  <r>
    <x v="24"/>
    <x v="128"/>
    <s v="State-82"/>
    <x v="17"/>
    <m/>
    <m/>
    <n v="1603"/>
  </r>
  <r>
    <x v="24"/>
    <x v="129"/>
    <s v="State-83"/>
    <x v="0"/>
    <m/>
    <m/>
    <n v="23252"/>
  </r>
  <r>
    <x v="24"/>
    <x v="129"/>
    <s v="State-83"/>
    <x v="210"/>
    <s v="188"/>
    <s v="Democratic"/>
    <n v="5147"/>
  </r>
  <r>
    <x v="24"/>
    <x v="129"/>
    <s v="State-83"/>
    <x v="211"/>
    <s v="189"/>
    <s v="Republican"/>
    <n v="16431"/>
  </r>
  <r>
    <x v="24"/>
    <x v="129"/>
    <s v="State-83"/>
    <x v="16"/>
    <m/>
    <m/>
    <n v="1"/>
  </r>
  <r>
    <x v="24"/>
    <x v="129"/>
    <s v="State-83"/>
    <x v="17"/>
    <m/>
    <m/>
    <n v="1673"/>
  </r>
  <r>
    <x v="24"/>
    <x v="130"/>
    <s v="State-85"/>
    <x v="0"/>
    <m/>
    <m/>
    <n v="8967"/>
  </r>
  <r>
    <x v="24"/>
    <x v="130"/>
    <s v="State-85"/>
    <x v="212"/>
    <s v="192"/>
    <s v="Republican"/>
    <n v="6738"/>
  </r>
  <r>
    <x v="24"/>
    <x v="130"/>
    <s v="State-85"/>
    <x v="16"/>
    <m/>
    <m/>
    <n v="0"/>
  </r>
  <r>
    <x v="24"/>
    <x v="130"/>
    <s v="State-85"/>
    <x v="17"/>
    <m/>
    <m/>
    <n v="2229"/>
  </r>
  <r>
    <x v="24"/>
    <x v="131"/>
    <s v="State-86"/>
    <x v="0"/>
    <m/>
    <m/>
    <n v="15847"/>
  </r>
  <r>
    <x v="24"/>
    <x v="131"/>
    <s v="State-86"/>
    <x v="213"/>
    <s v="193"/>
    <s v="Republican"/>
    <n v="11946"/>
  </r>
  <r>
    <x v="24"/>
    <x v="131"/>
    <s v="State-86"/>
    <x v="16"/>
    <m/>
    <m/>
    <n v="0"/>
  </r>
  <r>
    <x v="24"/>
    <x v="131"/>
    <s v="State-86"/>
    <x v="17"/>
    <m/>
    <m/>
    <n v="3901"/>
  </r>
  <r>
    <x v="24"/>
    <x v="132"/>
    <s v="State-87"/>
    <x v="0"/>
    <m/>
    <m/>
    <n v="15416"/>
  </r>
  <r>
    <x v="24"/>
    <x v="132"/>
    <s v="State-87"/>
    <x v="214"/>
    <s v="194"/>
    <s v="Democratic"/>
    <n v="4894"/>
  </r>
  <r>
    <x v="24"/>
    <x v="132"/>
    <s v="State-87"/>
    <x v="215"/>
    <s v="195"/>
    <s v="Republican"/>
    <n v="9286"/>
  </r>
  <r>
    <x v="24"/>
    <x v="132"/>
    <s v="State-87"/>
    <x v="16"/>
    <m/>
    <m/>
    <n v="1"/>
  </r>
  <r>
    <x v="24"/>
    <x v="132"/>
    <s v="State-87"/>
    <x v="17"/>
    <m/>
    <m/>
    <n v="1235"/>
  </r>
  <r>
    <x v="24"/>
    <x v="133"/>
    <s v="State-88"/>
    <x v="0"/>
    <m/>
    <m/>
    <n v="24736"/>
  </r>
  <r>
    <x v="24"/>
    <x v="133"/>
    <s v="State-88"/>
    <x v="216"/>
    <s v="197"/>
    <s v="Republican"/>
    <n v="18412"/>
  </r>
  <r>
    <x v="24"/>
    <x v="133"/>
    <s v="State-88"/>
    <x v="217"/>
    <s v="196"/>
    <s v="Democratic"/>
    <n v="4518"/>
  </r>
  <r>
    <x v="24"/>
    <x v="133"/>
    <s v="State-88"/>
    <x v="16"/>
    <m/>
    <m/>
    <n v="1"/>
  </r>
  <r>
    <x v="24"/>
    <x v="133"/>
    <s v="State-88"/>
    <x v="17"/>
    <m/>
    <m/>
    <n v="1805"/>
  </r>
  <r>
    <x v="24"/>
    <x v="134"/>
    <s v="State-89"/>
    <x v="0"/>
    <m/>
    <m/>
    <n v="21882"/>
  </r>
  <r>
    <x v="24"/>
    <x v="134"/>
    <s v="State-89"/>
    <x v="218"/>
    <s v="198"/>
    <s v="Republican"/>
    <n v="17179"/>
  </r>
  <r>
    <x v="24"/>
    <x v="134"/>
    <s v="State-89"/>
    <x v="219"/>
    <s v="199"/>
    <s v="Democratic"/>
    <n v="3224"/>
  </r>
  <r>
    <x v="24"/>
    <x v="134"/>
    <s v="State-89"/>
    <x v="16"/>
    <m/>
    <m/>
    <n v="1"/>
  </r>
  <r>
    <x v="24"/>
    <x v="134"/>
    <s v="State-89"/>
    <x v="17"/>
    <m/>
    <m/>
    <n v="1478"/>
  </r>
  <r>
    <x v="24"/>
    <x v="135"/>
    <s v="State-90"/>
    <x v="0"/>
    <m/>
    <m/>
    <n v="22365"/>
  </r>
  <r>
    <x v="24"/>
    <x v="135"/>
    <s v="State-90"/>
    <x v="220"/>
    <s v="201"/>
    <s v="Republican"/>
    <n v="17734"/>
  </r>
  <r>
    <x v="24"/>
    <x v="135"/>
    <s v="State-90"/>
    <x v="221"/>
    <s v="200"/>
    <s v="Democratic"/>
    <n v="3373"/>
  </r>
  <r>
    <x v="24"/>
    <x v="135"/>
    <s v="State-90"/>
    <x v="16"/>
    <m/>
    <m/>
    <n v="1"/>
  </r>
  <r>
    <x v="24"/>
    <x v="135"/>
    <s v="State-90"/>
    <x v="17"/>
    <m/>
    <m/>
    <n v="1257"/>
  </r>
  <r>
    <x v="24"/>
    <x v="57"/>
    <s v="State-91"/>
    <x v="0"/>
    <m/>
    <m/>
    <n v="857"/>
  </r>
  <r>
    <x v="24"/>
    <x v="57"/>
    <s v="State-91"/>
    <x v="112"/>
    <s v="202"/>
    <s v="Republican"/>
    <n v="720"/>
  </r>
  <r>
    <x v="24"/>
    <x v="57"/>
    <s v="State-91"/>
    <x v="16"/>
    <m/>
    <m/>
    <n v="0"/>
  </r>
  <r>
    <x v="24"/>
    <x v="57"/>
    <s v="State-91"/>
    <x v="17"/>
    <m/>
    <m/>
    <n v="137"/>
  </r>
  <r>
    <x v="24"/>
    <x v="104"/>
    <s v="State-105"/>
    <x v="0"/>
    <m/>
    <m/>
    <n v="45014"/>
  </r>
  <r>
    <x v="24"/>
    <x v="104"/>
    <s v="State-105"/>
    <x v="189"/>
    <s v="225"/>
    <s v="Republican"/>
    <n v="30872"/>
  </r>
  <r>
    <x v="24"/>
    <x v="104"/>
    <s v="State-105"/>
    <x v="190"/>
    <s v="226"/>
    <s v="Democratic"/>
    <n v="10690"/>
  </r>
  <r>
    <x v="24"/>
    <x v="104"/>
    <s v="State-105"/>
    <x v="16"/>
    <m/>
    <m/>
    <n v="0"/>
  </r>
  <r>
    <x v="24"/>
    <x v="104"/>
    <s v="State-105"/>
    <x v="17"/>
    <m/>
    <m/>
    <n v="3452"/>
  </r>
  <r>
    <x v="24"/>
    <x v="29"/>
    <s v="State-106"/>
    <x v="0"/>
    <m/>
    <m/>
    <n v="54050"/>
  </r>
  <r>
    <x v="24"/>
    <x v="29"/>
    <s v="State-106"/>
    <x v="72"/>
    <s v="227"/>
    <s v="Republican"/>
    <n v="33568"/>
  </r>
  <r>
    <x v="24"/>
    <x v="29"/>
    <s v="State-106"/>
    <x v="73"/>
    <s v="228"/>
    <s v="Unaffiliated"/>
    <n v="14630"/>
  </r>
  <r>
    <x v="24"/>
    <x v="29"/>
    <s v="State-106"/>
    <x v="16"/>
    <m/>
    <m/>
    <n v="3"/>
  </r>
  <r>
    <x v="24"/>
    <x v="29"/>
    <s v="State-106"/>
    <x v="17"/>
    <m/>
    <m/>
    <n v="5849"/>
  </r>
  <r>
    <x v="24"/>
    <x v="136"/>
    <s v="State-107"/>
    <x v="0"/>
    <m/>
    <m/>
    <n v="90886"/>
  </r>
  <r>
    <x v="24"/>
    <x v="136"/>
    <s v="State-107"/>
    <x v="222"/>
    <s v="229"/>
    <s v="Republican"/>
    <n v="66868"/>
  </r>
  <r>
    <x v="24"/>
    <x v="136"/>
    <s v="State-107"/>
    <x v="16"/>
    <m/>
    <m/>
    <n v="0"/>
  </r>
  <r>
    <x v="24"/>
    <x v="136"/>
    <s v="State-107"/>
    <x v="17"/>
    <m/>
    <m/>
    <n v="24018"/>
  </r>
  <r>
    <x v="24"/>
    <x v="8"/>
    <s v="State-109"/>
    <x v="0"/>
    <m/>
    <m/>
    <n v="308663"/>
  </r>
  <r>
    <x v="24"/>
    <x v="8"/>
    <s v="State-109"/>
    <x v="46"/>
    <s v="232"/>
    <m/>
    <n v="205394"/>
  </r>
  <r>
    <x v="24"/>
    <x v="8"/>
    <s v="State-109"/>
    <x v="47"/>
    <s v="231"/>
    <m/>
    <n v="50399"/>
  </r>
  <r>
    <x v="24"/>
    <x v="8"/>
    <s v="State-109"/>
    <x v="16"/>
    <m/>
    <m/>
    <n v="40"/>
  </r>
  <r>
    <x v="24"/>
    <x v="8"/>
    <s v="State-109"/>
    <x v="17"/>
    <m/>
    <m/>
    <n v="52830"/>
  </r>
  <r>
    <x v="24"/>
    <x v="9"/>
    <s v="State-110"/>
    <x v="0"/>
    <m/>
    <m/>
    <n v="308663"/>
  </r>
  <r>
    <x v="24"/>
    <x v="9"/>
    <s v="State-110"/>
    <x v="46"/>
    <s v="233"/>
    <m/>
    <n v="201808"/>
  </r>
  <r>
    <x v="24"/>
    <x v="9"/>
    <s v="State-110"/>
    <x v="47"/>
    <s v="234"/>
    <m/>
    <n v="48971"/>
  </r>
  <r>
    <x v="24"/>
    <x v="9"/>
    <s v="State-110"/>
    <x v="16"/>
    <m/>
    <m/>
    <n v="29"/>
  </r>
  <r>
    <x v="24"/>
    <x v="9"/>
    <s v="State-110"/>
    <x v="17"/>
    <m/>
    <m/>
    <n v="57855"/>
  </r>
  <r>
    <x v="24"/>
    <x v="58"/>
    <s v="State-126"/>
    <x v="0"/>
    <m/>
    <m/>
    <n v="308663"/>
  </r>
  <r>
    <x v="24"/>
    <x v="58"/>
    <s v="State-126"/>
    <x v="46"/>
    <s v="265"/>
    <m/>
    <n v="187009"/>
  </r>
  <r>
    <x v="24"/>
    <x v="58"/>
    <s v="State-126"/>
    <x v="47"/>
    <s v="266"/>
    <m/>
    <n v="58697"/>
  </r>
  <r>
    <x v="24"/>
    <x v="58"/>
    <s v="State-126"/>
    <x v="16"/>
    <m/>
    <m/>
    <n v="29"/>
  </r>
  <r>
    <x v="24"/>
    <x v="58"/>
    <s v="State-126"/>
    <x v="17"/>
    <m/>
    <m/>
    <n v="62928"/>
  </r>
  <r>
    <x v="24"/>
    <x v="59"/>
    <s v="State-127"/>
    <x v="0"/>
    <m/>
    <m/>
    <n v="308663"/>
  </r>
  <r>
    <x v="24"/>
    <x v="59"/>
    <s v="State-127"/>
    <x v="46"/>
    <s v="267"/>
    <m/>
    <n v="199522"/>
  </r>
  <r>
    <x v="24"/>
    <x v="59"/>
    <s v="State-127"/>
    <x v="47"/>
    <s v="268"/>
    <m/>
    <n v="49597"/>
  </r>
  <r>
    <x v="24"/>
    <x v="59"/>
    <s v="State-127"/>
    <x v="16"/>
    <m/>
    <m/>
    <n v="33"/>
  </r>
  <r>
    <x v="24"/>
    <x v="59"/>
    <s v="State-127"/>
    <x v="17"/>
    <m/>
    <m/>
    <n v="59511"/>
  </r>
  <r>
    <x v="24"/>
    <x v="60"/>
    <s v="State-128"/>
    <x v="0"/>
    <m/>
    <m/>
    <n v="308663"/>
  </r>
  <r>
    <x v="24"/>
    <x v="60"/>
    <s v="State-128"/>
    <x v="46"/>
    <s v="270"/>
    <m/>
    <n v="196603"/>
  </r>
  <r>
    <x v="24"/>
    <x v="60"/>
    <s v="State-128"/>
    <x v="47"/>
    <s v="269"/>
    <m/>
    <n v="50101"/>
  </r>
  <r>
    <x v="24"/>
    <x v="60"/>
    <s v="State-128"/>
    <x v="16"/>
    <m/>
    <m/>
    <n v="27"/>
  </r>
  <r>
    <x v="24"/>
    <x v="60"/>
    <s v="State-128"/>
    <x v="17"/>
    <m/>
    <m/>
    <n v="61932"/>
  </r>
  <r>
    <x v="24"/>
    <x v="61"/>
    <s v="State-129"/>
    <x v="0"/>
    <m/>
    <m/>
    <n v="308663"/>
  </r>
  <r>
    <x v="24"/>
    <x v="61"/>
    <s v="State-129"/>
    <x v="46"/>
    <s v="271"/>
    <m/>
    <n v="194228"/>
  </r>
  <r>
    <x v="24"/>
    <x v="61"/>
    <s v="State-129"/>
    <x v="47"/>
    <s v="272"/>
    <m/>
    <n v="51784"/>
  </r>
  <r>
    <x v="24"/>
    <x v="61"/>
    <s v="State-129"/>
    <x v="16"/>
    <m/>
    <m/>
    <n v="39"/>
  </r>
  <r>
    <x v="24"/>
    <x v="61"/>
    <s v="State-129"/>
    <x v="17"/>
    <m/>
    <m/>
    <n v="62612"/>
  </r>
  <r>
    <x v="24"/>
    <x v="62"/>
    <s v="State-130"/>
    <x v="0"/>
    <m/>
    <m/>
    <n v="308663"/>
  </r>
  <r>
    <x v="24"/>
    <x v="62"/>
    <s v="State-130"/>
    <x v="46"/>
    <s v="273"/>
    <m/>
    <n v="196073"/>
  </r>
  <r>
    <x v="24"/>
    <x v="62"/>
    <s v="State-130"/>
    <x v="47"/>
    <s v="274"/>
    <m/>
    <n v="49734"/>
  </r>
  <r>
    <x v="24"/>
    <x v="62"/>
    <s v="State-130"/>
    <x v="16"/>
    <m/>
    <m/>
    <n v="43"/>
  </r>
  <r>
    <x v="24"/>
    <x v="62"/>
    <s v="State-130"/>
    <x v="17"/>
    <m/>
    <m/>
    <n v="62813"/>
  </r>
  <r>
    <x v="24"/>
    <x v="63"/>
    <s v="State-131"/>
    <x v="0"/>
    <m/>
    <m/>
    <n v="308663"/>
  </r>
  <r>
    <x v="24"/>
    <x v="63"/>
    <s v="State-131"/>
    <x v="46"/>
    <s v="275"/>
    <m/>
    <n v="182983"/>
  </r>
  <r>
    <x v="24"/>
    <x v="63"/>
    <s v="State-131"/>
    <x v="47"/>
    <s v="276"/>
    <m/>
    <n v="62940"/>
  </r>
  <r>
    <x v="24"/>
    <x v="63"/>
    <s v="State-131"/>
    <x v="16"/>
    <m/>
    <m/>
    <n v="38"/>
  </r>
  <r>
    <x v="24"/>
    <x v="63"/>
    <s v="State-131"/>
    <x v="17"/>
    <m/>
    <m/>
    <n v="62702"/>
  </r>
  <r>
    <x v="24"/>
    <x v="64"/>
    <s v="State-142"/>
    <x v="0"/>
    <m/>
    <m/>
    <n v="308663"/>
  </r>
  <r>
    <x v="24"/>
    <x v="64"/>
    <s v="State-142"/>
    <x v="46"/>
    <s v="297"/>
    <m/>
    <n v="195578"/>
  </r>
  <r>
    <x v="24"/>
    <x v="64"/>
    <s v="State-142"/>
    <x v="47"/>
    <s v="298"/>
    <m/>
    <n v="50760"/>
  </r>
  <r>
    <x v="24"/>
    <x v="64"/>
    <s v="State-142"/>
    <x v="16"/>
    <m/>
    <m/>
    <n v="64"/>
  </r>
  <r>
    <x v="24"/>
    <x v="64"/>
    <s v="State-142"/>
    <x v="17"/>
    <m/>
    <m/>
    <n v="62261"/>
  </r>
  <r>
    <x v="24"/>
    <x v="12"/>
    <s v="State-145"/>
    <x v="0"/>
    <m/>
    <m/>
    <n v="308663"/>
  </r>
  <r>
    <x v="24"/>
    <x v="12"/>
    <s v="State-145"/>
    <x v="48"/>
    <s v="303"/>
    <m/>
    <n v="208550"/>
  </r>
  <r>
    <x v="24"/>
    <x v="12"/>
    <s v="State-145"/>
    <x v="49"/>
    <s v="304"/>
    <m/>
    <n v="75311"/>
  </r>
  <r>
    <x v="24"/>
    <x v="12"/>
    <s v="State-145"/>
    <x v="16"/>
    <m/>
    <m/>
    <n v="30"/>
  </r>
  <r>
    <x v="24"/>
    <x v="12"/>
    <s v="State-145"/>
    <x v="17"/>
    <m/>
    <m/>
    <n v="24772"/>
  </r>
  <r>
    <x v="24"/>
    <x v="13"/>
    <s v="State-146"/>
    <x v="0"/>
    <m/>
    <m/>
    <n v="308663"/>
  </r>
  <r>
    <x v="24"/>
    <x v="13"/>
    <s v="State-146"/>
    <x v="48"/>
    <s v="305"/>
    <m/>
    <n v="233499"/>
  </r>
  <r>
    <x v="24"/>
    <x v="13"/>
    <s v="State-146"/>
    <x v="49"/>
    <s v="306"/>
    <m/>
    <n v="49860"/>
  </r>
  <r>
    <x v="24"/>
    <x v="13"/>
    <s v="State-146"/>
    <x v="16"/>
    <m/>
    <m/>
    <n v="16"/>
  </r>
  <r>
    <x v="24"/>
    <x v="13"/>
    <s v="State-146"/>
    <x v="17"/>
    <m/>
    <m/>
    <n v="25288"/>
  </r>
  <r>
    <x v="25"/>
    <x v="0"/>
    <s v="State-1"/>
    <x v="0"/>
    <m/>
    <m/>
    <n v="18979"/>
  </r>
  <r>
    <x v="25"/>
    <x v="0"/>
    <s v="State-1"/>
    <x v="1"/>
    <s v="9"/>
    <s v="Unaffiliated"/>
    <n v="15"/>
  </r>
  <r>
    <x v="25"/>
    <x v="0"/>
    <s v="State-1"/>
    <x v="2"/>
    <s v="3"/>
    <s v="Unaffiliated"/>
    <n v="23"/>
  </r>
  <r>
    <x v="25"/>
    <x v="0"/>
    <s v="State-1"/>
    <x v="3"/>
    <s v="13"/>
    <s v="Constitution"/>
    <n v="79"/>
  </r>
  <r>
    <x v="25"/>
    <x v="0"/>
    <s v="State-1"/>
    <x v="4"/>
    <s v="8"/>
    <s v="Green"/>
    <n v="83"/>
  </r>
  <r>
    <x v="25"/>
    <x v="0"/>
    <s v="State-1"/>
    <x v="5"/>
    <s v="5"/>
    <s v="Republican"/>
    <n v="11495"/>
  </r>
  <r>
    <x v="25"/>
    <x v="0"/>
    <s v="State-1"/>
    <x v="6"/>
    <s v="10"/>
    <s v="Libertarian"/>
    <n v="188"/>
  </r>
  <r>
    <x v="25"/>
    <x v="0"/>
    <s v="State-1"/>
    <x v="7"/>
    <s v="4"/>
    <s v="Democratic"/>
    <n v="6459"/>
  </r>
  <r>
    <x v="25"/>
    <x v="0"/>
    <s v="State-1"/>
    <x v="8"/>
    <s v="15"/>
    <s v="Unaffiliated"/>
    <n v="12"/>
  </r>
  <r>
    <x v="25"/>
    <x v="0"/>
    <s v="State-1"/>
    <x v="9"/>
    <s v="1"/>
    <s v="Unaffiliated"/>
    <n v="0"/>
  </r>
  <r>
    <x v="25"/>
    <x v="0"/>
    <s v="State-1"/>
    <x v="10"/>
    <s v="2"/>
    <s v="Unaffiliated"/>
    <n v="0"/>
  </r>
  <r>
    <x v="25"/>
    <x v="0"/>
    <s v="State-1"/>
    <x v="11"/>
    <s v="6"/>
    <s v="Unaffiliated"/>
    <n v="0"/>
  </r>
  <r>
    <x v="25"/>
    <x v="0"/>
    <s v="State-1"/>
    <x v="12"/>
    <s v="7"/>
    <s v="Unaffiliated"/>
    <n v="0"/>
  </r>
  <r>
    <x v="25"/>
    <x v="0"/>
    <s v="State-1"/>
    <x v="13"/>
    <s v="11"/>
    <s v="Unaffiliated"/>
    <n v="0"/>
  </r>
  <r>
    <x v="25"/>
    <x v="0"/>
    <s v="State-1"/>
    <x v="14"/>
    <s v="12"/>
    <s v="Unaffiliated"/>
    <n v="0"/>
  </r>
  <r>
    <x v="25"/>
    <x v="0"/>
    <s v="State-1"/>
    <x v="15"/>
    <s v="14"/>
    <s v="Unaffiliated"/>
    <n v="0"/>
  </r>
  <r>
    <x v="25"/>
    <x v="0"/>
    <s v="State-1"/>
    <x v="16"/>
    <m/>
    <m/>
    <n v="3"/>
  </r>
  <r>
    <x v="25"/>
    <x v="0"/>
    <s v="State-1"/>
    <x v="17"/>
    <m/>
    <m/>
    <n v="260"/>
  </r>
  <r>
    <x v="25"/>
    <x v="1"/>
    <s v="State-2"/>
    <x v="0"/>
    <m/>
    <m/>
    <n v="18979"/>
  </r>
  <r>
    <x v="25"/>
    <x v="1"/>
    <s v="State-2"/>
    <x v="18"/>
    <s v="19"/>
    <s v="Independent American"/>
    <n v="1040"/>
  </r>
  <r>
    <x v="25"/>
    <x v="1"/>
    <s v="State-2"/>
    <x v="19"/>
    <s v="18"/>
    <s v="Republican"/>
    <n v="12004"/>
  </r>
  <r>
    <x v="25"/>
    <x v="1"/>
    <s v="State-2"/>
    <x v="20"/>
    <s v="17"/>
    <s v="Democratic"/>
    <n v="5276"/>
  </r>
  <r>
    <x v="25"/>
    <x v="1"/>
    <s v="State-2"/>
    <x v="21"/>
    <s v="16"/>
    <s v="Unaffiliated"/>
    <n v="3"/>
  </r>
  <r>
    <x v="25"/>
    <x v="1"/>
    <s v="State-2"/>
    <x v="16"/>
    <m/>
    <m/>
    <n v="4"/>
  </r>
  <r>
    <x v="25"/>
    <x v="1"/>
    <s v="State-2"/>
    <x v="17"/>
    <m/>
    <m/>
    <n v="551"/>
  </r>
  <r>
    <x v="25"/>
    <x v="24"/>
    <s v="State-5"/>
    <x v="0"/>
    <m/>
    <m/>
    <n v="18979"/>
  </r>
  <r>
    <x v="25"/>
    <x v="24"/>
    <s v="State-5"/>
    <x v="64"/>
    <s v="27"/>
    <s v="Republican"/>
    <n v="12502"/>
  </r>
  <r>
    <x v="25"/>
    <x v="24"/>
    <s v="State-5"/>
    <x v="65"/>
    <s v="28"/>
    <s v="Democratic"/>
    <n v="5573"/>
  </r>
  <r>
    <x v="25"/>
    <x v="24"/>
    <s v="State-5"/>
    <x v="16"/>
    <m/>
    <m/>
    <n v="0"/>
  </r>
  <r>
    <x v="25"/>
    <x v="24"/>
    <s v="State-5"/>
    <x v="17"/>
    <m/>
    <m/>
    <n v="904"/>
  </r>
  <r>
    <x v="25"/>
    <x v="3"/>
    <s v="State-7"/>
    <x v="0"/>
    <m/>
    <m/>
    <n v="18979"/>
  </r>
  <r>
    <x v="25"/>
    <x v="3"/>
    <s v="State-7"/>
    <x v="26"/>
    <s v="36"/>
    <s v="Republican"/>
    <n v="10043"/>
  </r>
  <r>
    <x v="25"/>
    <x v="3"/>
    <s v="State-7"/>
    <x v="27"/>
    <s v="40"/>
    <s v="Independent American"/>
    <n v="247"/>
  </r>
  <r>
    <x v="25"/>
    <x v="3"/>
    <s v="State-7"/>
    <x v="28"/>
    <s v="34"/>
    <s v="Democratic"/>
    <n v="4574"/>
  </r>
  <r>
    <x v="25"/>
    <x v="3"/>
    <s v="State-7"/>
    <x v="29"/>
    <s v="33"/>
    <s v="Libertarian"/>
    <n v="408"/>
  </r>
  <r>
    <x v="25"/>
    <x v="3"/>
    <s v="State-7"/>
    <x v="30"/>
    <s v="39"/>
    <s v="Unaffiliated"/>
    <n v="35"/>
  </r>
  <r>
    <x v="25"/>
    <x v="3"/>
    <s v="State-7"/>
    <x v="31"/>
    <s v="37"/>
    <s v="Unaffiliated"/>
    <n v="2993"/>
  </r>
  <r>
    <x v="25"/>
    <x v="3"/>
    <s v="State-7"/>
    <x v="32"/>
    <s v="38"/>
    <s v="Unaffiliated"/>
    <n v="3"/>
  </r>
  <r>
    <x v="25"/>
    <x v="3"/>
    <s v="State-7"/>
    <x v="16"/>
    <m/>
    <m/>
    <n v="8"/>
  </r>
  <r>
    <x v="25"/>
    <x v="3"/>
    <s v="State-7"/>
    <x v="17"/>
    <m/>
    <m/>
    <n v="645"/>
  </r>
  <r>
    <x v="25"/>
    <x v="4"/>
    <s v="State-8"/>
    <x v="0"/>
    <m/>
    <m/>
    <n v="18979"/>
  </r>
  <r>
    <x v="25"/>
    <x v="4"/>
    <s v="State-8"/>
    <x v="33"/>
    <s v="45"/>
    <s v="Republican"/>
    <n v="11144"/>
  </r>
  <r>
    <x v="25"/>
    <x v="4"/>
    <s v="State-8"/>
    <x v="34"/>
    <s v="41"/>
    <s v="Democratic"/>
    <n v="4680"/>
  </r>
  <r>
    <x v="25"/>
    <x v="4"/>
    <s v="State-8"/>
    <x v="35"/>
    <s v="42"/>
    <s v="Libertarian"/>
    <n v="594"/>
  </r>
  <r>
    <x v="25"/>
    <x v="4"/>
    <s v="State-8"/>
    <x v="36"/>
    <s v="43"/>
    <s v="Unaffiliated"/>
    <n v="716"/>
  </r>
  <r>
    <x v="25"/>
    <x v="4"/>
    <s v="State-8"/>
    <x v="37"/>
    <s v="44"/>
    <s v="United Utah Party"/>
    <n v="893"/>
  </r>
  <r>
    <x v="25"/>
    <x v="4"/>
    <s v="State-8"/>
    <x v="16"/>
    <m/>
    <m/>
    <n v="2"/>
  </r>
  <r>
    <x v="25"/>
    <x v="4"/>
    <s v="State-8"/>
    <x v="17"/>
    <m/>
    <m/>
    <n v="950"/>
  </r>
  <r>
    <x v="25"/>
    <x v="5"/>
    <s v="State-9"/>
    <x v="0"/>
    <m/>
    <m/>
    <n v="18979"/>
  </r>
  <r>
    <x v="25"/>
    <x v="5"/>
    <s v="State-9"/>
    <x v="38"/>
    <s v="48"/>
    <s v="Republican"/>
    <n v="12142"/>
  </r>
  <r>
    <x v="25"/>
    <x v="5"/>
    <s v="State-9"/>
    <x v="39"/>
    <s v="46"/>
    <s v="Constitution"/>
    <n v="694"/>
  </r>
  <r>
    <x v="25"/>
    <x v="5"/>
    <s v="State-9"/>
    <x v="40"/>
    <s v="47"/>
    <s v="Democratic"/>
    <n v="4924"/>
  </r>
  <r>
    <x v="25"/>
    <x v="5"/>
    <s v="State-9"/>
    <x v="16"/>
    <m/>
    <m/>
    <n v="0"/>
  </r>
  <r>
    <x v="25"/>
    <x v="5"/>
    <s v="State-9"/>
    <x v="17"/>
    <m/>
    <m/>
    <n v="1219"/>
  </r>
  <r>
    <x v="25"/>
    <x v="6"/>
    <s v="State-10"/>
    <x v="0"/>
    <m/>
    <m/>
    <n v="18979"/>
  </r>
  <r>
    <x v="25"/>
    <x v="6"/>
    <s v="State-10"/>
    <x v="41"/>
    <s v="49"/>
    <s v="Utah Forward"/>
    <n v="685"/>
  </r>
  <r>
    <x v="25"/>
    <x v="6"/>
    <s v="State-10"/>
    <x v="42"/>
    <s v="50"/>
    <s v="Republican"/>
    <n v="12135"/>
  </r>
  <r>
    <x v="25"/>
    <x v="6"/>
    <s v="State-10"/>
    <x v="43"/>
    <s v="51"/>
    <s v="Democratic"/>
    <n v="4808"/>
  </r>
  <r>
    <x v="25"/>
    <x v="6"/>
    <s v="State-10"/>
    <x v="16"/>
    <m/>
    <m/>
    <n v="1"/>
  </r>
  <r>
    <x v="25"/>
    <x v="6"/>
    <s v="State-10"/>
    <x v="17"/>
    <m/>
    <m/>
    <n v="1350"/>
  </r>
  <r>
    <x v="25"/>
    <x v="119"/>
    <s v="State-21"/>
    <x v="0"/>
    <m/>
    <m/>
    <n v="557"/>
  </r>
  <r>
    <x v="25"/>
    <x v="119"/>
    <s v="State-21"/>
    <x v="195"/>
    <s v="72"/>
    <s v="Republican"/>
    <n v="422"/>
  </r>
  <r>
    <x v="25"/>
    <x v="119"/>
    <s v="State-21"/>
    <x v="196"/>
    <s v="73"/>
    <s v="Unaffiliated"/>
    <n v="88"/>
  </r>
  <r>
    <x v="25"/>
    <x v="119"/>
    <s v="State-21"/>
    <x v="16"/>
    <m/>
    <m/>
    <n v="0"/>
  </r>
  <r>
    <x v="25"/>
    <x v="119"/>
    <s v="State-21"/>
    <x v="17"/>
    <m/>
    <m/>
    <n v="47"/>
  </r>
  <r>
    <x v="25"/>
    <x v="25"/>
    <s v="State-23"/>
    <x v="0"/>
    <m/>
    <m/>
    <n v="1902"/>
  </r>
  <r>
    <x v="25"/>
    <x v="25"/>
    <s v="State-23"/>
    <x v="66"/>
    <s v="78"/>
    <s v="Unaffiliated"/>
    <n v="50"/>
  </r>
  <r>
    <x v="25"/>
    <x v="25"/>
    <s v="State-23"/>
    <x v="67"/>
    <s v="76"/>
    <s v="Democratic"/>
    <n v="418"/>
  </r>
  <r>
    <x v="25"/>
    <x v="25"/>
    <s v="State-23"/>
    <x v="68"/>
    <s v="77"/>
    <s v="Republican"/>
    <n v="1325"/>
  </r>
  <r>
    <x v="25"/>
    <x v="25"/>
    <s v="State-23"/>
    <x v="16"/>
    <m/>
    <m/>
    <n v="0"/>
  </r>
  <r>
    <x v="25"/>
    <x v="25"/>
    <s v="State-23"/>
    <x v="17"/>
    <m/>
    <m/>
    <n v="109"/>
  </r>
  <r>
    <x v="25"/>
    <x v="117"/>
    <s v="State-84"/>
    <x v="0"/>
    <m/>
    <m/>
    <n v="18979"/>
  </r>
  <r>
    <x v="25"/>
    <x v="117"/>
    <s v="State-84"/>
    <x v="191"/>
    <s v="190"/>
    <s v="Democratic"/>
    <n v="5839"/>
  </r>
  <r>
    <x v="25"/>
    <x v="117"/>
    <s v="State-84"/>
    <x v="192"/>
    <s v="191"/>
    <s v="Republican"/>
    <n v="12246"/>
  </r>
  <r>
    <x v="25"/>
    <x v="117"/>
    <s v="State-84"/>
    <x v="16"/>
    <m/>
    <m/>
    <n v="4"/>
  </r>
  <r>
    <x v="25"/>
    <x v="117"/>
    <s v="State-84"/>
    <x v="17"/>
    <m/>
    <m/>
    <n v="890"/>
  </r>
  <r>
    <x v="25"/>
    <x v="29"/>
    <s v="State-106"/>
    <x v="0"/>
    <m/>
    <m/>
    <n v="18977"/>
  </r>
  <r>
    <x v="25"/>
    <x v="29"/>
    <s v="State-106"/>
    <x v="72"/>
    <s v="227"/>
    <s v="Republican"/>
    <n v="11819"/>
  </r>
  <r>
    <x v="25"/>
    <x v="29"/>
    <s v="State-106"/>
    <x v="73"/>
    <s v="228"/>
    <s v="Unaffiliated"/>
    <n v="4899"/>
  </r>
  <r>
    <x v="25"/>
    <x v="29"/>
    <s v="State-106"/>
    <x v="16"/>
    <m/>
    <m/>
    <n v="0"/>
  </r>
  <r>
    <x v="25"/>
    <x v="29"/>
    <s v="State-106"/>
    <x v="17"/>
    <m/>
    <m/>
    <n v="2259"/>
  </r>
  <r>
    <x v="25"/>
    <x v="8"/>
    <s v="State-109"/>
    <x v="0"/>
    <m/>
    <m/>
    <n v="18979"/>
  </r>
  <r>
    <x v="25"/>
    <x v="8"/>
    <s v="State-109"/>
    <x v="46"/>
    <s v="232"/>
    <m/>
    <n v="11381"/>
  </r>
  <r>
    <x v="25"/>
    <x v="8"/>
    <s v="State-109"/>
    <x v="47"/>
    <s v="231"/>
    <m/>
    <n v="2903"/>
  </r>
  <r>
    <x v="25"/>
    <x v="8"/>
    <s v="State-109"/>
    <x v="16"/>
    <m/>
    <m/>
    <n v="3"/>
  </r>
  <r>
    <x v="25"/>
    <x v="8"/>
    <s v="State-109"/>
    <x v="17"/>
    <m/>
    <m/>
    <n v="4692"/>
  </r>
  <r>
    <x v="25"/>
    <x v="9"/>
    <s v="State-110"/>
    <x v="0"/>
    <m/>
    <m/>
    <n v="18979"/>
  </r>
  <r>
    <x v="25"/>
    <x v="9"/>
    <s v="State-110"/>
    <x v="46"/>
    <s v="233"/>
    <m/>
    <n v="11203"/>
  </r>
  <r>
    <x v="25"/>
    <x v="9"/>
    <s v="State-110"/>
    <x v="47"/>
    <s v="234"/>
    <m/>
    <n v="2871"/>
  </r>
  <r>
    <x v="25"/>
    <x v="9"/>
    <s v="State-110"/>
    <x v="16"/>
    <m/>
    <m/>
    <n v="3"/>
  </r>
  <r>
    <x v="25"/>
    <x v="9"/>
    <s v="State-110"/>
    <x v="17"/>
    <m/>
    <m/>
    <n v="4902"/>
  </r>
  <r>
    <x v="25"/>
    <x v="58"/>
    <s v="State-126"/>
    <x v="0"/>
    <m/>
    <m/>
    <n v="18979"/>
  </r>
  <r>
    <x v="25"/>
    <x v="58"/>
    <s v="State-126"/>
    <x v="46"/>
    <s v="265"/>
    <m/>
    <n v="10613"/>
  </r>
  <r>
    <x v="25"/>
    <x v="58"/>
    <s v="State-126"/>
    <x v="47"/>
    <s v="266"/>
    <m/>
    <n v="3396"/>
  </r>
  <r>
    <x v="25"/>
    <x v="58"/>
    <s v="State-126"/>
    <x v="16"/>
    <m/>
    <m/>
    <n v="6"/>
  </r>
  <r>
    <x v="25"/>
    <x v="58"/>
    <s v="State-126"/>
    <x v="17"/>
    <m/>
    <m/>
    <n v="4964"/>
  </r>
  <r>
    <x v="25"/>
    <x v="59"/>
    <s v="State-127"/>
    <x v="0"/>
    <m/>
    <m/>
    <n v="18979"/>
  </r>
  <r>
    <x v="25"/>
    <x v="59"/>
    <s v="State-127"/>
    <x v="46"/>
    <s v="267"/>
    <m/>
    <n v="11247"/>
  </r>
  <r>
    <x v="25"/>
    <x v="59"/>
    <s v="State-127"/>
    <x v="47"/>
    <s v="268"/>
    <m/>
    <n v="2916"/>
  </r>
  <r>
    <x v="25"/>
    <x v="59"/>
    <s v="State-127"/>
    <x v="16"/>
    <m/>
    <m/>
    <n v="4"/>
  </r>
  <r>
    <x v="25"/>
    <x v="59"/>
    <s v="State-127"/>
    <x v="17"/>
    <m/>
    <m/>
    <n v="4812"/>
  </r>
  <r>
    <x v="25"/>
    <x v="60"/>
    <s v="State-128"/>
    <x v="0"/>
    <m/>
    <m/>
    <n v="18979"/>
  </r>
  <r>
    <x v="25"/>
    <x v="60"/>
    <s v="State-128"/>
    <x v="46"/>
    <s v="270"/>
    <m/>
    <n v="10464"/>
  </r>
  <r>
    <x v="25"/>
    <x v="60"/>
    <s v="State-128"/>
    <x v="47"/>
    <s v="269"/>
    <m/>
    <n v="3970"/>
  </r>
  <r>
    <x v="25"/>
    <x v="60"/>
    <s v="State-128"/>
    <x v="16"/>
    <m/>
    <m/>
    <n v="5"/>
  </r>
  <r>
    <x v="25"/>
    <x v="60"/>
    <s v="State-128"/>
    <x v="17"/>
    <m/>
    <m/>
    <n v="4540"/>
  </r>
  <r>
    <x v="25"/>
    <x v="61"/>
    <s v="State-129"/>
    <x v="0"/>
    <m/>
    <m/>
    <n v="18979"/>
  </r>
  <r>
    <x v="25"/>
    <x v="61"/>
    <s v="State-129"/>
    <x v="46"/>
    <s v="271"/>
    <m/>
    <n v="10955"/>
  </r>
  <r>
    <x v="25"/>
    <x v="61"/>
    <s v="State-129"/>
    <x v="47"/>
    <s v="272"/>
    <m/>
    <n v="3001"/>
  </r>
  <r>
    <x v="25"/>
    <x v="61"/>
    <s v="State-129"/>
    <x v="16"/>
    <m/>
    <m/>
    <n v="7"/>
  </r>
  <r>
    <x v="25"/>
    <x v="61"/>
    <s v="State-129"/>
    <x v="17"/>
    <m/>
    <m/>
    <n v="5016"/>
  </r>
  <r>
    <x v="25"/>
    <x v="62"/>
    <s v="State-130"/>
    <x v="0"/>
    <m/>
    <m/>
    <n v="18979"/>
  </r>
  <r>
    <x v="25"/>
    <x v="62"/>
    <s v="State-130"/>
    <x v="46"/>
    <s v="273"/>
    <m/>
    <n v="11116"/>
  </r>
  <r>
    <x v="25"/>
    <x v="62"/>
    <s v="State-130"/>
    <x v="47"/>
    <s v="274"/>
    <m/>
    <n v="2882"/>
  </r>
  <r>
    <x v="25"/>
    <x v="62"/>
    <s v="State-130"/>
    <x v="16"/>
    <m/>
    <m/>
    <n v="2"/>
  </r>
  <r>
    <x v="25"/>
    <x v="62"/>
    <s v="State-130"/>
    <x v="17"/>
    <m/>
    <m/>
    <n v="4979"/>
  </r>
  <r>
    <x v="25"/>
    <x v="63"/>
    <s v="State-131"/>
    <x v="0"/>
    <m/>
    <m/>
    <n v="18979"/>
  </r>
  <r>
    <x v="25"/>
    <x v="63"/>
    <s v="State-131"/>
    <x v="46"/>
    <s v="275"/>
    <m/>
    <n v="10883"/>
  </r>
  <r>
    <x v="25"/>
    <x v="63"/>
    <s v="State-131"/>
    <x v="47"/>
    <s v="276"/>
    <m/>
    <n v="3466"/>
  </r>
  <r>
    <x v="25"/>
    <x v="63"/>
    <s v="State-131"/>
    <x v="16"/>
    <m/>
    <m/>
    <n v="3"/>
  </r>
  <r>
    <x v="25"/>
    <x v="63"/>
    <s v="State-131"/>
    <x v="17"/>
    <m/>
    <m/>
    <n v="4627"/>
  </r>
  <r>
    <x v="25"/>
    <x v="64"/>
    <s v="State-142"/>
    <x v="0"/>
    <m/>
    <m/>
    <n v="18979"/>
  </r>
  <r>
    <x v="25"/>
    <x v="64"/>
    <s v="State-142"/>
    <x v="46"/>
    <s v="297"/>
    <m/>
    <n v="11085"/>
  </r>
  <r>
    <x v="25"/>
    <x v="64"/>
    <s v="State-142"/>
    <x v="47"/>
    <s v="298"/>
    <m/>
    <n v="2959"/>
  </r>
  <r>
    <x v="25"/>
    <x v="64"/>
    <s v="State-142"/>
    <x v="16"/>
    <m/>
    <m/>
    <n v="3"/>
  </r>
  <r>
    <x v="25"/>
    <x v="64"/>
    <s v="State-142"/>
    <x v="17"/>
    <m/>
    <m/>
    <n v="4932"/>
  </r>
  <r>
    <x v="25"/>
    <x v="12"/>
    <s v="State-145"/>
    <x v="0"/>
    <m/>
    <m/>
    <n v="18979"/>
  </r>
  <r>
    <x v="25"/>
    <x v="12"/>
    <s v="State-145"/>
    <x v="48"/>
    <s v="303"/>
    <m/>
    <n v="11418"/>
  </r>
  <r>
    <x v="25"/>
    <x v="12"/>
    <s v="State-145"/>
    <x v="49"/>
    <s v="304"/>
    <m/>
    <n v="6040"/>
  </r>
  <r>
    <x v="25"/>
    <x v="12"/>
    <s v="State-145"/>
    <x v="16"/>
    <m/>
    <m/>
    <n v="5"/>
  </r>
  <r>
    <x v="25"/>
    <x v="12"/>
    <s v="State-145"/>
    <x v="17"/>
    <m/>
    <m/>
    <n v="1516"/>
  </r>
  <r>
    <x v="25"/>
    <x v="13"/>
    <s v="State-146"/>
    <x v="0"/>
    <m/>
    <m/>
    <n v="18979"/>
  </r>
  <r>
    <x v="25"/>
    <x v="13"/>
    <s v="State-146"/>
    <x v="48"/>
    <s v="305"/>
    <m/>
    <n v="14692"/>
  </r>
  <r>
    <x v="25"/>
    <x v="13"/>
    <s v="State-146"/>
    <x v="49"/>
    <s v="306"/>
    <m/>
    <n v="2893"/>
  </r>
  <r>
    <x v="25"/>
    <x v="13"/>
    <s v="State-146"/>
    <x v="16"/>
    <m/>
    <m/>
    <n v="4"/>
  </r>
  <r>
    <x v="25"/>
    <x v="13"/>
    <s v="State-146"/>
    <x v="17"/>
    <m/>
    <m/>
    <n v="1390"/>
  </r>
  <r>
    <x v="26"/>
    <x v="0"/>
    <s v="State-1"/>
    <x v="0"/>
    <m/>
    <m/>
    <n v="99137"/>
  </r>
  <r>
    <x v="26"/>
    <x v="0"/>
    <s v="State-1"/>
    <x v="1"/>
    <s v="9"/>
    <s v="Unaffiliated"/>
    <n v="81"/>
  </r>
  <r>
    <x v="26"/>
    <x v="0"/>
    <s v="State-1"/>
    <x v="2"/>
    <s v="3"/>
    <s v="Unaffiliated"/>
    <n v="105"/>
  </r>
  <r>
    <x v="26"/>
    <x v="0"/>
    <s v="State-1"/>
    <x v="3"/>
    <s v="13"/>
    <s v="Constitution"/>
    <n v="447"/>
  </r>
  <r>
    <x v="26"/>
    <x v="0"/>
    <s v="State-1"/>
    <x v="4"/>
    <s v="8"/>
    <s v="Green"/>
    <n v="294"/>
  </r>
  <r>
    <x v="26"/>
    <x v="0"/>
    <s v="State-1"/>
    <x v="5"/>
    <s v="5"/>
    <s v="Republican"/>
    <n v="73165"/>
  </r>
  <r>
    <x v="26"/>
    <x v="0"/>
    <s v="State-1"/>
    <x v="6"/>
    <s v="10"/>
    <s v="Libertarian"/>
    <n v="719"/>
  </r>
  <r>
    <x v="26"/>
    <x v="0"/>
    <s v="State-1"/>
    <x v="7"/>
    <s v="4"/>
    <s v="Democratic"/>
    <n v="22327"/>
  </r>
  <r>
    <x v="26"/>
    <x v="0"/>
    <s v="State-1"/>
    <x v="8"/>
    <s v="15"/>
    <s v="Unaffiliated"/>
    <n v="105"/>
  </r>
  <r>
    <x v="26"/>
    <x v="0"/>
    <s v="State-1"/>
    <x v="9"/>
    <s v="1"/>
    <s v="Unaffiliated"/>
    <n v="0"/>
  </r>
  <r>
    <x v="26"/>
    <x v="0"/>
    <s v="State-1"/>
    <x v="10"/>
    <s v="2"/>
    <s v="Unaffiliated"/>
    <n v="11"/>
  </r>
  <r>
    <x v="26"/>
    <x v="0"/>
    <s v="State-1"/>
    <x v="11"/>
    <s v="6"/>
    <s v="Unaffiliated"/>
    <n v="1"/>
  </r>
  <r>
    <x v="26"/>
    <x v="0"/>
    <s v="State-1"/>
    <x v="12"/>
    <s v="7"/>
    <s v="Unaffiliated"/>
    <n v="1"/>
  </r>
  <r>
    <x v="26"/>
    <x v="0"/>
    <s v="State-1"/>
    <x v="13"/>
    <s v="11"/>
    <s v="Unaffiliated"/>
    <n v="0"/>
  </r>
  <r>
    <x v="26"/>
    <x v="0"/>
    <s v="State-1"/>
    <x v="14"/>
    <s v="12"/>
    <s v="Unaffiliated"/>
    <n v="0"/>
  </r>
  <r>
    <x v="26"/>
    <x v="0"/>
    <s v="State-1"/>
    <x v="15"/>
    <s v="14"/>
    <s v="Unaffiliated"/>
    <n v="0"/>
  </r>
  <r>
    <x v="26"/>
    <x v="0"/>
    <s v="State-1"/>
    <x v="16"/>
    <m/>
    <m/>
    <n v="38"/>
  </r>
  <r>
    <x v="26"/>
    <x v="0"/>
    <s v="State-1"/>
    <x v="17"/>
    <m/>
    <m/>
    <n v="747"/>
  </r>
  <r>
    <x v="26"/>
    <x v="1"/>
    <s v="State-2"/>
    <x v="0"/>
    <m/>
    <m/>
    <n v="99137"/>
  </r>
  <r>
    <x v="26"/>
    <x v="1"/>
    <s v="State-2"/>
    <x v="18"/>
    <s v="19"/>
    <s v="Independent American"/>
    <n v="7085"/>
  </r>
  <r>
    <x v="26"/>
    <x v="1"/>
    <s v="State-2"/>
    <x v="19"/>
    <s v="18"/>
    <s v="Republican"/>
    <n v="69743"/>
  </r>
  <r>
    <x v="26"/>
    <x v="1"/>
    <s v="State-2"/>
    <x v="20"/>
    <s v="17"/>
    <s v="Democratic"/>
    <n v="18607"/>
  </r>
  <r>
    <x v="26"/>
    <x v="1"/>
    <s v="State-2"/>
    <x v="21"/>
    <s v="16"/>
    <s v="Unaffiliated"/>
    <n v="18"/>
  </r>
  <r>
    <x v="26"/>
    <x v="1"/>
    <s v="State-2"/>
    <x v="16"/>
    <m/>
    <m/>
    <n v="5"/>
  </r>
  <r>
    <x v="26"/>
    <x v="1"/>
    <s v="State-2"/>
    <x v="17"/>
    <m/>
    <m/>
    <n v="2948"/>
  </r>
  <r>
    <x v="26"/>
    <x v="2"/>
    <s v="State-4"/>
    <x v="0"/>
    <m/>
    <m/>
    <n v="99137"/>
  </r>
  <r>
    <x v="26"/>
    <x v="2"/>
    <s v="State-4"/>
    <x v="22"/>
    <s v="25"/>
    <s v="Democratic"/>
    <n v="18559"/>
  </r>
  <r>
    <x v="26"/>
    <x v="2"/>
    <s v="State-4"/>
    <x v="23"/>
    <s v="26"/>
    <s v="Constitution"/>
    <n v="6973"/>
  </r>
  <r>
    <x v="26"/>
    <x v="2"/>
    <s v="State-4"/>
    <x v="24"/>
    <s v="24"/>
    <s v="Republican"/>
    <n v="66517"/>
  </r>
  <r>
    <x v="26"/>
    <x v="2"/>
    <s v="State-4"/>
    <x v="25"/>
    <s v="23"/>
    <s v="Unaffiliated"/>
    <n v="2648"/>
  </r>
  <r>
    <x v="26"/>
    <x v="2"/>
    <s v="State-4"/>
    <x v="16"/>
    <m/>
    <m/>
    <n v="27"/>
  </r>
  <r>
    <x v="26"/>
    <x v="2"/>
    <s v="State-4"/>
    <x v="17"/>
    <m/>
    <m/>
    <n v="4413"/>
  </r>
  <r>
    <x v="26"/>
    <x v="3"/>
    <s v="State-7"/>
    <x v="0"/>
    <m/>
    <m/>
    <n v="99088"/>
  </r>
  <r>
    <x v="26"/>
    <x v="3"/>
    <s v="State-7"/>
    <x v="26"/>
    <s v="36"/>
    <s v="Republican"/>
    <n v="53786"/>
  </r>
  <r>
    <x v="26"/>
    <x v="3"/>
    <s v="State-7"/>
    <x v="27"/>
    <s v="40"/>
    <s v="Independent American"/>
    <n v="1996"/>
  </r>
  <r>
    <x v="26"/>
    <x v="3"/>
    <s v="State-7"/>
    <x v="28"/>
    <s v="34"/>
    <s v="Democratic"/>
    <n v="15977"/>
  </r>
  <r>
    <x v="26"/>
    <x v="3"/>
    <s v="State-7"/>
    <x v="29"/>
    <s v="33"/>
    <s v="Libertarian"/>
    <n v="2781"/>
  </r>
  <r>
    <x v="26"/>
    <x v="3"/>
    <s v="State-7"/>
    <x v="30"/>
    <s v="39"/>
    <s v="Unaffiliated"/>
    <n v="322"/>
  </r>
  <r>
    <x v="26"/>
    <x v="3"/>
    <s v="State-7"/>
    <x v="31"/>
    <s v="37"/>
    <s v="Unaffiliated"/>
    <n v="21025"/>
  </r>
  <r>
    <x v="26"/>
    <x v="3"/>
    <s v="State-7"/>
    <x v="32"/>
    <s v="38"/>
    <s v="Unaffiliated"/>
    <n v="23"/>
  </r>
  <r>
    <x v="26"/>
    <x v="3"/>
    <s v="State-7"/>
    <x v="16"/>
    <m/>
    <m/>
    <n v="20"/>
  </r>
  <r>
    <x v="26"/>
    <x v="3"/>
    <s v="State-7"/>
    <x v="17"/>
    <m/>
    <m/>
    <n v="2964"/>
  </r>
  <r>
    <x v="26"/>
    <x v="4"/>
    <s v="State-8"/>
    <x v="0"/>
    <m/>
    <m/>
    <n v="99088"/>
  </r>
  <r>
    <x v="26"/>
    <x v="4"/>
    <s v="State-8"/>
    <x v="33"/>
    <s v="45"/>
    <s v="Republican"/>
    <n v="66778"/>
  </r>
  <r>
    <x v="26"/>
    <x v="4"/>
    <s v="State-8"/>
    <x v="34"/>
    <s v="41"/>
    <s v="Democratic"/>
    <n v="16753"/>
  </r>
  <r>
    <x v="26"/>
    <x v="4"/>
    <s v="State-8"/>
    <x v="35"/>
    <s v="42"/>
    <s v="Libertarian"/>
    <n v="3173"/>
  </r>
  <r>
    <x v="26"/>
    <x v="4"/>
    <s v="State-8"/>
    <x v="36"/>
    <s v="43"/>
    <s v="Unaffiliated"/>
    <n v="4802"/>
  </r>
  <r>
    <x v="26"/>
    <x v="4"/>
    <s v="State-8"/>
    <x v="37"/>
    <s v="44"/>
    <s v="United Utah Party"/>
    <n v="3473"/>
  </r>
  <r>
    <x v="26"/>
    <x v="4"/>
    <s v="State-8"/>
    <x v="16"/>
    <m/>
    <m/>
    <n v="6"/>
  </r>
  <r>
    <x v="26"/>
    <x v="4"/>
    <s v="State-8"/>
    <x v="17"/>
    <m/>
    <m/>
    <n v="4103"/>
  </r>
  <r>
    <x v="26"/>
    <x v="5"/>
    <s v="State-9"/>
    <x v="0"/>
    <m/>
    <m/>
    <n v="99088"/>
  </r>
  <r>
    <x v="26"/>
    <x v="5"/>
    <s v="State-9"/>
    <x v="38"/>
    <s v="48"/>
    <s v="Republican"/>
    <n v="72185"/>
  </r>
  <r>
    <x v="26"/>
    <x v="5"/>
    <s v="State-9"/>
    <x v="39"/>
    <s v="46"/>
    <s v="Constitution"/>
    <n v="4146"/>
  </r>
  <r>
    <x v="26"/>
    <x v="5"/>
    <s v="State-9"/>
    <x v="40"/>
    <s v="47"/>
    <s v="Democratic"/>
    <n v="17866"/>
  </r>
  <r>
    <x v="26"/>
    <x v="5"/>
    <s v="State-9"/>
    <x v="16"/>
    <m/>
    <m/>
    <n v="1"/>
  </r>
  <r>
    <x v="26"/>
    <x v="5"/>
    <s v="State-9"/>
    <x v="17"/>
    <m/>
    <m/>
    <n v="4890"/>
  </r>
  <r>
    <x v="26"/>
    <x v="6"/>
    <s v="State-10"/>
    <x v="0"/>
    <m/>
    <m/>
    <n v="99088"/>
  </r>
  <r>
    <x v="26"/>
    <x v="6"/>
    <s v="State-10"/>
    <x v="41"/>
    <s v="49"/>
    <s v="Utah Forward"/>
    <n v="3037"/>
  </r>
  <r>
    <x v="26"/>
    <x v="6"/>
    <s v="State-10"/>
    <x v="42"/>
    <s v="50"/>
    <s v="Republican"/>
    <n v="72854"/>
  </r>
  <r>
    <x v="26"/>
    <x v="6"/>
    <s v="State-10"/>
    <x v="43"/>
    <s v="51"/>
    <s v="Democratic"/>
    <n v="17162"/>
  </r>
  <r>
    <x v="26"/>
    <x v="6"/>
    <s v="State-10"/>
    <x v="16"/>
    <m/>
    <m/>
    <n v="4"/>
  </r>
  <r>
    <x v="26"/>
    <x v="6"/>
    <s v="State-10"/>
    <x v="17"/>
    <m/>
    <m/>
    <n v="6031"/>
  </r>
  <r>
    <x v="26"/>
    <x v="52"/>
    <s v="State-24"/>
    <x v="0"/>
    <m/>
    <m/>
    <n v="16401"/>
  </r>
  <r>
    <x v="26"/>
    <x v="52"/>
    <s v="State-24"/>
    <x v="102"/>
    <s v="79"/>
    <s v="Republican"/>
    <n v="12758"/>
  </r>
  <r>
    <x v="26"/>
    <x v="52"/>
    <s v="State-24"/>
    <x v="16"/>
    <m/>
    <m/>
    <n v="0"/>
  </r>
  <r>
    <x v="26"/>
    <x v="52"/>
    <s v="State-24"/>
    <x v="17"/>
    <m/>
    <m/>
    <n v="3643"/>
  </r>
  <r>
    <x v="26"/>
    <x v="137"/>
    <s v="State-25"/>
    <x v="0"/>
    <m/>
    <m/>
    <n v="59391"/>
  </r>
  <r>
    <x v="26"/>
    <x v="137"/>
    <s v="State-25"/>
    <x v="223"/>
    <s v="80"/>
    <s v="Democratic"/>
    <n v="12989"/>
  </r>
  <r>
    <x v="26"/>
    <x v="137"/>
    <s v="State-25"/>
    <x v="224"/>
    <s v="81"/>
    <s v="Republican"/>
    <n v="42143"/>
  </r>
  <r>
    <x v="26"/>
    <x v="137"/>
    <s v="State-25"/>
    <x v="16"/>
    <m/>
    <m/>
    <n v="12"/>
  </r>
  <r>
    <x v="26"/>
    <x v="137"/>
    <s v="State-25"/>
    <x v="17"/>
    <m/>
    <m/>
    <n v="4247"/>
  </r>
  <r>
    <x v="26"/>
    <x v="138"/>
    <s v="State-97"/>
    <x v="0"/>
    <m/>
    <m/>
    <n v="28499"/>
  </r>
  <r>
    <x v="26"/>
    <x v="138"/>
    <s v="State-97"/>
    <x v="225"/>
    <s v="212"/>
    <s v="Republican"/>
    <n v="22406"/>
  </r>
  <r>
    <x v="26"/>
    <x v="138"/>
    <s v="State-97"/>
    <x v="16"/>
    <m/>
    <m/>
    <n v="0"/>
  </r>
  <r>
    <x v="26"/>
    <x v="138"/>
    <s v="State-97"/>
    <x v="17"/>
    <m/>
    <m/>
    <n v="6093"/>
  </r>
  <r>
    <x v="26"/>
    <x v="139"/>
    <s v="State-98"/>
    <x v="0"/>
    <m/>
    <m/>
    <n v="23414"/>
  </r>
  <r>
    <x v="26"/>
    <x v="139"/>
    <s v="State-98"/>
    <x v="226"/>
    <s v="213"/>
    <s v="Republican"/>
    <n v="18715"/>
  </r>
  <r>
    <x v="26"/>
    <x v="139"/>
    <s v="State-98"/>
    <x v="16"/>
    <m/>
    <m/>
    <n v="0"/>
  </r>
  <r>
    <x v="26"/>
    <x v="139"/>
    <s v="State-98"/>
    <x v="17"/>
    <m/>
    <m/>
    <n v="4699"/>
  </r>
  <r>
    <x v="26"/>
    <x v="140"/>
    <s v="State-99"/>
    <x v="0"/>
    <m/>
    <m/>
    <n v="25976"/>
  </r>
  <r>
    <x v="26"/>
    <x v="140"/>
    <s v="State-99"/>
    <x v="227"/>
    <s v="214"/>
    <s v="Republican"/>
    <n v="19978"/>
  </r>
  <r>
    <x v="26"/>
    <x v="140"/>
    <s v="State-99"/>
    <x v="16"/>
    <m/>
    <m/>
    <n v="0"/>
  </r>
  <r>
    <x v="26"/>
    <x v="140"/>
    <s v="State-99"/>
    <x v="17"/>
    <m/>
    <m/>
    <n v="5998"/>
  </r>
  <r>
    <x v="26"/>
    <x v="141"/>
    <s v="State-100"/>
    <x v="0"/>
    <m/>
    <m/>
    <n v="21199"/>
  </r>
  <r>
    <x v="26"/>
    <x v="141"/>
    <s v="State-100"/>
    <x v="228"/>
    <s v="215"/>
    <s v="Republican"/>
    <n v="15580"/>
  </r>
  <r>
    <x v="26"/>
    <x v="141"/>
    <s v="State-100"/>
    <x v="229"/>
    <s v="216"/>
    <s v="Democratic"/>
    <n v="4183"/>
  </r>
  <r>
    <x v="26"/>
    <x v="141"/>
    <s v="State-100"/>
    <x v="16"/>
    <m/>
    <m/>
    <n v="2"/>
  </r>
  <r>
    <x v="26"/>
    <x v="141"/>
    <s v="State-100"/>
    <x v="17"/>
    <m/>
    <m/>
    <n v="1434"/>
  </r>
  <r>
    <x v="26"/>
    <x v="53"/>
    <s v="State-108"/>
    <x v="0"/>
    <m/>
    <m/>
    <n v="99088"/>
  </r>
  <r>
    <x v="26"/>
    <x v="53"/>
    <s v="State-108"/>
    <x v="103"/>
    <s v="230"/>
    <s v="Republican"/>
    <n v="77539"/>
  </r>
  <r>
    <x v="26"/>
    <x v="53"/>
    <s v="State-108"/>
    <x v="16"/>
    <m/>
    <m/>
    <n v="0"/>
  </r>
  <r>
    <x v="26"/>
    <x v="53"/>
    <s v="State-108"/>
    <x v="17"/>
    <m/>
    <m/>
    <n v="21549"/>
  </r>
  <r>
    <x v="26"/>
    <x v="8"/>
    <s v="State-109"/>
    <x v="0"/>
    <m/>
    <m/>
    <n v="99088"/>
  </r>
  <r>
    <x v="26"/>
    <x v="8"/>
    <s v="State-109"/>
    <x v="46"/>
    <s v="232"/>
    <m/>
    <n v="64392"/>
  </r>
  <r>
    <x v="26"/>
    <x v="8"/>
    <s v="State-109"/>
    <x v="47"/>
    <s v="231"/>
    <m/>
    <n v="15349"/>
  </r>
  <r>
    <x v="26"/>
    <x v="8"/>
    <s v="State-109"/>
    <x v="16"/>
    <m/>
    <m/>
    <n v="30"/>
  </r>
  <r>
    <x v="26"/>
    <x v="8"/>
    <s v="State-109"/>
    <x v="17"/>
    <m/>
    <m/>
    <n v="19317"/>
  </r>
  <r>
    <x v="26"/>
    <x v="9"/>
    <s v="State-110"/>
    <x v="0"/>
    <m/>
    <m/>
    <n v="99088"/>
  </r>
  <r>
    <x v="26"/>
    <x v="9"/>
    <s v="State-110"/>
    <x v="46"/>
    <s v="233"/>
    <m/>
    <n v="63447"/>
  </r>
  <r>
    <x v="26"/>
    <x v="9"/>
    <s v="State-110"/>
    <x v="47"/>
    <s v="234"/>
    <m/>
    <n v="15064"/>
  </r>
  <r>
    <x v="26"/>
    <x v="9"/>
    <s v="State-110"/>
    <x v="16"/>
    <m/>
    <m/>
    <n v="19"/>
  </r>
  <r>
    <x v="26"/>
    <x v="9"/>
    <s v="State-110"/>
    <x v="17"/>
    <m/>
    <m/>
    <n v="20558"/>
  </r>
  <r>
    <x v="26"/>
    <x v="10"/>
    <s v="State-132"/>
    <x v="0"/>
    <m/>
    <m/>
    <n v="99088"/>
  </r>
  <r>
    <x v="26"/>
    <x v="10"/>
    <s v="State-132"/>
    <x v="46"/>
    <s v="277"/>
    <m/>
    <n v="64268"/>
  </r>
  <r>
    <x v="26"/>
    <x v="10"/>
    <s v="State-132"/>
    <x v="47"/>
    <s v="278"/>
    <m/>
    <n v="14585"/>
  </r>
  <r>
    <x v="26"/>
    <x v="10"/>
    <s v="State-132"/>
    <x v="16"/>
    <m/>
    <m/>
    <n v="17"/>
  </r>
  <r>
    <x v="26"/>
    <x v="10"/>
    <s v="State-132"/>
    <x v="17"/>
    <m/>
    <m/>
    <n v="20218"/>
  </r>
  <r>
    <x v="26"/>
    <x v="11"/>
    <s v="State-143"/>
    <x v="0"/>
    <m/>
    <m/>
    <n v="99088"/>
  </r>
  <r>
    <x v="26"/>
    <x v="11"/>
    <s v="State-143"/>
    <x v="46"/>
    <s v="299"/>
    <m/>
    <n v="64582"/>
  </r>
  <r>
    <x v="26"/>
    <x v="11"/>
    <s v="State-143"/>
    <x v="47"/>
    <s v="300"/>
    <m/>
    <n v="14448"/>
  </r>
  <r>
    <x v="26"/>
    <x v="11"/>
    <s v="State-143"/>
    <x v="16"/>
    <m/>
    <m/>
    <n v="20"/>
  </r>
  <r>
    <x v="26"/>
    <x v="11"/>
    <s v="State-143"/>
    <x v="17"/>
    <m/>
    <m/>
    <n v="20038"/>
  </r>
  <r>
    <x v="26"/>
    <x v="12"/>
    <s v="State-145"/>
    <x v="0"/>
    <m/>
    <m/>
    <n v="99088"/>
  </r>
  <r>
    <x v="26"/>
    <x v="12"/>
    <s v="State-145"/>
    <x v="48"/>
    <s v="303"/>
    <m/>
    <n v="61405"/>
  </r>
  <r>
    <x v="26"/>
    <x v="12"/>
    <s v="State-145"/>
    <x v="49"/>
    <s v="304"/>
    <m/>
    <n v="30152"/>
  </r>
  <r>
    <x v="26"/>
    <x v="12"/>
    <s v="State-145"/>
    <x v="16"/>
    <m/>
    <m/>
    <n v="16"/>
  </r>
  <r>
    <x v="26"/>
    <x v="12"/>
    <s v="State-145"/>
    <x v="17"/>
    <m/>
    <m/>
    <n v="7515"/>
  </r>
  <r>
    <x v="26"/>
    <x v="13"/>
    <s v="State-146"/>
    <x v="0"/>
    <m/>
    <m/>
    <n v="99088"/>
  </r>
  <r>
    <x v="26"/>
    <x v="13"/>
    <s v="State-146"/>
    <x v="48"/>
    <s v="305"/>
    <m/>
    <n v="78793"/>
  </r>
  <r>
    <x v="26"/>
    <x v="13"/>
    <s v="State-146"/>
    <x v="49"/>
    <s v="306"/>
    <m/>
    <n v="13445"/>
  </r>
  <r>
    <x v="26"/>
    <x v="13"/>
    <s v="State-146"/>
    <x v="16"/>
    <m/>
    <m/>
    <n v="13"/>
  </r>
  <r>
    <x v="26"/>
    <x v="13"/>
    <s v="State-146"/>
    <x v="17"/>
    <m/>
    <m/>
    <n v="6837"/>
  </r>
  <r>
    <x v="27"/>
    <x v="0"/>
    <s v="State-1"/>
    <x v="0"/>
    <m/>
    <m/>
    <n v="1674"/>
  </r>
  <r>
    <x v="27"/>
    <x v="0"/>
    <s v="State-1"/>
    <x v="1"/>
    <s v="9"/>
    <s v="Unaffiliated"/>
    <n v="6"/>
  </r>
  <r>
    <x v="27"/>
    <x v="0"/>
    <s v="State-1"/>
    <x v="2"/>
    <s v="3"/>
    <s v="Unaffiliated"/>
    <n v="1"/>
  </r>
  <r>
    <x v="27"/>
    <x v="0"/>
    <s v="State-1"/>
    <x v="3"/>
    <s v="13"/>
    <s v="Constitution"/>
    <n v="10"/>
  </r>
  <r>
    <x v="27"/>
    <x v="0"/>
    <s v="State-1"/>
    <x v="4"/>
    <s v="8"/>
    <s v="Green"/>
    <n v="5"/>
  </r>
  <r>
    <x v="27"/>
    <x v="0"/>
    <s v="State-1"/>
    <x v="5"/>
    <s v="5"/>
    <s v="Republican"/>
    <n v="1238"/>
  </r>
  <r>
    <x v="27"/>
    <x v="0"/>
    <s v="State-1"/>
    <x v="6"/>
    <s v="10"/>
    <s v="Libertarian"/>
    <n v="8"/>
  </r>
  <r>
    <x v="27"/>
    <x v="0"/>
    <s v="State-1"/>
    <x v="7"/>
    <s v="4"/>
    <s v="Democratic"/>
    <n v="381"/>
  </r>
  <r>
    <x v="27"/>
    <x v="0"/>
    <s v="State-1"/>
    <x v="8"/>
    <s v="15"/>
    <s v="Unaffiliated"/>
    <n v="2"/>
  </r>
  <r>
    <x v="27"/>
    <x v="0"/>
    <s v="State-1"/>
    <x v="9"/>
    <s v="1"/>
    <s v="Unaffiliated"/>
    <n v="0"/>
  </r>
  <r>
    <x v="27"/>
    <x v="0"/>
    <s v="State-1"/>
    <x v="10"/>
    <s v="2"/>
    <s v="Unaffiliated"/>
    <n v="0"/>
  </r>
  <r>
    <x v="27"/>
    <x v="0"/>
    <s v="State-1"/>
    <x v="11"/>
    <s v="6"/>
    <s v="Unaffiliated"/>
    <n v="0"/>
  </r>
  <r>
    <x v="27"/>
    <x v="0"/>
    <s v="State-1"/>
    <x v="12"/>
    <s v="7"/>
    <s v="Unaffiliated"/>
    <n v="0"/>
  </r>
  <r>
    <x v="27"/>
    <x v="0"/>
    <s v="State-1"/>
    <x v="13"/>
    <s v="11"/>
    <s v="Unaffiliated"/>
    <n v="0"/>
  </r>
  <r>
    <x v="27"/>
    <x v="0"/>
    <s v="State-1"/>
    <x v="14"/>
    <s v="12"/>
    <s v="Unaffiliated"/>
    <n v="0"/>
  </r>
  <r>
    <x v="27"/>
    <x v="0"/>
    <s v="State-1"/>
    <x v="15"/>
    <s v="14"/>
    <s v="Unaffiliated"/>
    <n v="0"/>
  </r>
  <r>
    <x v="27"/>
    <x v="0"/>
    <s v="State-1"/>
    <x v="16"/>
    <m/>
    <m/>
    <n v="2"/>
  </r>
  <r>
    <x v="27"/>
    <x v="0"/>
    <s v="State-1"/>
    <x v="17"/>
    <m/>
    <m/>
    <n v="12"/>
  </r>
  <r>
    <x v="27"/>
    <x v="1"/>
    <s v="State-2"/>
    <x v="0"/>
    <m/>
    <m/>
    <n v="1674"/>
  </r>
  <r>
    <x v="27"/>
    <x v="1"/>
    <s v="State-2"/>
    <x v="18"/>
    <s v="19"/>
    <s v="Independent American"/>
    <n v="97"/>
  </r>
  <r>
    <x v="27"/>
    <x v="1"/>
    <s v="State-2"/>
    <x v="19"/>
    <s v="18"/>
    <s v="Republican"/>
    <n v="1196"/>
  </r>
  <r>
    <x v="27"/>
    <x v="1"/>
    <s v="State-2"/>
    <x v="20"/>
    <s v="17"/>
    <s v="Democratic"/>
    <n v="326"/>
  </r>
  <r>
    <x v="27"/>
    <x v="1"/>
    <s v="State-2"/>
    <x v="21"/>
    <s v="16"/>
    <s v="Unaffiliated"/>
    <n v="0"/>
  </r>
  <r>
    <x v="27"/>
    <x v="1"/>
    <s v="State-2"/>
    <x v="16"/>
    <m/>
    <m/>
    <n v="2"/>
  </r>
  <r>
    <x v="27"/>
    <x v="1"/>
    <s v="State-2"/>
    <x v="17"/>
    <m/>
    <m/>
    <n v="46"/>
  </r>
  <r>
    <x v="27"/>
    <x v="2"/>
    <s v="State-4"/>
    <x v="0"/>
    <m/>
    <m/>
    <n v="1674"/>
  </r>
  <r>
    <x v="27"/>
    <x v="2"/>
    <s v="State-4"/>
    <x v="22"/>
    <s v="25"/>
    <s v="Democratic"/>
    <n v="325"/>
  </r>
  <r>
    <x v="27"/>
    <x v="2"/>
    <s v="State-4"/>
    <x v="23"/>
    <s v="26"/>
    <s v="Constitution"/>
    <n v="55"/>
  </r>
  <r>
    <x v="27"/>
    <x v="2"/>
    <s v="State-4"/>
    <x v="24"/>
    <s v="24"/>
    <s v="Republican"/>
    <n v="1211"/>
  </r>
  <r>
    <x v="27"/>
    <x v="2"/>
    <s v="State-4"/>
    <x v="25"/>
    <s v="23"/>
    <s v="Unaffiliated"/>
    <n v="28"/>
  </r>
  <r>
    <x v="27"/>
    <x v="2"/>
    <s v="State-4"/>
    <x v="16"/>
    <m/>
    <m/>
    <n v="0"/>
  </r>
  <r>
    <x v="27"/>
    <x v="2"/>
    <s v="State-4"/>
    <x v="17"/>
    <m/>
    <m/>
    <n v="55"/>
  </r>
  <r>
    <x v="27"/>
    <x v="3"/>
    <s v="State-7"/>
    <x v="0"/>
    <m/>
    <m/>
    <n v="1672"/>
  </r>
  <r>
    <x v="27"/>
    <x v="3"/>
    <s v="State-7"/>
    <x v="26"/>
    <s v="36"/>
    <s v="Republican"/>
    <n v="925"/>
  </r>
  <r>
    <x v="27"/>
    <x v="3"/>
    <s v="State-7"/>
    <x v="27"/>
    <s v="40"/>
    <s v="Independent American"/>
    <n v="28"/>
  </r>
  <r>
    <x v="27"/>
    <x v="3"/>
    <s v="State-7"/>
    <x v="28"/>
    <s v="34"/>
    <s v="Democratic"/>
    <n v="287"/>
  </r>
  <r>
    <x v="27"/>
    <x v="3"/>
    <s v="State-7"/>
    <x v="29"/>
    <s v="33"/>
    <s v="Libertarian"/>
    <n v="23"/>
  </r>
  <r>
    <x v="27"/>
    <x v="3"/>
    <s v="State-7"/>
    <x v="30"/>
    <s v="39"/>
    <s v="Unaffiliated"/>
    <n v="2"/>
  </r>
  <r>
    <x v="27"/>
    <x v="3"/>
    <s v="State-7"/>
    <x v="31"/>
    <s v="37"/>
    <s v="Unaffiliated"/>
    <n v="354"/>
  </r>
  <r>
    <x v="27"/>
    <x v="3"/>
    <s v="State-7"/>
    <x v="32"/>
    <s v="38"/>
    <s v="Unaffiliated"/>
    <n v="0"/>
  </r>
  <r>
    <x v="27"/>
    <x v="3"/>
    <s v="State-7"/>
    <x v="16"/>
    <m/>
    <m/>
    <n v="5"/>
  </r>
  <r>
    <x v="27"/>
    <x v="3"/>
    <s v="State-7"/>
    <x v="17"/>
    <m/>
    <m/>
    <n v="46"/>
  </r>
  <r>
    <x v="27"/>
    <x v="4"/>
    <s v="State-8"/>
    <x v="0"/>
    <m/>
    <m/>
    <n v="1672"/>
  </r>
  <r>
    <x v="27"/>
    <x v="4"/>
    <s v="State-8"/>
    <x v="33"/>
    <s v="45"/>
    <s v="Republican"/>
    <n v="1181"/>
  </r>
  <r>
    <x v="27"/>
    <x v="4"/>
    <s v="State-8"/>
    <x v="34"/>
    <s v="41"/>
    <s v="Democratic"/>
    <n v="282"/>
  </r>
  <r>
    <x v="27"/>
    <x v="4"/>
    <s v="State-8"/>
    <x v="35"/>
    <s v="42"/>
    <s v="Libertarian"/>
    <n v="44"/>
  </r>
  <r>
    <x v="27"/>
    <x v="4"/>
    <s v="State-8"/>
    <x v="36"/>
    <s v="43"/>
    <s v="Unaffiliated"/>
    <n v="25"/>
  </r>
  <r>
    <x v="27"/>
    <x v="4"/>
    <s v="State-8"/>
    <x v="37"/>
    <s v="44"/>
    <s v="United Utah Party"/>
    <n v="71"/>
  </r>
  <r>
    <x v="27"/>
    <x v="4"/>
    <s v="State-8"/>
    <x v="16"/>
    <m/>
    <m/>
    <n v="0"/>
  </r>
  <r>
    <x v="27"/>
    <x v="4"/>
    <s v="State-8"/>
    <x v="17"/>
    <m/>
    <m/>
    <n v="69"/>
  </r>
  <r>
    <x v="27"/>
    <x v="5"/>
    <s v="State-9"/>
    <x v="0"/>
    <m/>
    <m/>
    <n v="1672"/>
  </r>
  <r>
    <x v="27"/>
    <x v="5"/>
    <s v="State-9"/>
    <x v="38"/>
    <s v="48"/>
    <s v="Republican"/>
    <n v="1208"/>
  </r>
  <r>
    <x v="27"/>
    <x v="5"/>
    <s v="State-9"/>
    <x v="39"/>
    <s v="46"/>
    <s v="Constitution"/>
    <n v="59"/>
  </r>
  <r>
    <x v="27"/>
    <x v="5"/>
    <s v="State-9"/>
    <x v="40"/>
    <s v="47"/>
    <s v="Democratic"/>
    <n v="309"/>
  </r>
  <r>
    <x v="27"/>
    <x v="5"/>
    <s v="State-9"/>
    <x v="16"/>
    <m/>
    <m/>
    <n v="0"/>
  </r>
  <r>
    <x v="27"/>
    <x v="5"/>
    <s v="State-9"/>
    <x v="17"/>
    <m/>
    <m/>
    <n v="96"/>
  </r>
  <r>
    <x v="27"/>
    <x v="6"/>
    <s v="State-10"/>
    <x v="0"/>
    <m/>
    <m/>
    <n v="1672"/>
  </r>
  <r>
    <x v="27"/>
    <x v="6"/>
    <s v="State-10"/>
    <x v="41"/>
    <s v="49"/>
    <s v="Utah Forward"/>
    <n v="51"/>
  </r>
  <r>
    <x v="27"/>
    <x v="6"/>
    <s v="State-10"/>
    <x v="42"/>
    <s v="50"/>
    <s v="Republican"/>
    <n v="1226"/>
  </r>
  <r>
    <x v="27"/>
    <x v="6"/>
    <s v="State-10"/>
    <x v="43"/>
    <s v="51"/>
    <s v="Democratic"/>
    <n v="305"/>
  </r>
  <r>
    <x v="27"/>
    <x v="6"/>
    <s v="State-10"/>
    <x v="16"/>
    <m/>
    <m/>
    <n v="0"/>
  </r>
  <r>
    <x v="27"/>
    <x v="6"/>
    <s v="State-10"/>
    <x v="17"/>
    <m/>
    <m/>
    <n v="90"/>
  </r>
  <r>
    <x v="27"/>
    <x v="25"/>
    <s v="State-23"/>
    <x v="0"/>
    <m/>
    <m/>
    <n v="148"/>
  </r>
  <r>
    <x v="27"/>
    <x v="25"/>
    <s v="State-23"/>
    <x v="66"/>
    <s v="78"/>
    <s v="Unaffiliated"/>
    <n v="5"/>
  </r>
  <r>
    <x v="27"/>
    <x v="25"/>
    <s v="State-23"/>
    <x v="67"/>
    <s v="76"/>
    <s v="Democratic"/>
    <n v="26"/>
  </r>
  <r>
    <x v="27"/>
    <x v="25"/>
    <s v="State-23"/>
    <x v="68"/>
    <s v="77"/>
    <s v="Republican"/>
    <n v="113"/>
  </r>
  <r>
    <x v="27"/>
    <x v="25"/>
    <s v="State-23"/>
    <x v="16"/>
    <m/>
    <m/>
    <n v="0"/>
  </r>
  <r>
    <x v="27"/>
    <x v="25"/>
    <s v="State-23"/>
    <x v="17"/>
    <m/>
    <m/>
    <n v="4"/>
  </r>
  <r>
    <x v="27"/>
    <x v="52"/>
    <s v="State-24"/>
    <x v="0"/>
    <m/>
    <m/>
    <n v="1524"/>
  </r>
  <r>
    <x v="27"/>
    <x v="52"/>
    <s v="State-24"/>
    <x v="102"/>
    <s v="79"/>
    <s v="Republican"/>
    <n v="1163"/>
  </r>
  <r>
    <x v="27"/>
    <x v="52"/>
    <s v="State-24"/>
    <x v="16"/>
    <m/>
    <m/>
    <n v="0"/>
  </r>
  <r>
    <x v="27"/>
    <x v="52"/>
    <s v="State-24"/>
    <x v="17"/>
    <m/>
    <m/>
    <n v="361"/>
  </r>
  <r>
    <x v="27"/>
    <x v="51"/>
    <s v="State-94"/>
    <x v="0"/>
    <m/>
    <m/>
    <n v="1672"/>
  </r>
  <r>
    <x v="27"/>
    <x v="51"/>
    <s v="State-94"/>
    <x v="100"/>
    <s v="206"/>
    <s v="Republican"/>
    <n v="1171"/>
  </r>
  <r>
    <x v="27"/>
    <x v="51"/>
    <s v="State-94"/>
    <x v="101"/>
    <s v="207"/>
    <s v="Democratic"/>
    <n v="413"/>
  </r>
  <r>
    <x v="27"/>
    <x v="51"/>
    <s v="State-94"/>
    <x v="16"/>
    <m/>
    <m/>
    <n v="0"/>
  </r>
  <r>
    <x v="27"/>
    <x v="51"/>
    <s v="State-94"/>
    <x v="17"/>
    <m/>
    <m/>
    <n v="88"/>
  </r>
  <r>
    <x v="27"/>
    <x v="53"/>
    <s v="State-108"/>
    <x v="0"/>
    <m/>
    <m/>
    <n v="1672"/>
  </r>
  <r>
    <x v="27"/>
    <x v="53"/>
    <s v="State-108"/>
    <x v="103"/>
    <s v="230"/>
    <s v="Republican"/>
    <n v="1221"/>
  </r>
  <r>
    <x v="27"/>
    <x v="53"/>
    <s v="State-108"/>
    <x v="16"/>
    <m/>
    <m/>
    <n v="0"/>
  </r>
  <r>
    <x v="27"/>
    <x v="53"/>
    <s v="State-108"/>
    <x v="17"/>
    <m/>
    <m/>
    <n v="451"/>
  </r>
  <r>
    <x v="27"/>
    <x v="8"/>
    <s v="State-109"/>
    <x v="0"/>
    <m/>
    <m/>
    <n v="1672"/>
  </r>
  <r>
    <x v="27"/>
    <x v="8"/>
    <s v="State-109"/>
    <x v="46"/>
    <s v="232"/>
    <m/>
    <n v="1095"/>
  </r>
  <r>
    <x v="27"/>
    <x v="8"/>
    <s v="State-109"/>
    <x v="47"/>
    <s v="231"/>
    <m/>
    <n v="255"/>
  </r>
  <r>
    <x v="27"/>
    <x v="8"/>
    <s v="State-109"/>
    <x v="16"/>
    <m/>
    <m/>
    <n v="0"/>
  </r>
  <r>
    <x v="27"/>
    <x v="8"/>
    <s v="State-109"/>
    <x v="17"/>
    <m/>
    <m/>
    <n v="322"/>
  </r>
  <r>
    <x v="27"/>
    <x v="9"/>
    <s v="State-110"/>
    <x v="0"/>
    <m/>
    <m/>
    <n v="1672"/>
  </r>
  <r>
    <x v="27"/>
    <x v="9"/>
    <s v="State-110"/>
    <x v="46"/>
    <s v="233"/>
    <m/>
    <n v="1089"/>
  </r>
  <r>
    <x v="27"/>
    <x v="9"/>
    <s v="State-110"/>
    <x v="47"/>
    <s v="234"/>
    <m/>
    <n v="260"/>
  </r>
  <r>
    <x v="27"/>
    <x v="9"/>
    <s v="State-110"/>
    <x v="16"/>
    <m/>
    <m/>
    <n v="0"/>
  </r>
  <r>
    <x v="27"/>
    <x v="9"/>
    <s v="State-110"/>
    <x v="17"/>
    <m/>
    <m/>
    <n v="323"/>
  </r>
  <r>
    <x v="27"/>
    <x v="12"/>
    <s v="State-145"/>
    <x v="0"/>
    <m/>
    <m/>
    <n v="1672"/>
  </r>
  <r>
    <x v="27"/>
    <x v="12"/>
    <s v="State-145"/>
    <x v="48"/>
    <s v="303"/>
    <m/>
    <n v="1040"/>
  </r>
  <r>
    <x v="27"/>
    <x v="12"/>
    <s v="State-145"/>
    <x v="49"/>
    <s v="304"/>
    <m/>
    <n v="507"/>
  </r>
  <r>
    <x v="27"/>
    <x v="12"/>
    <s v="State-145"/>
    <x v="16"/>
    <m/>
    <m/>
    <n v="0"/>
  </r>
  <r>
    <x v="27"/>
    <x v="12"/>
    <s v="State-145"/>
    <x v="17"/>
    <m/>
    <m/>
    <n v="125"/>
  </r>
  <r>
    <x v="27"/>
    <x v="13"/>
    <s v="State-146"/>
    <x v="0"/>
    <m/>
    <m/>
    <n v="1672"/>
  </r>
  <r>
    <x v="27"/>
    <x v="13"/>
    <s v="State-146"/>
    <x v="48"/>
    <s v="305"/>
    <m/>
    <n v="1406"/>
  </r>
  <r>
    <x v="27"/>
    <x v="13"/>
    <s v="State-146"/>
    <x v="49"/>
    <s v="306"/>
    <m/>
    <n v="180"/>
  </r>
  <r>
    <x v="27"/>
    <x v="13"/>
    <s v="State-146"/>
    <x v="16"/>
    <m/>
    <m/>
    <n v="1"/>
  </r>
  <r>
    <x v="27"/>
    <x v="13"/>
    <s v="State-146"/>
    <x v="17"/>
    <m/>
    <m/>
    <n v="85"/>
  </r>
  <r>
    <x v="28"/>
    <x v="0"/>
    <s v="State-1"/>
    <x v="0"/>
    <m/>
    <m/>
    <n v="114612"/>
  </r>
  <r>
    <x v="28"/>
    <x v="0"/>
    <s v="State-1"/>
    <x v="1"/>
    <s v="9"/>
    <s v="Unaffiliated"/>
    <n v="189"/>
  </r>
  <r>
    <x v="28"/>
    <x v="0"/>
    <s v="State-1"/>
    <x v="2"/>
    <s v="3"/>
    <s v="Unaffiliated"/>
    <n v="234"/>
  </r>
  <r>
    <x v="28"/>
    <x v="0"/>
    <s v="State-1"/>
    <x v="3"/>
    <s v="13"/>
    <s v="Constitution"/>
    <n v="580"/>
  </r>
  <r>
    <x v="28"/>
    <x v="0"/>
    <s v="State-1"/>
    <x v="4"/>
    <s v="8"/>
    <s v="Green"/>
    <n v="644"/>
  </r>
  <r>
    <x v="28"/>
    <x v="0"/>
    <s v="State-1"/>
    <x v="5"/>
    <s v="5"/>
    <s v="Republican"/>
    <n v="67549"/>
  </r>
  <r>
    <x v="28"/>
    <x v="0"/>
    <s v="State-1"/>
    <x v="6"/>
    <s v="10"/>
    <s v="Libertarian"/>
    <n v="1325"/>
  </r>
  <r>
    <x v="28"/>
    <x v="0"/>
    <s v="State-1"/>
    <x v="7"/>
    <s v="4"/>
    <s v="Democratic"/>
    <n v="41238"/>
  </r>
  <r>
    <x v="28"/>
    <x v="0"/>
    <s v="State-1"/>
    <x v="8"/>
    <s v="15"/>
    <s v="Unaffiliated"/>
    <n v="258"/>
  </r>
  <r>
    <x v="28"/>
    <x v="0"/>
    <s v="State-1"/>
    <x v="9"/>
    <s v="1"/>
    <s v="Unaffiliated"/>
    <n v="7"/>
  </r>
  <r>
    <x v="28"/>
    <x v="0"/>
    <s v="State-1"/>
    <x v="10"/>
    <s v="2"/>
    <s v="Unaffiliated"/>
    <n v="21"/>
  </r>
  <r>
    <x v="28"/>
    <x v="0"/>
    <s v="State-1"/>
    <x v="11"/>
    <s v="6"/>
    <s v="Unaffiliated"/>
    <n v="9"/>
  </r>
  <r>
    <x v="28"/>
    <x v="0"/>
    <s v="State-1"/>
    <x v="12"/>
    <s v="7"/>
    <s v="Unaffiliated"/>
    <n v="0"/>
  </r>
  <r>
    <x v="28"/>
    <x v="0"/>
    <s v="State-1"/>
    <x v="13"/>
    <s v="11"/>
    <s v="Unaffiliated"/>
    <n v="0"/>
  </r>
  <r>
    <x v="28"/>
    <x v="0"/>
    <s v="State-1"/>
    <x v="14"/>
    <s v="12"/>
    <s v="Unaffiliated"/>
    <n v="0"/>
  </r>
  <r>
    <x v="28"/>
    <x v="0"/>
    <s v="State-1"/>
    <x v="15"/>
    <s v="14"/>
    <s v="Unaffiliated"/>
    <n v="0"/>
  </r>
  <r>
    <x v="28"/>
    <x v="0"/>
    <s v="State-1"/>
    <x v="16"/>
    <m/>
    <m/>
    <n v="83"/>
  </r>
  <r>
    <x v="28"/>
    <x v="0"/>
    <s v="State-1"/>
    <x v="17"/>
    <m/>
    <m/>
    <n v="980"/>
  </r>
  <r>
    <x v="28"/>
    <x v="1"/>
    <s v="State-2"/>
    <x v="0"/>
    <m/>
    <m/>
    <n v="114612"/>
  </r>
  <r>
    <x v="28"/>
    <x v="1"/>
    <s v="State-2"/>
    <x v="18"/>
    <s v="19"/>
    <s v="Independent American"/>
    <n v="5932"/>
  </r>
  <r>
    <x v="28"/>
    <x v="1"/>
    <s v="State-2"/>
    <x v="19"/>
    <s v="18"/>
    <s v="Republican"/>
    <n v="67713"/>
  </r>
  <r>
    <x v="28"/>
    <x v="1"/>
    <s v="State-2"/>
    <x v="20"/>
    <s v="17"/>
    <s v="Democratic"/>
    <n v="35286"/>
  </r>
  <r>
    <x v="28"/>
    <x v="1"/>
    <s v="State-2"/>
    <x v="21"/>
    <s v="16"/>
    <s v="Unaffiliated"/>
    <n v="18"/>
  </r>
  <r>
    <x v="28"/>
    <x v="1"/>
    <s v="State-2"/>
    <x v="16"/>
    <m/>
    <m/>
    <n v="12"/>
  </r>
  <r>
    <x v="28"/>
    <x v="1"/>
    <s v="State-2"/>
    <x v="17"/>
    <m/>
    <m/>
    <n v="5063"/>
  </r>
  <r>
    <x v="28"/>
    <x v="14"/>
    <s v="State-3"/>
    <x v="0"/>
    <m/>
    <m/>
    <n v="114612"/>
  </r>
  <r>
    <x v="28"/>
    <x v="14"/>
    <s v="State-3"/>
    <x v="50"/>
    <s v="22"/>
    <s v="Democratic"/>
    <n v="33508"/>
  </r>
  <r>
    <x v="28"/>
    <x v="14"/>
    <s v="State-3"/>
    <x v="51"/>
    <s v="20"/>
    <s v="Libertarian"/>
    <n v="5527"/>
  </r>
  <r>
    <x v="28"/>
    <x v="14"/>
    <s v="State-3"/>
    <x v="52"/>
    <s v="21"/>
    <s v="Republican"/>
    <n v="68854"/>
  </r>
  <r>
    <x v="28"/>
    <x v="14"/>
    <s v="State-3"/>
    <x v="16"/>
    <m/>
    <m/>
    <n v="23"/>
  </r>
  <r>
    <x v="28"/>
    <x v="14"/>
    <s v="State-3"/>
    <x v="17"/>
    <m/>
    <m/>
    <n v="6700"/>
  </r>
  <r>
    <x v="28"/>
    <x v="3"/>
    <s v="State-7"/>
    <x v="0"/>
    <m/>
    <m/>
    <n v="114611"/>
  </r>
  <r>
    <x v="28"/>
    <x v="3"/>
    <s v="State-7"/>
    <x v="26"/>
    <s v="36"/>
    <s v="Republican"/>
    <n v="59443"/>
  </r>
  <r>
    <x v="28"/>
    <x v="3"/>
    <s v="State-7"/>
    <x v="27"/>
    <s v="40"/>
    <s v="Independent American"/>
    <n v="2397"/>
  </r>
  <r>
    <x v="28"/>
    <x v="3"/>
    <s v="State-7"/>
    <x v="28"/>
    <s v="34"/>
    <s v="Democratic"/>
    <n v="30804"/>
  </r>
  <r>
    <x v="28"/>
    <x v="3"/>
    <s v="State-7"/>
    <x v="29"/>
    <s v="33"/>
    <s v="Libertarian"/>
    <n v="3714"/>
  </r>
  <r>
    <x v="28"/>
    <x v="3"/>
    <s v="State-7"/>
    <x v="30"/>
    <s v="39"/>
    <s v="Unaffiliated"/>
    <n v="485"/>
  </r>
  <r>
    <x v="28"/>
    <x v="3"/>
    <s v="State-7"/>
    <x v="31"/>
    <s v="37"/>
    <s v="Unaffiliated"/>
    <n v="13726"/>
  </r>
  <r>
    <x v="28"/>
    <x v="3"/>
    <s v="State-7"/>
    <x v="32"/>
    <s v="38"/>
    <s v="Unaffiliated"/>
    <n v="49"/>
  </r>
  <r>
    <x v="28"/>
    <x v="3"/>
    <s v="State-7"/>
    <x v="16"/>
    <m/>
    <m/>
    <n v="53"/>
  </r>
  <r>
    <x v="28"/>
    <x v="3"/>
    <s v="State-7"/>
    <x v="17"/>
    <m/>
    <m/>
    <n v="3596"/>
  </r>
  <r>
    <x v="28"/>
    <x v="4"/>
    <s v="State-8"/>
    <x v="0"/>
    <m/>
    <m/>
    <n v="114611"/>
  </r>
  <r>
    <x v="28"/>
    <x v="4"/>
    <s v="State-8"/>
    <x v="33"/>
    <s v="45"/>
    <s v="Republican"/>
    <n v="62805"/>
  </r>
  <r>
    <x v="28"/>
    <x v="4"/>
    <s v="State-8"/>
    <x v="34"/>
    <s v="41"/>
    <s v="Democratic"/>
    <n v="30593"/>
  </r>
  <r>
    <x v="28"/>
    <x v="4"/>
    <s v="State-8"/>
    <x v="35"/>
    <s v="42"/>
    <s v="Libertarian"/>
    <n v="4631"/>
  </r>
  <r>
    <x v="28"/>
    <x v="4"/>
    <s v="State-8"/>
    <x v="36"/>
    <s v="43"/>
    <s v="Unaffiliated"/>
    <n v="3417"/>
  </r>
  <r>
    <x v="28"/>
    <x v="4"/>
    <s v="State-8"/>
    <x v="37"/>
    <s v="44"/>
    <s v="United Utah Party"/>
    <n v="6753"/>
  </r>
  <r>
    <x v="28"/>
    <x v="4"/>
    <s v="State-8"/>
    <x v="16"/>
    <m/>
    <m/>
    <n v="18"/>
  </r>
  <r>
    <x v="28"/>
    <x v="4"/>
    <s v="State-8"/>
    <x v="17"/>
    <m/>
    <m/>
    <n v="6394"/>
  </r>
  <r>
    <x v="28"/>
    <x v="5"/>
    <s v="State-9"/>
    <x v="0"/>
    <m/>
    <m/>
    <n v="114611"/>
  </r>
  <r>
    <x v="28"/>
    <x v="5"/>
    <s v="State-9"/>
    <x v="38"/>
    <s v="48"/>
    <s v="Republican"/>
    <n v="66878"/>
  </r>
  <r>
    <x v="28"/>
    <x v="5"/>
    <s v="State-9"/>
    <x v="39"/>
    <s v="46"/>
    <s v="Constitution"/>
    <n v="5787"/>
  </r>
  <r>
    <x v="28"/>
    <x v="5"/>
    <s v="State-9"/>
    <x v="40"/>
    <s v="47"/>
    <s v="Democratic"/>
    <n v="33430"/>
  </r>
  <r>
    <x v="28"/>
    <x v="5"/>
    <s v="State-9"/>
    <x v="16"/>
    <m/>
    <m/>
    <n v="9"/>
  </r>
  <r>
    <x v="28"/>
    <x v="5"/>
    <s v="State-9"/>
    <x v="17"/>
    <m/>
    <m/>
    <n v="8507"/>
  </r>
  <r>
    <x v="28"/>
    <x v="6"/>
    <s v="State-10"/>
    <x v="0"/>
    <m/>
    <m/>
    <n v="114611"/>
  </r>
  <r>
    <x v="28"/>
    <x v="6"/>
    <s v="State-10"/>
    <x v="41"/>
    <s v="49"/>
    <s v="Utah Forward"/>
    <n v="5993"/>
  </r>
  <r>
    <x v="28"/>
    <x v="6"/>
    <s v="State-10"/>
    <x v="42"/>
    <s v="50"/>
    <s v="Republican"/>
    <n v="67086"/>
  </r>
  <r>
    <x v="28"/>
    <x v="6"/>
    <s v="State-10"/>
    <x v="43"/>
    <s v="51"/>
    <s v="Democratic"/>
    <n v="32950"/>
  </r>
  <r>
    <x v="28"/>
    <x v="6"/>
    <s v="State-10"/>
    <x v="16"/>
    <m/>
    <m/>
    <n v="4"/>
  </r>
  <r>
    <x v="28"/>
    <x v="6"/>
    <s v="State-10"/>
    <x v="17"/>
    <m/>
    <m/>
    <n v="8578"/>
  </r>
  <r>
    <x v="28"/>
    <x v="65"/>
    <s v="State-12"/>
    <x v="0"/>
    <m/>
    <m/>
    <n v="38723"/>
  </r>
  <r>
    <x v="28"/>
    <x v="65"/>
    <s v="State-12"/>
    <x v="113"/>
    <s v="55"/>
    <s v="Democratic"/>
    <n v="15052"/>
  </r>
  <r>
    <x v="28"/>
    <x v="65"/>
    <s v="State-12"/>
    <x v="114"/>
    <s v="54"/>
    <s v="Republican"/>
    <n v="21497"/>
  </r>
  <r>
    <x v="28"/>
    <x v="65"/>
    <s v="State-12"/>
    <x v="16"/>
    <m/>
    <m/>
    <n v="3"/>
  </r>
  <r>
    <x v="28"/>
    <x v="65"/>
    <s v="State-12"/>
    <x v="17"/>
    <m/>
    <m/>
    <n v="2171"/>
  </r>
  <r>
    <x v="28"/>
    <x v="32"/>
    <s v="State-13"/>
    <x v="0"/>
    <m/>
    <m/>
    <n v="43881"/>
  </r>
  <r>
    <x v="28"/>
    <x v="32"/>
    <s v="State-13"/>
    <x v="74"/>
    <s v="56"/>
    <s v="Republican"/>
    <n v="29588"/>
  </r>
  <r>
    <x v="28"/>
    <x v="32"/>
    <s v="State-13"/>
    <x v="16"/>
    <m/>
    <m/>
    <n v="0"/>
  </r>
  <r>
    <x v="28"/>
    <x v="32"/>
    <s v="State-13"/>
    <x v="17"/>
    <m/>
    <m/>
    <n v="14293"/>
  </r>
  <r>
    <x v="28"/>
    <x v="16"/>
    <s v="State-31"/>
    <x v="0"/>
    <m/>
    <m/>
    <n v="13491"/>
  </r>
  <r>
    <x v="28"/>
    <x v="16"/>
    <s v="State-31"/>
    <x v="55"/>
    <s v="92"/>
    <s v="Republican"/>
    <n v="9893"/>
  </r>
  <r>
    <x v="28"/>
    <x v="16"/>
    <s v="State-31"/>
    <x v="56"/>
    <s v="91"/>
    <s v="Democratic"/>
    <n v="2601"/>
  </r>
  <r>
    <x v="28"/>
    <x v="16"/>
    <s v="State-31"/>
    <x v="16"/>
    <m/>
    <m/>
    <n v="0"/>
  </r>
  <r>
    <x v="28"/>
    <x v="16"/>
    <s v="State-31"/>
    <x v="17"/>
    <m/>
    <m/>
    <n v="997"/>
  </r>
  <r>
    <x v="28"/>
    <x v="142"/>
    <s v="State-32"/>
    <x v="0"/>
    <m/>
    <m/>
    <n v="18567"/>
  </r>
  <r>
    <x v="28"/>
    <x v="142"/>
    <s v="State-32"/>
    <x v="230"/>
    <s v="93"/>
    <s v="Republican"/>
    <n v="13190"/>
  </r>
  <r>
    <x v="28"/>
    <x v="142"/>
    <s v="State-32"/>
    <x v="16"/>
    <m/>
    <m/>
    <n v="0"/>
  </r>
  <r>
    <x v="28"/>
    <x v="142"/>
    <s v="State-32"/>
    <x v="17"/>
    <m/>
    <m/>
    <n v="5377"/>
  </r>
  <r>
    <x v="28"/>
    <x v="67"/>
    <s v="State-33"/>
    <x v="0"/>
    <m/>
    <m/>
    <n v="19772"/>
  </r>
  <r>
    <x v="28"/>
    <x v="67"/>
    <s v="State-33"/>
    <x v="117"/>
    <s v="94"/>
    <s v="Republican"/>
    <n v="12695"/>
  </r>
  <r>
    <x v="28"/>
    <x v="67"/>
    <s v="State-33"/>
    <x v="16"/>
    <m/>
    <m/>
    <n v="0"/>
  </r>
  <r>
    <x v="28"/>
    <x v="67"/>
    <s v="State-33"/>
    <x v="17"/>
    <m/>
    <m/>
    <n v="7077"/>
  </r>
  <r>
    <x v="28"/>
    <x v="143"/>
    <s v="State-34"/>
    <x v="0"/>
    <m/>
    <m/>
    <n v="17368"/>
  </r>
  <r>
    <x v="28"/>
    <x v="143"/>
    <s v="State-34"/>
    <x v="231"/>
    <s v="96"/>
    <s v="Democratic"/>
    <n v="5996"/>
  </r>
  <r>
    <x v="28"/>
    <x v="143"/>
    <s v="State-34"/>
    <x v="232"/>
    <s v="95"/>
    <s v="Libertarian"/>
    <n v="799"/>
  </r>
  <r>
    <x v="28"/>
    <x v="143"/>
    <s v="State-34"/>
    <x v="233"/>
    <s v="97"/>
    <s v="Republican"/>
    <n v="9497"/>
  </r>
  <r>
    <x v="28"/>
    <x v="143"/>
    <s v="State-34"/>
    <x v="16"/>
    <m/>
    <m/>
    <n v="2"/>
  </r>
  <r>
    <x v="28"/>
    <x v="143"/>
    <s v="State-34"/>
    <x v="17"/>
    <m/>
    <m/>
    <n v="1074"/>
  </r>
  <r>
    <x v="28"/>
    <x v="144"/>
    <s v="State-35"/>
    <x v="0"/>
    <m/>
    <m/>
    <n v="16299"/>
  </r>
  <r>
    <x v="28"/>
    <x v="144"/>
    <s v="State-35"/>
    <x v="234"/>
    <s v="99"/>
    <s v="Republican"/>
    <n v="8018"/>
  </r>
  <r>
    <x v="28"/>
    <x v="144"/>
    <s v="State-35"/>
    <x v="235"/>
    <s v="98"/>
    <s v="Democratic"/>
    <n v="7709"/>
  </r>
  <r>
    <x v="28"/>
    <x v="144"/>
    <s v="State-35"/>
    <x v="16"/>
    <m/>
    <m/>
    <n v="1"/>
  </r>
  <r>
    <x v="28"/>
    <x v="144"/>
    <s v="State-35"/>
    <x v="17"/>
    <m/>
    <m/>
    <n v="571"/>
  </r>
  <r>
    <x v="28"/>
    <x v="34"/>
    <s v="State-36"/>
    <x v="0"/>
    <m/>
    <m/>
    <n v="11193"/>
  </r>
  <r>
    <x v="28"/>
    <x v="34"/>
    <s v="State-36"/>
    <x v="79"/>
    <s v="100"/>
    <s v="Republican"/>
    <n v="7600"/>
  </r>
  <r>
    <x v="28"/>
    <x v="34"/>
    <s v="State-36"/>
    <x v="16"/>
    <m/>
    <m/>
    <n v="0"/>
  </r>
  <r>
    <x v="28"/>
    <x v="34"/>
    <s v="State-36"/>
    <x v="17"/>
    <m/>
    <m/>
    <n v="3593"/>
  </r>
  <r>
    <x v="28"/>
    <x v="35"/>
    <s v="State-37"/>
    <x v="0"/>
    <m/>
    <m/>
    <n v="17921"/>
  </r>
  <r>
    <x v="28"/>
    <x v="35"/>
    <s v="State-37"/>
    <x v="80"/>
    <s v="102"/>
    <s v="Republican"/>
    <n v="12312"/>
  </r>
  <r>
    <x v="28"/>
    <x v="35"/>
    <s v="State-37"/>
    <x v="81"/>
    <s v="101"/>
    <s v="Democratic"/>
    <n v="4704"/>
  </r>
  <r>
    <x v="28"/>
    <x v="35"/>
    <s v="State-37"/>
    <x v="16"/>
    <m/>
    <m/>
    <n v="4"/>
  </r>
  <r>
    <x v="28"/>
    <x v="35"/>
    <s v="State-37"/>
    <x v="17"/>
    <m/>
    <m/>
    <n v="901"/>
  </r>
  <r>
    <x v="28"/>
    <x v="44"/>
    <s v="State-101"/>
    <x v="0"/>
    <m/>
    <m/>
    <n v="17835"/>
  </r>
  <r>
    <x v="28"/>
    <x v="44"/>
    <s v="State-101"/>
    <x v="98"/>
    <s v="217"/>
    <s v="Republican"/>
    <n v="10537"/>
  </r>
  <r>
    <x v="28"/>
    <x v="44"/>
    <s v="State-101"/>
    <x v="99"/>
    <s v="218"/>
    <s v="Utah Forward"/>
    <n v="5077"/>
  </r>
  <r>
    <x v="28"/>
    <x v="44"/>
    <s v="State-101"/>
    <x v="16"/>
    <m/>
    <m/>
    <n v="0"/>
  </r>
  <r>
    <x v="28"/>
    <x v="44"/>
    <s v="State-101"/>
    <x v="17"/>
    <m/>
    <m/>
    <n v="2221"/>
  </r>
  <r>
    <x v="28"/>
    <x v="8"/>
    <s v="State-109"/>
    <x v="0"/>
    <m/>
    <m/>
    <n v="114611"/>
  </r>
  <r>
    <x v="28"/>
    <x v="8"/>
    <s v="State-109"/>
    <x v="46"/>
    <s v="232"/>
    <m/>
    <n v="70131"/>
  </r>
  <r>
    <x v="28"/>
    <x v="8"/>
    <s v="State-109"/>
    <x v="47"/>
    <s v="231"/>
    <m/>
    <n v="21721"/>
  </r>
  <r>
    <x v="28"/>
    <x v="8"/>
    <s v="State-109"/>
    <x v="16"/>
    <m/>
    <m/>
    <n v="9"/>
  </r>
  <r>
    <x v="28"/>
    <x v="8"/>
    <s v="State-109"/>
    <x v="17"/>
    <m/>
    <m/>
    <n v="22750"/>
  </r>
  <r>
    <x v="28"/>
    <x v="9"/>
    <s v="State-110"/>
    <x v="0"/>
    <m/>
    <m/>
    <n v="114611"/>
  </r>
  <r>
    <x v="28"/>
    <x v="9"/>
    <s v="State-110"/>
    <x v="46"/>
    <s v="233"/>
    <m/>
    <n v="69413"/>
  </r>
  <r>
    <x v="28"/>
    <x v="9"/>
    <s v="State-110"/>
    <x v="47"/>
    <s v="234"/>
    <m/>
    <n v="21235"/>
  </r>
  <r>
    <x v="28"/>
    <x v="9"/>
    <s v="State-110"/>
    <x v="16"/>
    <m/>
    <m/>
    <n v="13"/>
  </r>
  <r>
    <x v="28"/>
    <x v="9"/>
    <s v="State-110"/>
    <x v="17"/>
    <m/>
    <m/>
    <n v="23950"/>
  </r>
  <r>
    <x v="28"/>
    <x v="45"/>
    <s v="State-113"/>
    <x v="0"/>
    <m/>
    <m/>
    <n v="114611"/>
  </r>
  <r>
    <x v="28"/>
    <x v="45"/>
    <s v="State-113"/>
    <x v="46"/>
    <s v="239"/>
    <m/>
    <n v="68291"/>
  </r>
  <r>
    <x v="28"/>
    <x v="45"/>
    <s v="State-113"/>
    <x v="47"/>
    <s v="240"/>
    <m/>
    <n v="22298"/>
  </r>
  <r>
    <x v="28"/>
    <x v="45"/>
    <s v="State-113"/>
    <x v="16"/>
    <m/>
    <m/>
    <n v="21"/>
  </r>
  <r>
    <x v="28"/>
    <x v="45"/>
    <s v="State-113"/>
    <x v="17"/>
    <m/>
    <m/>
    <n v="24001"/>
  </r>
  <r>
    <x v="28"/>
    <x v="46"/>
    <s v="State-114"/>
    <x v="0"/>
    <m/>
    <m/>
    <n v="114611"/>
  </r>
  <r>
    <x v="28"/>
    <x v="46"/>
    <s v="State-114"/>
    <x v="46"/>
    <s v="242"/>
    <m/>
    <n v="67368"/>
  </r>
  <r>
    <x v="28"/>
    <x v="46"/>
    <s v="State-114"/>
    <x v="47"/>
    <s v="241"/>
    <m/>
    <n v="22815"/>
  </r>
  <r>
    <x v="28"/>
    <x v="46"/>
    <s v="State-114"/>
    <x v="16"/>
    <m/>
    <m/>
    <n v="12"/>
  </r>
  <r>
    <x v="28"/>
    <x v="46"/>
    <s v="State-114"/>
    <x v="17"/>
    <m/>
    <m/>
    <n v="24416"/>
  </r>
  <r>
    <x v="28"/>
    <x v="47"/>
    <s v="State-115"/>
    <x v="0"/>
    <m/>
    <m/>
    <n v="114611"/>
  </r>
  <r>
    <x v="28"/>
    <x v="47"/>
    <s v="State-115"/>
    <x v="46"/>
    <s v="244"/>
    <m/>
    <n v="69669"/>
  </r>
  <r>
    <x v="28"/>
    <x v="47"/>
    <s v="State-115"/>
    <x v="47"/>
    <s v="243"/>
    <m/>
    <n v="21670"/>
  </r>
  <r>
    <x v="28"/>
    <x v="47"/>
    <s v="State-115"/>
    <x v="16"/>
    <m/>
    <m/>
    <n v="12"/>
  </r>
  <r>
    <x v="28"/>
    <x v="47"/>
    <s v="State-115"/>
    <x v="17"/>
    <m/>
    <m/>
    <n v="23260"/>
  </r>
  <r>
    <x v="28"/>
    <x v="48"/>
    <s v="State-116"/>
    <x v="0"/>
    <m/>
    <m/>
    <n v="114611"/>
  </r>
  <r>
    <x v="28"/>
    <x v="48"/>
    <s v="State-116"/>
    <x v="46"/>
    <s v="245"/>
    <m/>
    <n v="70492"/>
  </r>
  <r>
    <x v="28"/>
    <x v="48"/>
    <s v="State-116"/>
    <x v="47"/>
    <s v="246"/>
    <m/>
    <n v="20223"/>
  </r>
  <r>
    <x v="28"/>
    <x v="48"/>
    <s v="State-116"/>
    <x v="16"/>
    <m/>
    <m/>
    <n v="16"/>
  </r>
  <r>
    <x v="28"/>
    <x v="48"/>
    <s v="State-116"/>
    <x v="17"/>
    <m/>
    <m/>
    <n v="23880"/>
  </r>
  <r>
    <x v="28"/>
    <x v="49"/>
    <s v="State-117"/>
    <x v="0"/>
    <m/>
    <m/>
    <n v="114611"/>
  </r>
  <r>
    <x v="28"/>
    <x v="49"/>
    <s v="State-117"/>
    <x v="46"/>
    <s v="247"/>
    <m/>
    <n v="71916"/>
  </r>
  <r>
    <x v="28"/>
    <x v="49"/>
    <s v="State-117"/>
    <x v="47"/>
    <s v="248"/>
    <m/>
    <n v="19145"/>
  </r>
  <r>
    <x v="28"/>
    <x v="49"/>
    <s v="State-117"/>
    <x v="16"/>
    <m/>
    <m/>
    <n v="10"/>
  </r>
  <r>
    <x v="28"/>
    <x v="49"/>
    <s v="State-117"/>
    <x v="17"/>
    <m/>
    <m/>
    <n v="23540"/>
  </r>
  <r>
    <x v="28"/>
    <x v="50"/>
    <s v="State-137"/>
    <x v="0"/>
    <m/>
    <m/>
    <n v="114611"/>
  </r>
  <r>
    <x v="28"/>
    <x v="50"/>
    <s v="State-137"/>
    <x v="46"/>
    <s v="288"/>
    <m/>
    <n v="70645"/>
  </r>
  <r>
    <x v="28"/>
    <x v="50"/>
    <s v="State-137"/>
    <x v="47"/>
    <s v="287"/>
    <m/>
    <n v="20384"/>
  </r>
  <r>
    <x v="28"/>
    <x v="50"/>
    <s v="State-137"/>
    <x v="16"/>
    <m/>
    <m/>
    <n v="7"/>
  </r>
  <r>
    <x v="28"/>
    <x v="50"/>
    <s v="State-137"/>
    <x v="17"/>
    <m/>
    <m/>
    <n v="23575"/>
  </r>
  <r>
    <x v="28"/>
    <x v="12"/>
    <s v="State-145"/>
    <x v="0"/>
    <m/>
    <m/>
    <n v="114611"/>
  </r>
  <r>
    <x v="28"/>
    <x v="12"/>
    <s v="State-145"/>
    <x v="48"/>
    <s v="303"/>
    <m/>
    <n v="71505"/>
  </r>
  <r>
    <x v="28"/>
    <x v="12"/>
    <s v="State-145"/>
    <x v="49"/>
    <s v="304"/>
    <m/>
    <n v="33988"/>
  </r>
  <r>
    <x v="28"/>
    <x v="12"/>
    <s v="State-145"/>
    <x v="16"/>
    <m/>
    <m/>
    <n v="34"/>
  </r>
  <r>
    <x v="28"/>
    <x v="12"/>
    <s v="State-145"/>
    <x v="17"/>
    <m/>
    <m/>
    <n v="9084"/>
  </r>
  <r>
    <x v="28"/>
    <x v="13"/>
    <s v="State-146"/>
    <x v="0"/>
    <m/>
    <m/>
    <n v="114611"/>
  </r>
  <r>
    <x v="28"/>
    <x v="13"/>
    <s v="State-146"/>
    <x v="48"/>
    <s v="305"/>
    <m/>
    <n v="88051"/>
  </r>
  <r>
    <x v="28"/>
    <x v="13"/>
    <s v="State-146"/>
    <x v="49"/>
    <s v="306"/>
    <m/>
    <n v="17747"/>
  </r>
  <r>
    <x v="28"/>
    <x v="13"/>
    <s v="State-146"/>
    <x v="16"/>
    <m/>
    <m/>
    <n v="25"/>
  </r>
  <r>
    <x v="28"/>
    <x v="13"/>
    <s v="State-146"/>
    <x v="17"/>
    <m/>
    <m/>
    <n v="87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DA3FA-BE9E-8347-A687-279A67C92318}" name="PivotTable8" cacheId="5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S33" firstHeaderRow="1" firstDataRow="2" firstDataCol="1" rowPageCount="1" colPageCount="1"/>
  <pivotFields count="7"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Page" multipleItemSelectionAllowed="1" showAll="0">
      <items count="146">
        <item h="1" x="4"/>
        <item h="1" x="12"/>
        <item h="1" x="13"/>
        <item h="1" x="3"/>
        <item h="1" x="114"/>
        <item h="1" x="17"/>
        <item h="1" x="64"/>
        <item h="1" x="19"/>
        <item h="1" x="59"/>
        <item h="1" x="46"/>
        <item h="1" x="47"/>
        <item h="1" x="62"/>
        <item h="1" x="63"/>
        <item h="1" x="115"/>
        <item h="1" x="30"/>
        <item h="1" x="105"/>
        <item h="1" x="106"/>
        <item h="1" x="31"/>
        <item h="1" x="60"/>
        <item h="1" x="27"/>
        <item h="1" x="45"/>
        <item h="1" x="110"/>
        <item h="1" x="10"/>
        <item h="1" x="108"/>
        <item h="1" x="111"/>
        <item h="1" x="107"/>
        <item h="1" x="8"/>
        <item h="1" x="50"/>
        <item h="1" x="11"/>
        <item h="1" x="113"/>
        <item h="1" x="58"/>
        <item h="1" x="48"/>
        <item h="1" x="9"/>
        <item h="1" x="61"/>
        <item h="1" x="18"/>
        <item h="1" x="49"/>
        <item h="1" x="112"/>
        <item h="1" x="116"/>
        <item h="1" x="109"/>
        <item h="1" x="5"/>
        <item h="1" x="15"/>
        <item h="1" x="144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21"/>
        <item h="1" x="43"/>
        <item h="1" x="74"/>
        <item h="1" x="75"/>
        <item h="1" x="76"/>
        <item h="1" x="77"/>
        <item h="1" x="78"/>
        <item h="1" x="79"/>
        <item h="1" x="80"/>
        <item h="1" x="118"/>
        <item h="1" x="56"/>
        <item h="1" x="22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66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23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17"/>
        <item h="1" x="16"/>
        <item h="1" x="130"/>
        <item h="1" x="131"/>
        <item h="1" x="132"/>
        <item h="1" x="133"/>
        <item h="1" x="134"/>
        <item h="1" x="135"/>
        <item h="1" x="57"/>
        <item h="1" x="26"/>
        <item h="1" x="28"/>
        <item h="1" x="51"/>
        <item h="1" x="142"/>
        <item h="1" x="7"/>
        <item h="1" x="54"/>
        <item h="1" x="138"/>
        <item h="1" x="139"/>
        <item h="1" x="140"/>
        <item h="1" x="141"/>
        <item h="1" x="67"/>
        <item h="1" x="143"/>
        <item h="1" x="104"/>
        <item h="1" x="29"/>
        <item h="1" x="136"/>
        <item h="1" x="53"/>
        <item h="1" x="44"/>
        <item h="1" x="101"/>
        <item h="1" x="102"/>
        <item h="1" x="103"/>
        <item h="1" x="68"/>
        <item h="1" x="69"/>
        <item h="1" x="70"/>
        <item h="1" x="71"/>
        <item h="1" x="72"/>
        <item h="1" x="20"/>
        <item h="1" x="73"/>
        <item h="1" x="119"/>
        <item h="1" x="120"/>
        <item h="1" x="25"/>
        <item h="1" x="52"/>
        <item h="1" x="137"/>
        <item h="1" x="65"/>
        <item h="1" x="32"/>
        <item h="1" x="33"/>
        <item h="1" x="6"/>
        <item h="1" x="14"/>
        <item h="1" x="2"/>
        <item h="1" x="24"/>
        <item h="1" x="55"/>
        <item x="0"/>
        <item h="1" x="1"/>
        <item t="default"/>
      </items>
    </pivotField>
    <pivotField showAll="0"/>
    <pivotField axis="axisCol" showAll="0">
      <items count="237">
        <item x="76"/>
        <item x="90"/>
        <item x="49"/>
        <item x="198"/>
        <item x="209"/>
        <item x="204"/>
        <item x="78"/>
        <item x="187"/>
        <item x="56"/>
        <item x="13"/>
        <item x="164"/>
        <item x="231"/>
        <item x="137"/>
        <item x="142"/>
        <item x="86"/>
        <item x="158"/>
        <item x="36"/>
        <item x="0"/>
        <item x="50"/>
        <item x="146"/>
        <item x="52"/>
        <item x="205"/>
        <item x="28"/>
        <item x="110"/>
        <item x="15"/>
        <item x="109"/>
        <item x="134"/>
        <item x="176"/>
        <item x="74"/>
        <item x="95"/>
        <item x="182"/>
        <item x="44"/>
        <item x="18"/>
        <item x="183"/>
        <item x="153"/>
        <item x="20"/>
        <item x="63"/>
        <item x="23"/>
        <item x="40"/>
        <item x="24"/>
        <item x="32"/>
        <item x="6"/>
        <item x="159"/>
        <item x="57"/>
        <item x="70"/>
        <item x="53"/>
        <item x="8"/>
        <item x="169"/>
        <item x="72"/>
        <item x="226"/>
        <item x="67"/>
        <item x="1"/>
        <item x="201"/>
        <item x="51"/>
        <item x="129"/>
        <item x="68"/>
        <item x="178"/>
        <item x="211"/>
        <item x="101"/>
        <item x="141"/>
        <item x="190"/>
        <item x="223"/>
        <item x="151"/>
        <item x="33"/>
        <item x="102"/>
        <item x="184"/>
        <item x="224"/>
        <item x="5"/>
        <item x="180"/>
        <item x="150"/>
        <item x="220"/>
        <item x="48"/>
        <item x="143"/>
        <item x="193"/>
        <item x="9"/>
        <item x="166"/>
        <item x="65"/>
        <item x="136"/>
        <item x="172"/>
        <item x="128"/>
        <item x="135"/>
        <item x="29"/>
        <item x="232"/>
        <item x="144"/>
        <item x="233"/>
        <item x="117"/>
        <item x="62"/>
        <item x="73"/>
        <item x="170"/>
        <item x="11"/>
        <item x="139"/>
        <item x="218"/>
        <item x="200"/>
        <item x="39"/>
        <item x="132"/>
        <item x="161"/>
        <item x="234"/>
        <item x="4"/>
        <item x="156"/>
        <item x="103"/>
        <item x="69"/>
        <item x="3"/>
        <item x="186"/>
        <item x="19"/>
        <item x="114"/>
        <item x="163"/>
        <item x="206"/>
        <item x="173"/>
        <item x="225"/>
        <item x="221"/>
        <item x="85"/>
        <item x="229"/>
        <item x="210"/>
        <item x="120"/>
        <item x="191"/>
        <item x="7"/>
        <item x="121"/>
        <item x="83"/>
        <item x="84"/>
        <item x="152"/>
        <item x="123"/>
        <item x="108"/>
        <item x="79"/>
        <item x="203"/>
        <item x="162"/>
        <item x="115"/>
        <item x="195"/>
        <item x="214"/>
        <item x="116"/>
        <item x="118"/>
        <item x="21"/>
        <item x="77"/>
        <item x="99"/>
        <item x="97"/>
        <item x="127"/>
        <item x="213"/>
        <item x="100"/>
        <item x="196"/>
        <item x="82"/>
        <item x="2"/>
        <item x="119"/>
        <item x="133"/>
        <item x="106"/>
        <item x="177"/>
        <item x="217"/>
        <item x="42"/>
        <item x="189"/>
        <item x="140"/>
        <item x="55"/>
        <item x="96"/>
        <item x="60"/>
        <item x="202"/>
        <item x="37"/>
        <item x="154"/>
        <item x="64"/>
        <item x="192"/>
        <item x="197"/>
        <item x="80"/>
        <item x="41"/>
        <item x="185"/>
        <item x="124"/>
        <item x="58"/>
        <item x="22"/>
        <item x="43"/>
        <item x="208"/>
        <item x="194"/>
        <item x="94"/>
        <item x="47"/>
        <item x="215"/>
        <item x="66"/>
        <item x="16"/>
        <item x="126"/>
        <item x="61"/>
        <item x="91"/>
        <item x="157"/>
        <item x="10"/>
        <item x="31"/>
        <item x="227"/>
        <item x="222"/>
        <item x="93"/>
        <item x="105"/>
        <item x="138"/>
        <item x="219"/>
        <item x="98"/>
        <item x="111"/>
        <item x="155"/>
        <item x="235"/>
        <item x="167"/>
        <item x="34"/>
        <item x="230"/>
        <item x="148"/>
        <item x="181"/>
        <item x="130"/>
        <item x="174"/>
        <item x="147"/>
        <item x="122"/>
        <item x="71"/>
        <item x="81"/>
        <item x="149"/>
        <item x="14"/>
        <item x="26"/>
        <item x="113"/>
        <item x="199"/>
        <item x="179"/>
        <item x="216"/>
        <item x="171"/>
        <item x="131"/>
        <item x="92"/>
        <item x="12"/>
        <item x="104"/>
        <item x="160"/>
        <item x="89"/>
        <item x="54"/>
        <item x="38"/>
        <item x="75"/>
        <item x="59"/>
        <item x="30"/>
        <item x="27"/>
        <item x="175"/>
        <item x="168"/>
        <item x="87"/>
        <item x="112"/>
        <item x="165"/>
        <item x="212"/>
        <item x="25"/>
        <item x="17"/>
        <item x="207"/>
        <item x="107"/>
        <item x="145"/>
        <item x="35"/>
        <item x="228"/>
        <item x="125"/>
        <item x="188"/>
        <item x="46"/>
        <item x="88"/>
        <item x="45"/>
        <item t="default"/>
      </items>
    </pivotField>
    <pivotField showAll="0"/>
    <pivotField showAll="0"/>
    <pivotField dataField="1"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</rowItems>
  <colFields count="1">
    <field x="3"/>
  </colFields>
  <colItems count="18">
    <i>
      <x v="9"/>
    </i>
    <i>
      <x v="17"/>
    </i>
    <i>
      <x v="24"/>
    </i>
    <i>
      <x v="41"/>
    </i>
    <i>
      <x v="46"/>
    </i>
    <i>
      <x v="51"/>
    </i>
    <i>
      <x v="67"/>
    </i>
    <i>
      <x v="74"/>
    </i>
    <i>
      <x v="89"/>
    </i>
    <i>
      <x v="97"/>
    </i>
    <i>
      <x v="101"/>
    </i>
    <i>
      <x v="115"/>
    </i>
    <i>
      <x v="139"/>
    </i>
    <i>
      <x v="170"/>
    </i>
    <i>
      <x v="175"/>
    </i>
    <i>
      <x v="199"/>
    </i>
    <i>
      <x v="208"/>
    </i>
    <i>
      <x v="225"/>
    </i>
  </colItems>
  <pageFields count="1">
    <pageField fld="1" hier="-1"/>
  </pageFields>
  <dataFields count="1">
    <dataField name="Sum of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5102E-7E7E-A747-8AA9-60741DF3D6A2}" name="Table1" displayName="Table1" ref="A1:G3713" totalsRowShown="0" headerRowDxfId="0">
  <autoFilter ref="A1:G3713" xr:uid="{7CD5102E-7E7E-A747-8AA9-60741DF3D6A2}"/>
  <tableColumns count="7">
    <tableColumn id="1" xr3:uid="{4179B0B9-5B4C-5344-AB71-DD235AC06CD3}" name="Precinct"/>
    <tableColumn id="2" xr3:uid="{FFF381CC-392D-3D41-88CF-D59897C1312F}" name="Office Name"/>
    <tableColumn id="3" xr3:uid="{8070BB54-4E05-1247-9773-FEDA5B2A0E2A}" name="Contest ID"/>
    <tableColumn id="4" xr3:uid="{C214B0EC-B4ED-6A47-8FAE-022B2CE01335}" name="Ballot Name"/>
    <tableColumn id="5" xr3:uid="{5612D455-CEF3-CD48-9B7B-7D36EEAC0CFD}" name="Choice ID"/>
    <tableColumn id="6" xr3:uid="{50030CC6-8F39-414D-8B27-2B4E202A2C82}" name="Party"/>
    <tableColumn id="7" xr3:uid="{CA46DDE5-C0AB-9E4F-84A8-32E5D3C1EADD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E92B-ED8A-E64D-AF9A-90BB5D5D0B69}">
  <dimension ref="A1:S33"/>
  <sheetViews>
    <sheetView topLeftCell="G1" workbookViewId="0">
      <selection activeCell="D26" sqref="D26"/>
    </sheetView>
  </sheetViews>
  <sheetFormatPr baseColWidth="10" defaultRowHeight="15" x14ac:dyDescent="0.2"/>
  <cols>
    <col min="1" max="1" width="16.33203125" bestFit="1" customWidth="1"/>
    <col min="2" max="2" width="19.83203125" bestFit="1" customWidth="1"/>
    <col min="3" max="3" width="9.83203125" bestFit="1" customWidth="1"/>
    <col min="4" max="4" width="22.33203125" bestFit="1" customWidth="1"/>
    <col min="5" max="5" width="26" bestFit="1" customWidth="1"/>
    <col min="6" max="6" width="41.6640625" bestFit="1" customWidth="1"/>
    <col min="7" max="7" width="35.6640625" bestFit="1" customWidth="1"/>
    <col min="8" max="8" width="24.6640625" bestFit="1" customWidth="1"/>
    <col min="9" max="9" width="19.6640625" bestFit="1" customWidth="1"/>
    <col min="10" max="10" width="27.33203125" bestFit="1" customWidth="1"/>
    <col min="11" max="11" width="22.83203125" bestFit="1" customWidth="1"/>
    <col min="12" max="12" width="22.33203125" bestFit="1" customWidth="1"/>
    <col min="13" max="13" width="25.83203125" bestFit="1" customWidth="1"/>
    <col min="14" max="14" width="28.33203125" bestFit="1" customWidth="1"/>
    <col min="15" max="15" width="14" bestFit="1" customWidth="1"/>
    <col min="16" max="16" width="32.6640625" bestFit="1" customWidth="1"/>
    <col min="17" max="17" width="21.6640625" bestFit="1" customWidth="1"/>
    <col min="18" max="18" width="15.83203125" bestFit="1" customWidth="1"/>
    <col min="19" max="19" width="15.1640625" bestFit="1" customWidth="1"/>
    <col min="20" max="20" width="22.83203125" bestFit="1" customWidth="1"/>
    <col min="21" max="21" width="11.5" bestFit="1" customWidth="1"/>
    <col min="22" max="22" width="22.33203125" bestFit="1" customWidth="1"/>
    <col min="23" max="23" width="11.5" bestFit="1" customWidth="1"/>
    <col min="24" max="24" width="25.83203125" bestFit="1" customWidth="1"/>
    <col min="25" max="25" width="11.5" bestFit="1" customWidth="1"/>
    <col min="26" max="26" width="28.33203125" bestFit="1" customWidth="1"/>
    <col min="27" max="27" width="11.5" bestFit="1" customWidth="1"/>
    <col min="28" max="28" width="14" bestFit="1" customWidth="1"/>
    <col min="29" max="29" width="11.5" bestFit="1" customWidth="1"/>
    <col min="30" max="30" width="32.6640625" bestFit="1" customWidth="1"/>
    <col min="31" max="31" width="11.5" bestFit="1" customWidth="1"/>
    <col min="32" max="32" width="21.6640625" bestFit="1" customWidth="1"/>
    <col min="33" max="33" width="11.5" bestFit="1" customWidth="1"/>
    <col min="34" max="34" width="15.83203125" bestFit="1" customWidth="1"/>
    <col min="35" max="35" width="11.5" bestFit="1" customWidth="1"/>
    <col min="36" max="36" width="15.1640625" bestFit="1" customWidth="1"/>
    <col min="37" max="37" width="11.5" bestFit="1" customWidth="1"/>
    <col min="38" max="38" width="14.6640625" bestFit="1" customWidth="1"/>
    <col min="39" max="39" width="15.6640625" bestFit="1" customWidth="1"/>
  </cols>
  <sheetData>
    <row r="1" spans="1:19" x14ac:dyDescent="0.2">
      <c r="A1" s="2" t="s">
        <v>0</v>
      </c>
      <c r="B1" t="s">
        <v>6</v>
      </c>
    </row>
    <row r="3" spans="1:19" x14ac:dyDescent="0.2">
      <c r="A3" s="2" t="s">
        <v>876</v>
      </c>
      <c r="B3" s="2" t="s">
        <v>875</v>
      </c>
    </row>
    <row r="4" spans="1:19" x14ac:dyDescent="0.2">
      <c r="A4" s="2" t="s">
        <v>874</v>
      </c>
      <c r="B4" t="s">
        <v>39</v>
      </c>
      <c r="C4" t="s">
        <v>8</v>
      </c>
      <c r="D4" t="s">
        <v>43</v>
      </c>
      <c r="E4" t="s">
        <v>23</v>
      </c>
      <c r="F4" t="s">
        <v>29</v>
      </c>
      <c r="G4" t="s">
        <v>9</v>
      </c>
      <c r="H4" t="s">
        <v>20</v>
      </c>
      <c r="I4" t="s">
        <v>31</v>
      </c>
      <c r="J4" t="s">
        <v>35</v>
      </c>
      <c r="K4" t="s">
        <v>17</v>
      </c>
      <c r="L4" t="s">
        <v>14</v>
      </c>
      <c r="M4" t="s">
        <v>26</v>
      </c>
      <c r="N4" t="s">
        <v>12</v>
      </c>
      <c r="O4" t="s">
        <v>45</v>
      </c>
      <c r="P4" t="s">
        <v>33</v>
      </c>
      <c r="Q4" t="s">
        <v>41</v>
      </c>
      <c r="R4" t="s">
        <v>37</v>
      </c>
      <c r="S4" t="s">
        <v>46</v>
      </c>
    </row>
    <row r="5" spans="1:19" x14ac:dyDescent="0.2">
      <c r="A5" s="3" t="s">
        <v>845</v>
      </c>
      <c r="B5" s="4">
        <v>0</v>
      </c>
      <c r="C5" s="4">
        <v>0</v>
      </c>
      <c r="D5" s="4">
        <v>0</v>
      </c>
      <c r="E5" s="4">
        <v>10</v>
      </c>
      <c r="F5" s="4">
        <v>4</v>
      </c>
      <c r="G5" s="4">
        <v>0</v>
      </c>
      <c r="H5" s="4">
        <v>2781</v>
      </c>
      <c r="I5" s="4">
        <v>0</v>
      </c>
      <c r="J5" s="4">
        <v>0</v>
      </c>
      <c r="K5" s="4">
        <v>8</v>
      </c>
      <c r="L5" s="4">
        <v>14</v>
      </c>
      <c r="M5" s="4">
        <v>394</v>
      </c>
      <c r="N5" s="4">
        <v>1</v>
      </c>
      <c r="O5" s="4">
        <v>0</v>
      </c>
      <c r="P5" s="4">
        <v>0</v>
      </c>
      <c r="Q5" s="4">
        <v>0</v>
      </c>
      <c r="R5" s="4">
        <v>0</v>
      </c>
      <c r="S5" s="4">
        <v>0</v>
      </c>
    </row>
    <row r="6" spans="1:19" x14ac:dyDescent="0.2">
      <c r="A6" s="3" t="s">
        <v>846</v>
      </c>
      <c r="B6" s="4">
        <v>0</v>
      </c>
      <c r="C6" s="4">
        <v>29668</v>
      </c>
      <c r="D6" s="4">
        <v>0</v>
      </c>
      <c r="E6" s="4">
        <v>342</v>
      </c>
      <c r="F6" s="4">
        <v>44</v>
      </c>
      <c r="G6" s="4">
        <v>32</v>
      </c>
      <c r="H6" s="4">
        <v>22853</v>
      </c>
      <c r="I6" s="4">
        <v>0</v>
      </c>
      <c r="J6" s="4">
        <v>1</v>
      </c>
      <c r="K6" s="4">
        <v>119</v>
      </c>
      <c r="L6" s="4">
        <v>196</v>
      </c>
      <c r="M6" s="4">
        <v>5274</v>
      </c>
      <c r="N6" s="4">
        <v>49</v>
      </c>
      <c r="O6" s="4">
        <v>15</v>
      </c>
      <c r="P6" s="4">
        <v>10</v>
      </c>
      <c r="Q6" s="4">
        <v>0</v>
      </c>
      <c r="R6" s="4">
        <v>0</v>
      </c>
      <c r="S6" s="4">
        <v>321</v>
      </c>
    </row>
    <row r="7" spans="1:19" x14ac:dyDescent="0.2">
      <c r="A7" s="3" t="s">
        <v>847</v>
      </c>
      <c r="B7" s="4">
        <v>0</v>
      </c>
      <c r="C7" s="4">
        <v>62148</v>
      </c>
      <c r="D7" s="4">
        <v>0</v>
      </c>
      <c r="E7" s="4">
        <v>885</v>
      </c>
      <c r="F7" s="4">
        <v>119</v>
      </c>
      <c r="G7" s="4">
        <v>94</v>
      </c>
      <c r="H7" s="4">
        <v>39457</v>
      </c>
      <c r="I7" s="4">
        <v>0</v>
      </c>
      <c r="J7" s="4">
        <v>1</v>
      </c>
      <c r="K7" s="4">
        <v>343</v>
      </c>
      <c r="L7" s="4">
        <v>506</v>
      </c>
      <c r="M7" s="4">
        <v>18718</v>
      </c>
      <c r="N7" s="4">
        <v>107</v>
      </c>
      <c r="O7" s="4">
        <v>29</v>
      </c>
      <c r="P7" s="4">
        <v>28</v>
      </c>
      <c r="Q7" s="4">
        <v>0</v>
      </c>
      <c r="R7" s="4">
        <v>0</v>
      </c>
      <c r="S7" s="4">
        <v>731</v>
      </c>
    </row>
    <row r="8" spans="1:19" x14ac:dyDescent="0.2">
      <c r="A8" s="3" t="s">
        <v>848</v>
      </c>
      <c r="B8" s="4">
        <v>0</v>
      </c>
      <c r="C8" s="4">
        <v>9610</v>
      </c>
      <c r="D8" s="4">
        <v>0</v>
      </c>
      <c r="E8" s="4">
        <v>90</v>
      </c>
      <c r="F8" s="4">
        <v>14</v>
      </c>
      <c r="G8" s="4">
        <v>8</v>
      </c>
      <c r="H8" s="4">
        <v>6719</v>
      </c>
      <c r="I8" s="4">
        <v>0</v>
      </c>
      <c r="J8" s="4">
        <v>0</v>
      </c>
      <c r="K8" s="4">
        <v>38</v>
      </c>
      <c r="L8" s="4">
        <v>32</v>
      </c>
      <c r="M8" s="4">
        <v>2525</v>
      </c>
      <c r="N8" s="4">
        <v>19</v>
      </c>
      <c r="O8" s="4">
        <v>2</v>
      </c>
      <c r="P8" s="4">
        <v>0</v>
      </c>
      <c r="Q8" s="4">
        <v>0</v>
      </c>
      <c r="R8" s="4">
        <v>0</v>
      </c>
      <c r="S8" s="4">
        <v>81</v>
      </c>
    </row>
    <row r="9" spans="1:19" x14ac:dyDescent="0.2">
      <c r="A9" s="3" t="s">
        <v>849</v>
      </c>
      <c r="B9" s="4">
        <v>0</v>
      </c>
      <c r="C9" s="4">
        <v>557</v>
      </c>
      <c r="D9" s="4">
        <v>0</v>
      </c>
      <c r="E9" s="4">
        <v>2</v>
      </c>
      <c r="F9" s="4">
        <v>0</v>
      </c>
      <c r="G9" s="4">
        <v>1</v>
      </c>
      <c r="H9" s="4">
        <v>443</v>
      </c>
      <c r="I9" s="4">
        <v>0</v>
      </c>
      <c r="J9" s="4">
        <v>0</v>
      </c>
      <c r="K9" s="4">
        <v>2</v>
      </c>
      <c r="L9" s="4">
        <v>1</v>
      </c>
      <c r="M9" s="4">
        <v>101</v>
      </c>
      <c r="N9" s="4">
        <v>0</v>
      </c>
      <c r="O9" s="4">
        <v>1</v>
      </c>
      <c r="P9" s="4">
        <v>0</v>
      </c>
      <c r="Q9" s="4">
        <v>0</v>
      </c>
      <c r="R9" s="4">
        <v>0</v>
      </c>
      <c r="S9" s="4">
        <v>5</v>
      </c>
    </row>
    <row r="10" spans="1:19" x14ac:dyDescent="0.2">
      <c r="A10" s="3" t="s">
        <v>850</v>
      </c>
      <c r="B10" s="4">
        <v>1</v>
      </c>
      <c r="C10" s="4">
        <v>172869</v>
      </c>
      <c r="D10" s="4">
        <v>0</v>
      </c>
      <c r="E10" s="4">
        <v>2137</v>
      </c>
      <c r="F10" s="4">
        <v>413</v>
      </c>
      <c r="G10" s="4">
        <v>291</v>
      </c>
      <c r="H10" s="4">
        <v>101293</v>
      </c>
      <c r="I10" s="4">
        <v>1</v>
      </c>
      <c r="J10" s="4">
        <v>18</v>
      </c>
      <c r="K10" s="4">
        <v>890</v>
      </c>
      <c r="L10" s="4">
        <v>1208</v>
      </c>
      <c r="M10" s="4">
        <v>59895</v>
      </c>
      <c r="N10" s="4">
        <v>365</v>
      </c>
      <c r="O10" s="4">
        <v>51</v>
      </c>
      <c r="P10" s="4">
        <v>58</v>
      </c>
      <c r="Q10" s="4">
        <v>0</v>
      </c>
      <c r="R10" s="4">
        <v>0</v>
      </c>
      <c r="S10" s="4">
        <v>2202</v>
      </c>
    </row>
    <row r="11" spans="1:19" x14ac:dyDescent="0.2">
      <c r="A11" s="3" t="s">
        <v>851</v>
      </c>
      <c r="B11" s="4">
        <v>0</v>
      </c>
      <c r="C11" s="4">
        <v>9067</v>
      </c>
      <c r="D11" s="4">
        <v>0</v>
      </c>
      <c r="E11" s="4">
        <v>45</v>
      </c>
      <c r="F11" s="4">
        <v>14</v>
      </c>
      <c r="G11" s="4">
        <v>7</v>
      </c>
      <c r="H11" s="4">
        <v>7815</v>
      </c>
      <c r="I11" s="4">
        <v>0</v>
      </c>
      <c r="J11" s="4">
        <v>0</v>
      </c>
      <c r="K11" s="4">
        <v>16</v>
      </c>
      <c r="L11" s="4">
        <v>53</v>
      </c>
      <c r="M11" s="4">
        <v>1009</v>
      </c>
      <c r="N11" s="4">
        <v>8</v>
      </c>
      <c r="O11" s="4">
        <v>2</v>
      </c>
      <c r="P11" s="4">
        <v>1</v>
      </c>
      <c r="Q11" s="4">
        <v>0</v>
      </c>
      <c r="R11" s="4">
        <v>0</v>
      </c>
      <c r="S11" s="4">
        <v>38</v>
      </c>
    </row>
    <row r="12" spans="1:19" x14ac:dyDescent="0.2">
      <c r="A12" s="3" t="s">
        <v>852</v>
      </c>
      <c r="B12" s="4">
        <v>0</v>
      </c>
      <c r="C12" s="4">
        <v>5077</v>
      </c>
      <c r="D12" s="4">
        <v>0</v>
      </c>
      <c r="E12" s="4">
        <v>32</v>
      </c>
      <c r="F12" s="4">
        <v>2</v>
      </c>
      <c r="G12" s="4">
        <v>3</v>
      </c>
      <c r="H12" s="4">
        <v>4341</v>
      </c>
      <c r="I12" s="4">
        <v>0</v>
      </c>
      <c r="J12" s="4">
        <v>0</v>
      </c>
      <c r="K12" s="4">
        <v>8</v>
      </c>
      <c r="L12" s="4">
        <v>17</v>
      </c>
      <c r="M12" s="4">
        <v>603</v>
      </c>
      <c r="N12" s="4">
        <v>5</v>
      </c>
      <c r="O12" s="4">
        <v>3</v>
      </c>
      <c r="P12" s="4">
        <v>0</v>
      </c>
      <c r="Q12" s="4">
        <v>0</v>
      </c>
      <c r="R12" s="4">
        <v>0</v>
      </c>
      <c r="S12" s="4">
        <v>37</v>
      </c>
    </row>
    <row r="13" spans="1:19" x14ac:dyDescent="0.2">
      <c r="A13" s="3" t="s">
        <v>853</v>
      </c>
      <c r="B13" s="4">
        <v>0</v>
      </c>
      <c r="C13" s="4">
        <v>2857</v>
      </c>
      <c r="D13" s="4">
        <v>0</v>
      </c>
      <c r="E13" s="4">
        <v>15</v>
      </c>
      <c r="F13" s="4">
        <v>5</v>
      </c>
      <c r="G13" s="4">
        <v>1</v>
      </c>
      <c r="H13" s="4">
        <v>2211</v>
      </c>
      <c r="I13" s="4">
        <v>0</v>
      </c>
      <c r="J13" s="4">
        <v>0</v>
      </c>
      <c r="K13" s="4">
        <v>17</v>
      </c>
      <c r="L13" s="4">
        <v>18</v>
      </c>
      <c r="M13" s="4">
        <v>541</v>
      </c>
      <c r="N13" s="4">
        <v>3</v>
      </c>
      <c r="O13" s="4">
        <v>0</v>
      </c>
      <c r="P13" s="4">
        <v>0</v>
      </c>
      <c r="Q13" s="4">
        <v>0</v>
      </c>
      <c r="R13" s="4">
        <v>0</v>
      </c>
      <c r="S13" s="4">
        <v>29</v>
      </c>
    </row>
    <row r="14" spans="1:19" x14ac:dyDescent="0.2">
      <c r="A14" s="3" t="s">
        <v>854</v>
      </c>
      <c r="B14" s="4">
        <v>0</v>
      </c>
      <c r="C14" s="4">
        <v>5371</v>
      </c>
      <c r="D14" s="4">
        <v>0</v>
      </c>
      <c r="E14" s="4">
        <v>25</v>
      </c>
      <c r="F14" s="4">
        <v>15</v>
      </c>
      <c r="G14" s="4">
        <v>16</v>
      </c>
      <c r="H14" s="4">
        <v>2327</v>
      </c>
      <c r="I14" s="4">
        <v>0</v>
      </c>
      <c r="J14" s="4">
        <v>0</v>
      </c>
      <c r="K14" s="4">
        <v>49</v>
      </c>
      <c r="L14" s="4">
        <v>20</v>
      </c>
      <c r="M14" s="4">
        <v>2828</v>
      </c>
      <c r="N14" s="4">
        <v>20</v>
      </c>
      <c r="O14" s="4">
        <v>1</v>
      </c>
      <c r="P14" s="4">
        <v>0</v>
      </c>
      <c r="Q14" s="4">
        <v>0</v>
      </c>
      <c r="R14" s="4">
        <v>0</v>
      </c>
      <c r="S14" s="4">
        <v>45</v>
      </c>
    </row>
    <row r="15" spans="1:19" x14ac:dyDescent="0.2">
      <c r="A15" s="3" t="s">
        <v>855</v>
      </c>
      <c r="B15" s="4">
        <v>0</v>
      </c>
      <c r="C15" s="4">
        <v>28457</v>
      </c>
      <c r="D15" s="4">
        <v>0</v>
      </c>
      <c r="E15" s="4">
        <v>275</v>
      </c>
      <c r="F15" s="4">
        <v>35</v>
      </c>
      <c r="G15" s="4">
        <v>31</v>
      </c>
      <c r="H15" s="4">
        <v>21571</v>
      </c>
      <c r="I15" s="4">
        <v>0</v>
      </c>
      <c r="J15" s="4">
        <v>0</v>
      </c>
      <c r="K15" s="4">
        <v>87</v>
      </c>
      <c r="L15" s="4">
        <v>154</v>
      </c>
      <c r="M15" s="4">
        <v>5683</v>
      </c>
      <c r="N15" s="4">
        <v>40</v>
      </c>
      <c r="O15" s="4">
        <v>6</v>
      </c>
      <c r="P15" s="4">
        <v>2</v>
      </c>
      <c r="Q15" s="4">
        <v>0</v>
      </c>
      <c r="R15" s="4">
        <v>0</v>
      </c>
      <c r="S15" s="4">
        <v>285</v>
      </c>
    </row>
    <row r="16" spans="1:19" x14ac:dyDescent="0.2">
      <c r="A16" s="3" t="s">
        <v>856</v>
      </c>
      <c r="B16" s="4">
        <v>0</v>
      </c>
      <c r="C16" s="4">
        <v>6616</v>
      </c>
      <c r="D16" s="4">
        <v>0</v>
      </c>
      <c r="E16" s="4">
        <v>39</v>
      </c>
      <c r="F16" s="4">
        <v>6</v>
      </c>
      <c r="G16" s="4">
        <v>4</v>
      </c>
      <c r="H16" s="4">
        <v>5671</v>
      </c>
      <c r="I16" s="4">
        <v>0</v>
      </c>
      <c r="J16" s="4">
        <v>0</v>
      </c>
      <c r="K16" s="4">
        <v>10</v>
      </c>
      <c r="L16" s="4">
        <v>44</v>
      </c>
      <c r="M16" s="4">
        <v>734</v>
      </c>
      <c r="N16" s="4">
        <v>10</v>
      </c>
      <c r="O16" s="4">
        <v>3</v>
      </c>
      <c r="P16" s="4">
        <v>0</v>
      </c>
      <c r="Q16" s="4">
        <v>0</v>
      </c>
      <c r="R16" s="4">
        <v>0</v>
      </c>
      <c r="S16" s="4">
        <v>35</v>
      </c>
    </row>
    <row r="17" spans="1:19" x14ac:dyDescent="0.2">
      <c r="A17" s="3" t="s">
        <v>857</v>
      </c>
      <c r="B17" s="4">
        <v>0</v>
      </c>
      <c r="C17" s="4">
        <v>4560</v>
      </c>
      <c r="D17" s="4">
        <v>0</v>
      </c>
      <c r="E17" s="4">
        <v>32</v>
      </c>
      <c r="F17" s="4">
        <v>4</v>
      </c>
      <c r="G17" s="4">
        <v>6</v>
      </c>
      <c r="H17" s="4">
        <v>3277</v>
      </c>
      <c r="I17" s="4">
        <v>0</v>
      </c>
      <c r="J17" s="4">
        <v>0</v>
      </c>
      <c r="K17" s="4">
        <v>11</v>
      </c>
      <c r="L17" s="4">
        <v>16</v>
      </c>
      <c r="M17" s="4">
        <v>1137</v>
      </c>
      <c r="N17" s="4">
        <v>3</v>
      </c>
      <c r="O17" s="4">
        <v>2</v>
      </c>
      <c r="P17" s="4">
        <v>2</v>
      </c>
      <c r="Q17" s="4">
        <v>0</v>
      </c>
      <c r="R17" s="4">
        <v>0</v>
      </c>
      <c r="S17" s="4">
        <v>42</v>
      </c>
    </row>
    <row r="18" spans="1:19" x14ac:dyDescent="0.2">
      <c r="A18" s="3" t="s">
        <v>858</v>
      </c>
      <c r="B18" s="4">
        <v>0</v>
      </c>
      <c r="C18" s="4">
        <v>6500</v>
      </c>
      <c r="D18" s="4">
        <v>0</v>
      </c>
      <c r="E18" s="4">
        <v>45</v>
      </c>
      <c r="F18" s="4">
        <v>8</v>
      </c>
      <c r="G18" s="4">
        <v>2</v>
      </c>
      <c r="H18" s="4">
        <v>5558</v>
      </c>
      <c r="I18" s="4">
        <v>0</v>
      </c>
      <c r="J18" s="4">
        <v>1</v>
      </c>
      <c r="K18" s="4">
        <v>8</v>
      </c>
      <c r="L18" s="4">
        <v>42</v>
      </c>
      <c r="M18" s="4">
        <v>713</v>
      </c>
      <c r="N18" s="4">
        <v>9</v>
      </c>
      <c r="O18" s="4">
        <v>1</v>
      </c>
      <c r="P18" s="4">
        <v>1</v>
      </c>
      <c r="Q18" s="4">
        <v>0</v>
      </c>
      <c r="R18" s="4">
        <v>0</v>
      </c>
      <c r="S18" s="4">
        <v>48</v>
      </c>
    </row>
    <row r="19" spans="1:19" x14ac:dyDescent="0.2">
      <c r="A19" s="3" t="s">
        <v>859</v>
      </c>
      <c r="B19" s="4">
        <v>0</v>
      </c>
      <c r="C19" s="4">
        <v>7005</v>
      </c>
      <c r="D19" s="4">
        <v>0</v>
      </c>
      <c r="E19" s="4">
        <v>104</v>
      </c>
      <c r="F19" s="4">
        <v>3</v>
      </c>
      <c r="G19" s="4">
        <v>2</v>
      </c>
      <c r="H19" s="4">
        <v>5300</v>
      </c>
      <c r="I19" s="4">
        <v>0</v>
      </c>
      <c r="J19" s="4">
        <v>0</v>
      </c>
      <c r="K19" s="4">
        <v>22</v>
      </c>
      <c r="L19" s="4">
        <v>60</v>
      </c>
      <c r="M19" s="4">
        <v>1256</v>
      </c>
      <c r="N19" s="4">
        <v>10</v>
      </c>
      <c r="O19" s="4">
        <v>26</v>
      </c>
      <c r="P19" s="4">
        <v>3</v>
      </c>
      <c r="Q19" s="4">
        <v>0</v>
      </c>
      <c r="R19" s="4">
        <v>0</v>
      </c>
      <c r="S19" s="4">
        <v>29</v>
      </c>
    </row>
    <row r="20" spans="1:19" x14ac:dyDescent="0.2">
      <c r="A20" s="3" t="s">
        <v>860</v>
      </c>
      <c r="B20" s="4">
        <v>0</v>
      </c>
      <c r="C20" s="4">
        <v>977</v>
      </c>
      <c r="D20" s="4">
        <v>0</v>
      </c>
      <c r="E20" s="4">
        <v>3</v>
      </c>
      <c r="F20" s="4">
        <v>0</v>
      </c>
      <c r="G20" s="4">
        <v>0</v>
      </c>
      <c r="H20" s="4">
        <v>854</v>
      </c>
      <c r="I20" s="4">
        <v>0</v>
      </c>
      <c r="J20" s="4">
        <v>0</v>
      </c>
      <c r="K20" s="4">
        <v>4</v>
      </c>
      <c r="L20" s="4">
        <v>6</v>
      </c>
      <c r="M20" s="4">
        <v>94</v>
      </c>
      <c r="N20" s="4">
        <v>2</v>
      </c>
      <c r="O20" s="4">
        <v>2</v>
      </c>
      <c r="P20" s="4">
        <v>0</v>
      </c>
      <c r="Q20" s="4">
        <v>0</v>
      </c>
      <c r="R20" s="4">
        <v>0</v>
      </c>
      <c r="S20" s="4">
        <v>6</v>
      </c>
    </row>
    <row r="21" spans="1:19" x14ac:dyDescent="0.2">
      <c r="A21" s="3" t="s">
        <v>861</v>
      </c>
      <c r="B21" s="4">
        <v>0</v>
      </c>
      <c r="C21" s="4">
        <v>1465</v>
      </c>
      <c r="D21" s="4">
        <v>0</v>
      </c>
      <c r="E21" s="4">
        <v>13</v>
      </c>
      <c r="F21" s="4">
        <v>0</v>
      </c>
      <c r="G21" s="4">
        <v>0</v>
      </c>
      <c r="H21" s="4">
        <v>1211</v>
      </c>
      <c r="I21" s="4">
        <v>0</v>
      </c>
      <c r="J21" s="4">
        <v>0</v>
      </c>
      <c r="K21" s="4">
        <v>3</v>
      </c>
      <c r="L21" s="4">
        <v>2</v>
      </c>
      <c r="M21" s="4">
        <v>214</v>
      </c>
      <c r="N21" s="4">
        <v>4</v>
      </c>
      <c r="O21" s="4">
        <v>0</v>
      </c>
      <c r="P21" s="4">
        <v>0</v>
      </c>
      <c r="Q21" s="4">
        <v>0</v>
      </c>
      <c r="R21" s="4">
        <v>0</v>
      </c>
      <c r="S21" s="4">
        <v>11</v>
      </c>
    </row>
    <row r="22" spans="1:19" x14ac:dyDescent="0.2">
      <c r="A22" s="3" t="s">
        <v>862</v>
      </c>
      <c r="B22" s="4">
        <v>0</v>
      </c>
      <c r="C22" s="4">
        <v>521789</v>
      </c>
      <c r="D22" s="4">
        <v>0</v>
      </c>
      <c r="E22" s="4">
        <v>5260</v>
      </c>
      <c r="F22" s="4">
        <v>1437</v>
      </c>
      <c r="G22" s="4">
        <v>921</v>
      </c>
      <c r="H22" s="4">
        <v>221555</v>
      </c>
      <c r="I22" s="4">
        <v>0</v>
      </c>
      <c r="J22" s="4">
        <v>15</v>
      </c>
      <c r="K22" s="4">
        <v>3581</v>
      </c>
      <c r="L22" s="4">
        <v>2090</v>
      </c>
      <c r="M22" s="4">
        <v>273658</v>
      </c>
      <c r="N22" s="4">
        <v>990</v>
      </c>
      <c r="O22" s="4">
        <v>419</v>
      </c>
      <c r="P22" s="4">
        <v>129</v>
      </c>
      <c r="Q22" s="4">
        <v>0</v>
      </c>
      <c r="R22" s="4">
        <v>1</v>
      </c>
      <c r="S22" s="4">
        <v>11732</v>
      </c>
    </row>
    <row r="23" spans="1:19" x14ac:dyDescent="0.2">
      <c r="A23" s="3" t="s">
        <v>863</v>
      </c>
      <c r="B23" s="4">
        <v>0</v>
      </c>
      <c r="C23" s="4">
        <v>6441</v>
      </c>
      <c r="D23" s="4">
        <v>0</v>
      </c>
      <c r="E23" s="4">
        <v>39</v>
      </c>
      <c r="F23" s="4">
        <v>23</v>
      </c>
      <c r="G23" s="4">
        <v>16</v>
      </c>
      <c r="H23" s="4">
        <v>3613</v>
      </c>
      <c r="I23" s="4">
        <v>0</v>
      </c>
      <c r="J23" s="4">
        <v>0</v>
      </c>
      <c r="K23" s="4">
        <v>14</v>
      </c>
      <c r="L23" s="4">
        <v>32</v>
      </c>
      <c r="M23" s="4">
        <v>2581</v>
      </c>
      <c r="N23" s="4">
        <v>10</v>
      </c>
      <c r="O23" s="4">
        <v>10</v>
      </c>
      <c r="P23" s="4">
        <v>1</v>
      </c>
      <c r="Q23" s="4">
        <v>0</v>
      </c>
      <c r="R23" s="4">
        <v>0</v>
      </c>
      <c r="S23" s="4">
        <v>41</v>
      </c>
    </row>
    <row r="24" spans="1:19" x14ac:dyDescent="0.2">
      <c r="A24" s="3" t="s">
        <v>864</v>
      </c>
      <c r="B24" s="4">
        <v>0</v>
      </c>
      <c r="C24" s="4">
        <v>13226</v>
      </c>
      <c r="D24" s="4">
        <v>0</v>
      </c>
      <c r="E24" s="4">
        <v>101</v>
      </c>
      <c r="F24" s="4">
        <v>19</v>
      </c>
      <c r="G24" s="4">
        <v>17</v>
      </c>
      <c r="H24" s="4">
        <v>10653</v>
      </c>
      <c r="I24" s="4">
        <v>0</v>
      </c>
      <c r="J24" s="4">
        <v>0</v>
      </c>
      <c r="K24" s="4">
        <v>35</v>
      </c>
      <c r="L24" s="4">
        <v>197</v>
      </c>
      <c r="M24" s="4">
        <v>1906</v>
      </c>
      <c r="N24" s="4">
        <v>15</v>
      </c>
      <c r="O24" s="4">
        <v>11</v>
      </c>
      <c r="P24" s="4">
        <v>0</v>
      </c>
      <c r="Q24" s="4">
        <v>0</v>
      </c>
      <c r="R24" s="4">
        <v>1</v>
      </c>
      <c r="S24" s="4">
        <v>95</v>
      </c>
    </row>
    <row r="25" spans="1:19" x14ac:dyDescent="0.2">
      <c r="A25" s="3" t="s">
        <v>865</v>
      </c>
      <c r="B25" s="4">
        <v>0</v>
      </c>
      <c r="C25" s="4">
        <v>11072</v>
      </c>
      <c r="D25" s="4">
        <v>0</v>
      </c>
      <c r="E25" s="4">
        <v>64</v>
      </c>
      <c r="F25" s="4">
        <v>11</v>
      </c>
      <c r="G25" s="4">
        <v>4</v>
      </c>
      <c r="H25" s="4">
        <v>9526</v>
      </c>
      <c r="I25" s="4">
        <v>0</v>
      </c>
      <c r="J25" s="4">
        <v>0</v>
      </c>
      <c r="K25" s="4">
        <v>27</v>
      </c>
      <c r="L25" s="4">
        <v>47</v>
      </c>
      <c r="M25" s="4">
        <v>1236</v>
      </c>
      <c r="N25" s="4">
        <v>11</v>
      </c>
      <c r="O25" s="4">
        <v>1</v>
      </c>
      <c r="P25" s="4">
        <v>0</v>
      </c>
      <c r="Q25" s="4">
        <v>0</v>
      </c>
      <c r="R25" s="4">
        <v>0</v>
      </c>
      <c r="S25" s="4">
        <v>80</v>
      </c>
    </row>
    <row r="26" spans="1:19" x14ac:dyDescent="0.2">
      <c r="A26" s="3" t="s">
        <v>866</v>
      </c>
      <c r="B26" s="4">
        <v>0</v>
      </c>
      <c r="C26" s="4">
        <v>26482</v>
      </c>
      <c r="D26" s="4">
        <v>0</v>
      </c>
      <c r="E26" s="4">
        <v>236</v>
      </c>
      <c r="F26" s="4">
        <v>19</v>
      </c>
      <c r="G26" s="4">
        <v>23</v>
      </c>
      <c r="H26" s="4">
        <v>10783</v>
      </c>
      <c r="I26" s="4">
        <v>0</v>
      </c>
      <c r="J26" s="4">
        <v>0</v>
      </c>
      <c r="K26" s="4">
        <v>121</v>
      </c>
      <c r="L26" s="4">
        <v>46</v>
      </c>
      <c r="M26" s="4">
        <v>14612</v>
      </c>
      <c r="N26" s="4">
        <v>36</v>
      </c>
      <c r="O26" s="4">
        <v>5</v>
      </c>
      <c r="P26" s="4">
        <v>0</v>
      </c>
      <c r="Q26" s="4">
        <v>0</v>
      </c>
      <c r="R26" s="4">
        <v>0</v>
      </c>
      <c r="S26" s="4">
        <v>253</v>
      </c>
    </row>
    <row r="27" spans="1:19" x14ac:dyDescent="0.2">
      <c r="A27" s="3" t="s">
        <v>867</v>
      </c>
      <c r="B27" s="4">
        <v>0</v>
      </c>
      <c r="C27" s="4">
        <v>34652</v>
      </c>
      <c r="D27" s="4">
        <v>0</v>
      </c>
      <c r="E27" s="4">
        <v>358</v>
      </c>
      <c r="F27" s="4">
        <v>66</v>
      </c>
      <c r="G27" s="4">
        <v>36</v>
      </c>
      <c r="H27" s="4">
        <v>23484</v>
      </c>
      <c r="I27" s="4">
        <v>0</v>
      </c>
      <c r="J27" s="4">
        <v>0</v>
      </c>
      <c r="K27" s="4">
        <v>168</v>
      </c>
      <c r="L27" s="4">
        <v>237</v>
      </c>
      <c r="M27" s="4">
        <v>9560</v>
      </c>
      <c r="N27" s="4">
        <v>79</v>
      </c>
      <c r="O27" s="4">
        <v>25</v>
      </c>
      <c r="P27" s="4">
        <v>18</v>
      </c>
      <c r="Q27" s="4">
        <v>0</v>
      </c>
      <c r="R27" s="4">
        <v>0</v>
      </c>
      <c r="S27" s="4">
        <v>261</v>
      </c>
    </row>
    <row r="28" spans="1:19" x14ac:dyDescent="0.2">
      <c r="A28" s="3" t="s">
        <v>868</v>
      </c>
      <c r="B28" s="4">
        <v>0</v>
      </c>
      <c r="C28" s="4">
        <v>16036</v>
      </c>
      <c r="D28" s="4">
        <v>0</v>
      </c>
      <c r="E28" s="4">
        <v>113</v>
      </c>
      <c r="F28" s="4">
        <v>15</v>
      </c>
      <c r="G28" s="4">
        <v>11</v>
      </c>
      <c r="H28" s="4">
        <v>13599</v>
      </c>
      <c r="I28" s="4">
        <v>0</v>
      </c>
      <c r="J28" s="4">
        <v>0</v>
      </c>
      <c r="K28" s="4">
        <v>33</v>
      </c>
      <c r="L28" s="4">
        <v>84</v>
      </c>
      <c r="M28" s="4">
        <v>1952</v>
      </c>
      <c r="N28" s="4">
        <v>24</v>
      </c>
      <c r="O28" s="4">
        <v>4</v>
      </c>
      <c r="P28" s="4">
        <v>1</v>
      </c>
      <c r="Q28" s="4">
        <v>0</v>
      </c>
      <c r="R28" s="4">
        <v>0</v>
      </c>
      <c r="S28" s="4">
        <v>103</v>
      </c>
    </row>
    <row r="29" spans="1:19" x14ac:dyDescent="0.2">
      <c r="A29" s="3" t="s">
        <v>869</v>
      </c>
      <c r="B29" s="4">
        <v>0</v>
      </c>
      <c r="C29" s="4">
        <v>308981</v>
      </c>
      <c r="D29" s="4">
        <v>0</v>
      </c>
      <c r="E29" s="4">
        <v>4397</v>
      </c>
      <c r="F29" s="4">
        <v>536</v>
      </c>
      <c r="G29" s="4">
        <v>382</v>
      </c>
      <c r="H29" s="4">
        <v>203476</v>
      </c>
      <c r="I29" s="4">
        <v>1</v>
      </c>
      <c r="J29" s="4">
        <v>13</v>
      </c>
      <c r="K29" s="4">
        <v>1582</v>
      </c>
      <c r="L29" s="4">
        <v>2164</v>
      </c>
      <c r="M29" s="4">
        <v>84937</v>
      </c>
      <c r="N29" s="4">
        <v>470</v>
      </c>
      <c r="O29" s="4">
        <v>42</v>
      </c>
      <c r="P29" s="4">
        <v>155</v>
      </c>
      <c r="Q29" s="4">
        <v>0</v>
      </c>
      <c r="R29" s="4">
        <v>30</v>
      </c>
      <c r="S29" s="4">
        <v>3668</v>
      </c>
    </row>
    <row r="30" spans="1:19" x14ac:dyDescent="0.2">
      <c r="A30" s="3" t="s">
        <v>870</v>
      </c>
      <c r="B30" s="4">
        <v>0</v>
      </c>
      <c r="C30" s="4">
        <v>18979</v>
      </c>
      <c r="D30" s="4">
        <v>0</v>
      </c>
      <c r="E30" s="4">
        <v>188</v>
      </c>
      <c r="F30" s="4">
        <v>12</v>
      </c>
      <c r="G30" s="4">
        <v>15</v>
      </c>
      <c r="H30" s="4">
        <v>11495</v>
      </c>
      <c r="I30" s="4">
        <v>0</v>
      </c>
      <c r="J30" s="4">
        <v>0</v>
      </c>
      <c r="K30" s="4">
        <v>83</v>
      </c>
      <c r="L30" s="4">
        <v>79</v>
      </c>
      <c r="M30" s="4">
        <v>6459</v>
      </c>
      <c r="N30" s="4">
        <v>23</v>
      </c>
      <c r="O30" s="4">
        <v>3</v>
      </c>
      <c r="P30" s="4">
        <v>0</v>
      </c>
      <c r="Q30" s="4">
        <v>0</v>
      </c>
      <c r="R30" s="4">
        <v>0</v>
      </c>
      <c r="S30" s="4">
        <v>260</v>
      </c>
    </row>
    <row r="31" spans="1:19" x14ac:dyDescent="0.2">
      <c r="A31" s="3" t="s">
        <v>871</v>
      </c>
      <c r="B31" s="4">
        <v>0</v>
      </c>
      <c r="C31" s="4">
        <v>99137</v>
      </c>
      <c r="D31" s="4">
        <v>0</v>
      </c>
      <c r="E31" s="4">
        <v>719</v>
      </c>
      <c r="F31" s="4">
        <v>105</v>
      </c>
      <c r="G31" s="4">
        <v>81</v>
      </c>
      <c r="H31" s="4">
        <v>73165</v>
      </c>
      <c r="I31" s="4">
        <v>0</v>
      </c>
      <c r="J31" s="4">
        <v>1</v>
      </c>
      <c r="K31" s="4">
        <v>294</v>
      </c>
      <c r="L31" s="4">
        <v>447</v>
      </c>
      <c r="M31" s="4">
        <v>22327</v>
      </c>
      <c r="N31" s="4">
        <v>105</v>
      </c>
      <c r="O31" s="4">
        <v>38</v>
      </c>
      <c r="P31" s="4">
        <v>11</v>
      </c>
      <c r="Q31" s="4">
        <v>0</v>
      </c>
      <c r="R31" s="4">
        <v>1</v>
      </c>
      <c r="S31" s="4">
        <v>747</v>
      </c>
    </row>
    <row r="32" spans="1:19" x14ac:dyDescent="0.2">
      <c r="A32" s="3" t="s">
        <v>872</v>
      </c>
      <c r="B32" s="4">
        <v>0</v>
      </c>
      <c r="C32" s="4">
        <v>1674</v>
      </c>
      <c r="D32" s="4">
        <v>0</v>
      </c>
      <c r="E32" s="4">
        <v>8</v>
      </c>
      <c r="F32" s="4">
        <v>2</v>
      </c>
      <c r="G32" s="4">
        <v>6</v>
      </c>
      <c r="H32" s="4">
        <v>1238</v>
      </c>
      <c r="I32" s="4">
        <v>0</v>
      </c>
      <c r="J32" s="4">
        <v>0</v>
      </c>
      <c r="K32" s="4">
        <v>5</v>
      </c>
      <c r="L32" s="4">
        <v>10</v>
      </c>
      <c r="M32" s="4">
        <v>381</v>
      </c>
      <c r="N32" s="4">
        <v>1</v>
      </c>
      <c r="O32" s="4">
        <v>2</v>
      </c>
      <c r="P32" s="4">
        <v>0</v>
      </c>
      <c r="Q32" s="4">
        <v>0</v>
      </c>
      <c r="R32" s="4">
        <v>0</v>
      </c>
      <c r="S32" s="4">
        <v>12</v>
      </c>
    </row>
    <row r="33" spans="1:19" x14ac:dyDescent="0.2">
      <c r="A33" s="3" t="s">
        <v>873</v>
      </c>
      <c r="B33" s="4">
        <v>0</v>
      </c>
      <c r="C33" s="4">
        <v>114612</v>
      </c>
      <c r="D33" s="4">
        <v>0</v>
      </c>
      <c r="E33" s="4">
        <v>1325</v>
      </c>
      <c r="F33" s="4">
        <v>258</v>
      </c>
      <c r="G33" s="4">
        <v>189</v>
      </c>
      <c r="H33" s="4">
        <v>67549</v>
      </c>
      <c r="I33" s="4">
        <v>7</v>
      </c>
      <c r="J33" s="4">
        <v>9</v>
      </c>
      <c r="K33" s="4">
        <v>644</v>
      </c>
      <c r="L33" s="4">
        <v>580</v>
      </c>
      <c r="M33" s="4">
        <v>41238</v>
      </c>
      <c r="N33" s="4">
        <v>234</v>
      </c>
      <c r="O33" s="4">
        <v>83</v>
      </c>
      <c r="P33" s="4">
        <v>21</v>
      </c>
      <c r="Q33" s="4">
        <v>0</v>
      </c>
      <c r="R33" s="4">
        <v>0</v>
      </c>
      <c r="S33" s="4">
        <v>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2C57-21C9-534D-9EED-83B8C2EC557D}">
  <dimension ref="A1:AB30"/>
  <sheetViews>
    <sheetView tabSelected="1" workbookViewId="0">
      <selection activeCell="AA15" sqref="AA15"/>
    </sheetView>
  </sheetViews>
  <sheetFormatPr baseColWidth="10" defaultRowHeight="15" x14ac:dyDescent="0.2"/>
  <cols>
    <col min="2" max="7" width="0" hidden="1" customWidth="1"/>
    <col min="9" max="10" width="0" hidden="1" customWidth="1"/>
    <col min="12" max="12" width="0" hidden="1" customWidth="1"/>
    <col min="14" max="19" width="0" hidden="1" customWidth="1"/>
    <col min="21" max="21" width="13.1640625" customWidth="1"/>
    <col min="22" max="22" width="13.6640625" customWidth="1"/>
    <col min="23" max="23" width="12.6640625" customWidth="1"/>
    <col min="25" max="25" width="11.6640625" bestFit="1" customWidth="1"/>
  </cols>
  <sheetData>
    <row r="1" spans="1:28" x14ac:dyDescent="0.2">
      <c r="A1" s="5" t="s">
        <v>878</v>
      </c>
      <c r="H1" s="5" t="s">
        <v>881</v>
      </c>
      <c r="K1" s="5" t="s">
        <v>882</v>
      </c>
      <c r="M1" s="5" t="s">
        <v>883</v>
      </c>
      <c r="T1" s="5" t="s">
        <v>879</v>
      </c>
      <c r="U1" s="5" t="s">
        <v>886</v>
      </c>
      <c r="V1" s="5" t="s">
        <v>887</v>
      </c>
      <c r="W1" s="5" t="s">
        <v>888</v>
      </c>
      <c r="X1" s="5" t="s">
        <v>889</v>
      </c>
      <c r="Y1" s="9" t="s">
        <v>879</v>
      </c>
      <c r="Z1" s="9" t="s">
        <v>886</v>
      </c>
      <c r="AA1" s="9" t="s">
        <v>887</v>
      </c>
      <c r="AB1" s="9" t="s">
        <v>888</v>
      </c>
    </row>
    <row r="2" spans="1:28" x14ac:dyDescent="0.2">
      <c r="A2" s="6" t="s">
        <v>845</v>
      </c>
      <c r="B2" s="5">
        <v>0</v>
      </c>
      <c r="C2" s="5">
        <v>0</v>
      </c>
      <c r="D2" s="5">
        <v>0</v>
      </c>
      <c r="E2" s="5">
        <v>10</v>
      </c>
      <c r="F2" s="5">
        <v>4</v>
      </c>
      <c r="G2" s="5">
        <v>0</v>
      </c>
      <c r="H2" s="5">
        <v>2781</v>
      </c>
      <c r="I2" s="5">
        <v>0</v>
      </c>
      <c r="J2" s="5">
        <v>0</v>
      </c>
      <c r="K2" s="5">
        <v>8</v>
      </c>
      <c r="L2" s="5">
        <v>14</v>
      </c>
      <c r="M2" s="5">
        <v>394</v>
      </c>
      <c r="N2" s="5">
        <v>1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>
        <f>B2+D2+E2+F2+G2+H2+I2+J2+K2+L2+M2+N2+O2+P2+Q2+R2+S2</f>
        <v>3212</v>
      </c>
      <c r="U2" s="7">
        <f>H2/T2</f>
        <v>0.86581569115815693</v>
      </c>
      <c r="V2" s="7">
        <f>M2/T2</f>
        <v>0.12266500622665007</v>
      </c>
      <c r="W2" s="7">
        <f>K2/T2</f>
        <v>2.4906600249066002E-3</v>
      </c>
      <c r="X2" t="str">
        <f>IF(U2&gt;V2,"Trump","Harris")</f>
        <v>Trump</v>
      </c>
      <c r="Y2" s="8">
        <v>3212</v>
      </c>
      <c r="Z2" s="7">
        <v>0.86581569115815693</v>
      </c>
      <c r="AA2" s="7">
        <v>0.12266500622665007</v>
      </c>
      <c r="AB2" s="7">
        <v>2.4906600249066002E-3</v>
      </c>
    </row>
    <row r="3" spans="1:28" x14ac:dyDescent="0.2">
      <c r="A3" s="6" t="s">
        <v>846</v>
      </c>
      <c r="B3" s="5">
        <v>0</v>
      </c>
      <c r="C3" s="5">
        <v>29668</v>
      </c>
      <c r="D3" s="5">
        <v>0</v>
      </c>
      <c r="E3" s="5">
        <v>342</v>
      </c>
      <c r="F3" s="5">
        <v>44</v>
      </c>
      <c r="G3" s="5">
        <v>32</v>
      </c>
      <c r="H3" s="5">
        <v>22853</v>
      </c>
      <c r="I3" s="5">
        <v>0</v>
      </c>
      <c r="J3" s="5">
        <v>1</v>
      </c>
      <c r="K3" s="5">
        <v>119</v>
      </c>
      <c r="L3" s="5">
        <v>196</v>
      </c>
      <c r="M3" s="5">
        <v>5274</v>
      </c>
      <c r="N3" s="5">
        <v>49</v>
      </c>
      <c r="O3" s="5">
        <v>15</v>
      </c>
      <c r="P3" s="5">
        <v>10</v>
      </c>
      <c r="Q3" s="5">
        <v>0</v>
      </c>
      <c r="R3" s="5">
        <v>0</v>
      </c>
      <c r="S3" s="5">
        <v>321</v>
      </c>
      <c r="T3">
        <f t="shared" ref="T3:T30" si="0">B3+D3+E3+F3+G3+H3+I3+J3+K3+L3+M3+N3+O3+P3+Q3+R3+S3</f>
        <v>29256</v>
      </c>
      <c r="U3" s="7">
        <f t="shared" ref="U3:U30" si="1">H3/T3</f>
        <v>0.78113891167623739</v>
      </c>
      <c r="V3" s="7">
        <f t="shared" ref="V3:V30" si="2">M3/T3</f>
        <v>0.18027071369975389</v>
      </c>
      <c r="W3" s="7">
        <f t="shared" ref="W3:W30" si="3">K3/T3</f>
        <v>4.0675417008476889E-3</v>
      </c>
      <c r="X3" t="str">
        <f t="shared" ref="X3:X30" si="4">IF(U3&gt;V3,"Trump","Harris")</f>
        <v>Trump</v>
      </c>
      <c r="Y3" s="8">
        <v>29256</v>
      </c>
      <c r="Z3" s="7">
        <v>0.78113891167623739</v>
      </c>
      <c r="AA3" s="7">
        <v>0.18027071369975389</v>
      </c>
      <c r="AB3" s="7">
        <v>4.0675417008476889E-3</v>
      </c>
    </row>
    <row r="4" spans="1:28" x14ac:dyDescent="0.2">
      <c r="A4" s="6" t="s">
        <v>847</v>
      </c>
      <c r="B4" s="5">
        <v>0</v>
      </c>
      <c r="C4" s="5">
        <v>62148</v>
      </c>
      <c r="D4" s="5">
        <v>0</v>
      </c>
      <c r="E4" s="5">
        <v>885</v>
      </c>
      <c r="F4" s="5">
        <v>119</v>
      </c>
      <c r="G4" s="5">
        <v>94</v>
      </c>
      <c r="H4" s="5">
        <v>39457</v>
      </c>
      <c r="I4" s="5">
        <v>0</v>
      </c>
      <c r="J4" s="5">
        <v>1</v>
      </c>
      <c r="K4" s="5">
        <v>343</v>
      </c>
      <c r="L4" s="5">
        <v>506</v>
      </c>
      <c r="M4" s="5">
        <v>18718</v>
      </c>
      <c r="N4" s="5">
        <v>107</v>
      </c>
      <c r="O4" s="5">
        <v>29</v>
      </c>
      <c r="P4" s="5">
        <v>28</v>
      </c>
      <c r="Q4" s="5">
        <v>0</v>
      </c>
      <c r="R4" s="5">
        <v>0</v>
      </c>
      <c r="S4" s="5">
        <v>731</v>
      </c>
      <c r="T4">
        <f t="shared" si="0"/>
        <v>61018</v>
      </c>
      <c r="U4" s="7">
        <f t="shared" si="1"/>
        <v>0.64664525222065616</v>
      </c>
      <c r="V4" s="7">
        <f t="shared" si="2"/>
        <v>0.30676193909993771</v>
      </c>
      <c r="W4" s="7">
        <f t="shared" si="3"/>
        <v>5.6212920777475497E-3</v>
      </c>
      <c r="X4" t="str">
        <f t="shared" si="4"/>
        <v>Trump</v>
      </c>
      <c r="Y4" s="8">
        <v>61018</v>
      </c>
      <c r="Z4" s="7">
        <v>0.64664525222065616</v>
      </c>
      <c r="AA4" s="7">
        <v>0.30676193909993771</v>
      </c>
      <c r="AB4" s="7">
        <v>5.6212920777475497E-3</v>
      </c>
    </row>
    <row r="5" spans="1:28" x14ac:dyDescent="0.2">
      <c r="A5" s="6" t="s">
        <v>848</v>
      </c>
      <c r="B5" s="5">
        <v>0</v>
      </c>
      <c r="C5" s="5">
        <v>9610</v>
      </c>
      <c r="D5" s="5">
        <v>0</v>
      </c>
      <c r="E5" s="5">
        <v>90</v>
      </c>
      <c r="F5" s="5">
        <v>14</v>
      </c>
      <c r="G5" s="5">
        <v>8</v>
      </c>
      <c r="H5" s="5">
        <v>6719</v>
      </c>
      <c r="I5" s="5">
        <v>0</v>
      </c>
      <c r="J5" s="5">
        <v>0</v>
      </c>
      <c r="K5" s="5">
        <v>38</v>
      </c>
      <c r="L5" s="5">
        <v>32</v>
      </c>
      <c r="M5" s="5">
        <v>2525</v>
      </c>
      <c r="N5" s="5">
        <v>19</v>
      </c>
      <c r="O5" s="5">
        <v>2</v>
      </c>
      <c r="P5" s="5">
        <v>0</v>
      </c>
      <c r="Q5" s="5">
        <v>0</v>
      </c>
      <c r="R5" s="5">
        <v>0</v>
      </c>
      <c r="S5" s="5">
        <v>81</v>
      </c>
      <c r="T5">
        <f t="shared" si="0"/>
        <v>9528</v>
      </c>
      <c r="U5" s="7">
        <f t="shared" si="1"/>
        <v>0.70518471872376154</v>
      </c>
      <c r="V5" s="7">
        <f t="shared" si="2"/>
        <v>0.2650083963056255</v>
      </c>
      <c r="W5" s="7">
        <f t="shared" si="3"/>
        <v>3.988245172124265E-3</v>
      </c>
      <c r="X5" t="str">
        <f t="shared" si="4"/>
        <v>Trump</v>
      </c>
      <c r="Y5" s="8">
        <v>9528</v>
      </c>
      <c r="Z5" s="7">
        <v>0.70518471872376154</v>
      </c>
      <c r="AA5" s="7">
        <v>0.2650083963056255</v>
      </c>
      <c r="AB5" s="7">
        <v>3.988245172124265E-3</v>
      </c>
    </row>
    <row r="6" spans="1:28" x14ac:dyDescent="0.2">
      <c r="A6" s="6" t="s">
        <v>849</v>
      </c>
      <c r="B6" s="5">
        <v>0</v>
      </c>
      <c r="C6" s="5">
        <v>557</v>
      </c>
      <c r="D6" s="5">
        <v>0</v>
      </c>
      <c r="E6" s="5">
        <v>2</v>
      </c>
      <c r="F6" s="5">
        <v>0</v>
      </c>
      <c r="G6" s="5">
        <v>1</v>
      </c>
      <c r="H6" s="5">
        <v>443</v>
      </c>
      <c r="I6" s="5">
        <v>0</v>
      </c>
      <c r="J6" s="5">
        <v>0</v>
      </c>
      <c r="K6" s="5">
        <v>2</v>
      </c>
      <c r="L6" s="5">
        <v>1</v>
      </c>
      <c r="M6" s="5">
        <v>101</v>
      </c>
      <c r="N6" s="5">
        <v>0</v>
      </c>
      <c r="O6" s="5">
        <v>1</v>
      </c>
      <c r="P6" s="5">
        <v>0</v>
      </c>
      <c r="Q6" s="5">
        <v>0</v>
      </c>
      <c r="R6" s="5">
        <v>0</v>
      </c>
      <c r="S6" s="5">
        <v>5</v>
      </c>
      <c r="T6">
        <f t="shared" si="0"/>
        <v>556</v>
      </c>
      <c r="U6" s="7">
        <f t="shared" si="1"/>
        <v>0.7967625899280576</v>
      </c>
      <c r="V6" s="7">
        <f t="shared" si="2"/>
        <v>0.18165467625899281</v>
      </c>
      <c r="W6" s="7">
        <f t="shared" si="3"/>
        <v>3.5971223021582736E-3</v>
      </c>
      <c r="X6" t="str">
        <f t="shared" si="4"/>
        <v>Trump</v>
      </c>
      <c r="Y6" s="8">
        <v>556</v>
      </c>
      <c r="Z6" s="7">
        <v>0.7967625899280576</v>
      </c>
      <c r="AA6" s="7">
        <v>0.18165467625899281</v>
      </c>
      <c r="AB6" s="7">
        <v>3.5971223021582736E-3</v>
      </c>
    </row>
    <row r="7" spans="1:28" x14ac:dyDescent="0.2">
      <c r="A7" s="6" t="s">
        <v>850</v>
      </c>
      <c r="B7" s="5">
        <v>1</v>
      </c>
      <c r="C7" s="5">
        <v>172869</v>
      </c>
      <c r="D7" s="5">
        <v>0</v>
      </c>
      <c r="E7" s="5">
        <v>2137</v>
      </c>
      <c r="F7" s="5">
        <v>413</v>
      </c>
      <c r="G7" s="5">
        <v>291</v>
      </c>
      <c r="H7" s="5">
        <v>101293</v>
      </c>
      <c r="I7" s="5">
        <v>1</v>
      </c>
      <c r="J7" s="5">
        <v>18</v>
      </c>
      <c r="K7" s="5">
        <v>890</v>
      </c>
      <c r="L7" s="5">
        <v>1208</v>
      </c>
      <c r="M7" s="5">
        <v>59895</v>
      </c>
      <c r="N7" s="5">
        <v>365</v>
      </c>
      <c r="O7" s="5">
        <v>51</v>
      </c>
      <c r="P7" s="5">
        <v>58</v>
      </c>
      <c r="Q7" s="5">
        <v>0</v>
      </c>
      <c r="R7" s="5">
        <v>0</v>
      </c>
      <c r="S7" s="5">
        <v>2202</v>
      </c>
      <c r="T7">
        <f t="shared" si="0"/>
        <v>168823</v>
      </c>
      <c r="U7" s="7">
        <f t="shared" si="1"/>
        <v>0.59999526130918179</v>
      </c>
      <c r="V7" s="7">
        <f t="shared" si="2"/>
        <v>0.35477985819467728</v>
      </c>
      <c r="W7" s="7">
        <f t="shared" si="3"/>
        <v>5.2717935352410514E-3</v>
      </c>
      <c r="X7" t="str">
        <f t="shared" si="4"/>
        <v>Trump</v>
      </c>
      <c r="Y7" s="8">
        <v>168823</v>
      </c>
      <c r="Z7" s="7">
        <v>0.59999526130918179</v>
      </c>
      <c r="AA7" s="7">
        <v>0.35477985819467728</v>
      </c>
      <c r="AB7" s="7">
        <v>5.2717935352410514E-3</v>
      </c>
    </row>
    <row r="8" spans="1:28" x14ac:dyDescent="0.2">
      <c r="A8" s="6" t="s">
        <v>851</v>
      </c>
      <c r="B8" s="5">
        <v>0</v>
      </c>
      <c r="C8" s="5">
        <v>9067</v>
      </c>
      <c r="D8" s="5">
        <v>0</v>
      </c>
      <c r="E8" s="5">
        <v>45</v>
      </c>
      <c r="F8" s="5">
        <v>14</v>
      </c>
      <c r="G8" s="5">
        <v>7</v>
      </c>
      <c r="H8" s="5">
        <v>7815</v>
      </c>
      <c r="I8" s="5">
        <v>0</v>
      </c>
      <c r="J8" s="5">
        <v>0</v>
      </c>
      <c r="K8" s="5">
        <v>16</v>
      </c>
      <c r="L8" s="5">
        <v>53</v>
      </c>
      <c r="M8" s="5">
        <v>1009</v>
      </c>
      <c r="N8" s="5">
        <v>8</v>
      </c>
      <c r="O8" s="5">
        <v>2</v>
      </c>
      <c r="P8" s="5">
        <v>1</v>
      </c>
      <c r="Q8" s="5">
        <v>0</v>
      </c>
      <c r="R8" s="5">
        <v>0</v>
      </c>
      <c r="S8" s="5">
        <v>38</v>
      </c>
      <c r="T8">
        <f t="shared" si="0"/>
        <v>9008</v>
      </c>
      <c r="U8" s="7">
        <f t="shared" si="1"/>
        <v>0.86756216696269983</v>
      </c>
      <c r="V8" s="7">
        <f t="shared" si="2"/>
        <v>0.11201154529307282</v>
      </c>
      <c r="W8" s="7">
        <f t="shared" si="3"/>
        <v>1.7761989342806395E-3</v>
      </c>
      <c r="X8" t="str">
        <f t="shared" si="4"/>
        <v>Trump</v>
      </c>
      <c r="Y8" s="8">
        <v>9008</v>
      </c>
      <c r="Z8" s="7">
        <v>0.86756216696269983</v>
      </c>
      <c r="AA8" s="7">
        <v>0.11201154529307282</v>
      </c>
      <c r="AB8" s="7">
        <v>1.7761989342806395E-3</v>
      </c>
    </row>
    <row r="9" spans="1:28" x14ac:dyDescent="0.2">
      <c r="A9" s="6" t="s">
        <v>852</v>
      </c>
      <c r="B9" s="5">
        <v>0</v>
      </c>
      <c r="C9" s="5">
        <v>5077</v>
      </c>
      <c r="D9" s="5">
        <v>0</v>
      </c>
      <c r="E9" s="5">
        <v>32</v>
      </c>
      <c r="F9" s="5">
        <v>2</v>
      </c>
      <c r="G9" s="5">
        <v>3</v>
      </c>
      <c r="H9" s="5">
        <v>4341</v>
      </c>
      <c r="I9" s="5">
        <v>0</v>
      </c>
      <c r="J9" s="5">
        <v>0</v>
      </c>
      <c r="K9" s="5">
        <v>8</v>
      </c>
      <c r="L9" s="5">
        <v>17</v>
      </c>
      <c r="M9" s="5">
        <v>603</v>
      </c>
      <c r="N9" s="5">
        <v>5</v>
      </c>
      <c r="O9" s="5">
        <v>3</v>
      </c>
      <c r="P9" s="5">
        <v>0</v>
      </c>
      <c r="Q9" s="5">
        <v>0</v>
      </c>
      <c r="R9" s="5">
        <v>0</v>
      </c>
      <c r="S9" s="5">
        <v>37</v>
      </c>
      <c r="T9">
        <f t="shared" si="0"/>
        <v>5051</v>
      </c>
      <c r="U9" s="7">
        <f t="shared" si="1"/>
        <v>0.85943377549000199</v>
      </c>
      <c r="V9" s="7">
        <f t="shared" si="2"/>
        <v>0.11938230053454761</v>
      </c>
      <c r="W9" s="7">
        <f t="shared" si="3"/>
        <v>1.5838447832112453E-3</v>
      </c>
      <c r="X9" t="str">
        <f t="shared" si="4"/>
        <v>Trump</v>
      </c>
      <c r="Y9" s="8">
        <v>5051</v>
      </c>
      <c r="Z9" s="7">
        <v>0.85943377549000199</v>
      </c>
      <c r="AA9" s="7">
        <v>0.11938230053454761</v>
      </c>
      <c r="AB9" s="7">
        <v>1.5838447832112453E-3</v>
      </c>
    </row>
    <row r="10" spans="1:28" x14ac:dyDescent="0.2">
      <c r="A10" s="6" t="s">
        <v>853</v>
      </c>
      <c r="B10" s="5">
        <v>0</v>
      </c>
      <c r="C10" s="5">
        <v>2857</v>
      </c>
      <c r="D10" s="5">
        <v>0</v>
      </c>
      <c r="E10" s="5">
        <v>15</v>
      </c>
      <c r="F10" s="5">
        <v>5</v>
      </c>
      <c r="G10" s="5">
        <v>1</v>
      </c>
      <c r="H10" s="5">
        <v>2211</v>
      </c>
      <c r="I10" s="5">
        <v>0</v>
      </c>
      <c r="J10" s="5">
        <v>0</v>
      </c>
      <c r="K10" s="5">
        <v>17</v>
      </c>
      <c r="L10" s="5">
        <v>18</v>
      </c>
      <c r="M10" s="5">
        <v>541</v>
      </c>
      <c r="N10" s="5">
        <v>3</v>
      </c>
      <c r="O10" s="5">
        <v>0</v>
      </c>
      <c r="P10" s="5">
        <v>0</v>
      </c>
      <c r="Q10" s="5">
        <v>0</v>
      </c>
      <c r="R10" s="5">
        <v>0</v>
      </c>
      <c r="S10" s="5">
        <v>29</v>
      </c>
      <c r="T10">
        <f t="shared" si="0"/>
        <v>2840</v>
      </c>
      <c r="U10" s="7">
        <f t="shared" si="1"/>
        <v>0.7785211267605634</v>
      </c>
      <c r="V10" s="7">
        <f t="shared" si="2"/>
        <v>0.19049295774647887</v>
      </c>
      <c r="W10" s="7">
        <f t="shared" si="3"/>
        <v>5.9859154929577463E-3</v>
      </c>
      <c r="X10" t="str">
        <f t="shared" si="4"/>
        <v>Trump</v>
      </c>
      <c r="Y10" s="8">
        <v>2840</v>
      </c>
      <c r="Z10" s="7">
        <v>0.7785211267605634</v>
      </c>
      <c r="AA10" s="7">
        <v>0.19049295774647887</v>
      </c>
      <c r="AB10" s="7">
        <v>5.9859154929577463E-3</v>
      </c>
    </row>
    <row r="11" spans="1:28" x14ac:dyDescent="0.2">
      <c r="A11" s="6" t="s">
        <v>854</v>
      </c>
      <c r="B11" s="5">
        <v>0</v>
      </c>
      <c r="C11" s="5">
        <v>5371</v>
      </c>
      <c r="D11" s="5">
        <v>0</v>
      </c>
      <c r="E11" s="5">
        <v>25</v>
      </c>
      <c r="F11" s="5">
        <v>15</v>
      </c>
      <c r="G11" s="5">
        <v>16</v>
      </c>
      <c r="H11" s="5">
        <v>2327</v>
      </c>
      <c r="I11" s="5">
        <v>0</v>
      </c>
      <c r="J11" s="5">
        <v>0</v>
      </c>
      <c r="K11" s="5">
        <v>49</v>
      </c>
      <c r="L11" s="5">
        <v>20</v>
      </c>
      <c r="M11" s="5">
        <v>2828</v>
      </c>
      <c r="N11" s="5">
        <v>20</v>
      </c>
      <c r="O11" s="5">
        <v>1</v>
      </c>
      <c r="P11" s="5">
        <v>0</v>
      </c>
      <c r="Q11" s="5">
        <v>0</v>
      </c>
      <c r="R11" s="5">
        <v>0</v>
      </c>
      <c r="S11" s="5">
        <v>45</v>
      </c>
      <c r="T11">
        <f t="shared" si="0"/>
        <v>5346</v>
      </c>
      <c r="U11" s="7">
        <f t="shared" si="1"/>
        <v>0.43527871305649085</v>
      </c>
      <c r="V11" s="7">
        <f t="shared" si="2"/>
        <v>0.52899364010475125</v>
      </c>
      <c r="W11" s="7">
        <f t="shared" si="3"/>
        <v>9.1657313879536101E-3</v>
      </c>
      <c r="X11" t="str">
        <f t="shared" si="4"/>
        <v>Harris</v>
      </c>
      <c r="Y11" s="8">
        <v>5346</v>
      </c>
      <c r="Z11" s="7">
        <v>0.43527871305649085</v>
      </c>
      <c r="AA11" s="7">
        <v>0.52899364010475125</v>
      </c>
      <c r="AB11" s="7">
        <v>9.1657313879536101E-3</v>
      </c>
    </row>
    <row r="12" spans="1:28" x14ac:dyDescent="0.2">
      <c r="A12" s="6" t="s">
        <v>855</v>
      </c>
      <c r="B12" s="5">
        <v>0</v>
      </c>
      <c r="C12" s="5">
        <v>28457</v>
      </c>
      <c r="D12" s="5">
        <v>0</v>
      </c>
      <c r="E12" s="5">
        <v>275</v>
      </c>
      <c r="F12" s="5">
        <v>35</v>
      </c>
      <c r="G12" s="5">
        <v>31</v>
      </c>
      <c r="H12" s="5">
        <v>21571</v>
      </c>
      <c r="I12" s="5">
        <v>0</v>
      </c>
      <c r="J12" s="5">
        <v>0</v>
      </c>
      <c r="K12" s="5">
        <v>87</v>
      </c>
      <c r="L12" s="5">
        <v>154</v>
      </c>
      <c r="M12" s="5">
        <v>5683</v>
      </c>
      <c r="N12" s="5">
        <v>40</v>
      </c>
      <c r="O12" s="5">
        <v>6</v>
      </c>
      <c r="P12" s="5">
        <v>2</v>
      </c>
      <c r="Q12" s="5">
        <v>0</v>
      </c>
      <c r="R12" s="5">
        <v>0</v>
      </c>
      <c r="S12" s="5">
        <v>285</v>
      </c>
      <c r="T12">
        <f t="shared" si="0"/>
        <v>28169</v>
      </c>
      <c r="U12" s="7">
        <f t="shared" si="1"/>
        <v>0.76577088288544148</v>
      </c>
      <c r="V12" s="7">
        <f t="shared" si="2"/>
        <v>0.20174660087330043</v>
      </c>
      <c r="W12" s="7">
        <f t="shared" si="3"/>
        <v>3.0885015442507721E-3</v>
      </c>
      <c r="X12" t="str">
        <f t="shared" si="4"/>
        <v>Trump</v>
      </c>
      <c r="Y12" s="8">
        <v>28169</v>
      </c>
      <c r="Z12" s="7">
        <v>0.76577088288544148</v>
      </c>
      <c r="AA12" s="7">
        <v>0.20174660087330043</v>
      </c>
      <c r="AB12" s="7">
        <v>3.0885015442507721E-3</v>
      </c>
    </row>
    <row r="13" spans="1:28" x14ac:dyDescent="0.2">
      <c r="A13" s="6" t="s">
        <v>856</v>
      </c>
      <c r="B13" s="5">
        <v>0</v>
      </c>
      <c r="C13" s="5">
        <v>6616</v>
      </c>
      <c r="D13" s="5">
        <v>0</v>
      </c>
      <c r="E13" s="5">
        <v>39</v>
      </c>
      <c r="F13" s="5">
        <v>6</v>
      </c>
      <c r="G13" s="5">
        <v>4</v>
      </c>
      <c r="H13" s="5">
        <v>5671</v>
      </c>
      <c r="I13" s="5">
        <v>0</v>
      </c>
      <c r="J13" s="5">
        <v>0</v>
      </c>
      <c r="K13" s="5">
        <v>10</v>
      </c>
      <c r="L13" s="5">
        <v>44</v>
      </c>
      <c r="M13" s="5">
        <v>734</v>
      </c>
      <c r="N13" s="5">
        <v>10</v>
      </c>
      <c r="O13" s="5">
        <v>3</v>
      </c>
      <c r="P13" s="5">
        <v>0</v>
      </c>
      <c r="Q13" s="5">
        <v>0</v>
      </c>
      <c r="R13" s="5">
        <v>0</v>
      </c>
      <c r="S13" s="5">
        <v>35</v>
      </c>
      <c r="T13">
        <f t="shared" si="0"/>
        <v>6556</v>
      </c>
      <c r="U13" s="7">
        <f t="shared" si="1"/>
        <v>0.86500915192190364</v>
      </c>
      <c r="V13" s="7">
        <f t="shared" si="2"/>
        <v>0.11195851128737035</v>
      </c>
      <c r="W13" s="7">
        <f t="shared" si="3"/>
        <v>1.5253203172666261E-3</v>
      </c>
      <c r="X13" t="str">
        <f t="shared" si="4"/>
        <v>Trump</v>
      </c>
      <c r="Y13" s="8">
        <v>6556</v>
      </c>
      <c r="Z13" s="7">
        <v>0.86500915192190364</v>
      </c>
      <c r="AA13" s="7">
        <v>0.11195851128737035</v>
      </c>
      <c r="AB13" s="7">
        <v>1.5253203172666261E-3</v>
      </c>
    </row>
    <row r="14" spans="1:28" x14ac:dyDescent="0.2">
      <c r="A14" s="6" t="s">
        <v>857</v>
      </c>
      <c r="B14" s="5">
        <v>0</v>
      </c>
      <c r="C14" s="5">
        <v>4560</v>
      </c>
      <c r="D14" s="5">
        <v>0</v>
      </c>
      <c r="E14" s="5">
        <v>32</v>
      </c>
      <c r="F14" s="5">
        <v>4</v>
      </c>
      <c r="G14" s="5">
        <v>6</v>
      </c>
      <c r="H14" s="5">
        <v>3277</v>
      </c>
      <c r="I14" s="5">
        <v>0</v>
      </c>
      <c r="J14" s="5">
        <v>0</v>
      </c>
      <c r="K14" s="5">
        <v>11</v>
      </c>
      <c r="L14" s="5">
        <v>16</v>
      </c>
      <c r="M14" s="5">
        <v>1137</v>
      </c>
      <c r="N14" s="5">
        <v>3</v>
      </c>
      <c r="O14" s="5">
        <v>2</v>
      </c>
      <c r="P14" s="5">
        <v>2</v>
      </c>
      <c r="Q14" s="5">
        <v>0</v>
      </c>
      <c r="R14" s="5">
        <v>0</v>
      </c>
      <c r="S14" s="5">
        <v>42</v>
      </c>
      <c r="T14">
        <f t="shared" si="0"/>
        <v>4532</v>
      </c>
      <c r="U14" s="7">
        <f t="shared" si="1"/>
        <v>0.72308031774051196</v>
      </c>
      <c r="V14" s="7">
        <f t="shared" si="2"/>
        <v>0.25088261253309796</v>
      </c>
      <c r="W14" s="7">
        <f t="shared" si="3"/>
        <v>2.4271844660194173E-3</v>
      </c>
      <c r="X14" t="str">
        <f t="shared" si="4"/>
        <v>Trump</v>
      </c>
      <c r="Y14" s="8">
        <v>4532</v>
      </c>
      <c r="Z14" s="7">
        <v>0.72308031774051196</v>
      </c>
      <c r="AA14" s="7">
        <v>0.25088261253309796</v>
      </c>
      <c r="AB14" s="7">
        <v>2.4271844660194173E-3</v>
      </c>
    </row>
    <row r="15" spans="1:28" x14ac:dyDescent="0.2">
      <c r="A15" s="6" t="s">
        <v>858</v>
      </c>
      <c r="B15" s="5">
        <v>0</v>
      </c>
      <c r="C15" s="5">
        <v>6500</v>
      </c>
      <c r="D15" s="5">
        <v>0</v>
      </c>
      <c r="E15" s="5">
        <v>45</v>
      </c>
      <c r="F15" s="5">
        <v>8</v>
      </c>
      <c r="G15" s="5">
        <v>2</v>
      </c>
      <c r="H15" s="5">
        <v>5558</v>
      </c>
      <c r="I15" s="5">
        <v>0</v>
      </c>
      <c r="J15" s="5">
        <v>1</v>
      </c>
      <c r="K15" s="5">
        <v>8</v>
      </c>
      <c r="L15" s="5">
        <v>42</v>
      </c>
      <c r="M15" s="5">
        <v>713</v>
      </c>
      <c r="N15" s="5">
        <v>9</v>
      </c>
      <c r="O15" s="5">
        <v>1</v>
      </c>
      <c r="P15" s="5">
        <v>1</v>
      </c>
      <c r="Q15" s="5">
        <v>0</v>
      </c>
      <c r="R15" s="5">
        <v>0</v>
      </c>
      <c r="S15" s="5">
        <v>48</v>
      </c>
      <c r="T15">
        <f t="shared" si="0"/>
        <v>6436</v>
      </c>
      <c r="U15" s="7">
        <f t="shared" si="1"/>
        <v>0.86357986326911129</v>
      </c>
      <c r="V15" s="7">
        <f t="shared" si="2"/>
        <v>0.11078309509011809</v>
      </c>
      <c r="W15" s="7">
        <f t="shared" si="3"/>
        <v>1.243008079552517E-3</v>
      </c>
      <c r="X15" t="str">
        <f t="shared" si="4"/>
        <v>Trump</v>
      </c>
      <c r="Y15" s="8">
        <v>6436</v>
      </c>
      <c r="Z15" s="7">
        <v>0.86357986326911129</v>
      </c>
      <c r="AA15" s="7">
        <v>0.11078309509011809</v>
      </c>
      <c r="AB15" s="7">
        <v>1.243008079552517E-3</v>
      </c>
    </row>
    <row r="16" spans="1:28" x14ac:dyDescent="0.2">
      <c r="A16" s="6" t="s">
        <v>859</v>
      </c>
      <c r="B16" s="5">
        <v>0</v>
      </c>
      <c r="C16" s="5">
        <v>7005</v>
      </c>
      <c r="D16" s="5">
        <v>0</v>
      </c>
      <c r="E16" s="5">
        <v>104</v>
      </c>
      <c r="F16" s="5">
        <v>3</v>
      </c>
      <c r="G16" s="5">
        <v>2</v>
      </c>
      <c r="H16" s="5">
        <v>5300</v>
      </c>
      <c r="I16" s="5">
        <v>0</v>
      </c>
      <c r="J16" s="5">
        <v>0</v>
      </c>
      <c r="K16" s="5">
        <v>22</v>
      </c>
      <c r="L16" s="5">
        <v>60</v>
      </c>
      <c r="M16" s="5">
        <v>1256</v>
      </c>
      <c r="N16" s="5">
        <v>10</v>
      </c>
      <c r="O16" s="5">
        <v>26</v>
      </c>
      <c r="P16" s="5">
        <v>3</v>
      </c>
      <c r="Q16" s="5">
        <v>0</v>
      </c>
      <c r="R16" s="5">
        <v>0</v>
      </c>
      <c r="S16" s="5">
        <v>29</v>
      </c>
      <c r="T16">
        <f t="shared" si="0"/>
        <v>6815</v>
      </c>
      <c r="U16" s="7">
        <f t="shared" si="1"/>
        <v>0.7776962582538518</v>
      </c>
      <c r="V16" s="7">
        <f t="shared" si="2"/>
        <v>0.18429933969185619</v>
      </c>
      <c r="W16" s="7">
        <f t="shared" si="3"/>
        <v>3.2281731474688188E-3</v>
      </c>
      <c r="X16" t="str">
        <f t="shared" si="4"/>
        <v>Trump</v>
      </c>
      <c r="Y16" s="8">
        <v>6815</v>
      </c>
      <c r="Z16" s="7">
        <v>0.7776962582538518</v>
      </c>
      <c r="AA16" s="7">
        <v>0.18429933969185619</v>
      </c>
      <c r="AB16" s="7">
        <v>3.2281731474688188E-3</v>
      </c>
    </row>
    <row r="17" spans="1:28" x14ac:dyDescent="0.2">
      <c r="A17" s="6" t="s">
        <v>860</v>
      </c>
      <c r="B17" s="5">
        <v>0</v>
      </c>
      <c r="C17" s="5">
        <v>977</v>
      </c>
      <c r="D17" s="5">
        <v>0</v>
      </c>
      <c r="E17" s="5">
        <v>3</v>
      </c>
      <c r="F17" s="5">
        <v>0</v>
      </c>
      <c r="G17" s="5">
        <v>0</v>
      </c>
      <c r="H17" s="5">
        <v>854</v>
      </c>
      <c r="I17" s="5">
        <v>0</v>
      </c>
      <c r="J17" s="5">
        <v>0</v>
      </c>
      <c r="K17" s="5">
        <v>4</v>
      </c>
      <c r="L17" s="5">
        <v>6</v>
      </c>
      <c r="M17" s="5">
        <v>94</v>
      </c>
      <c r="N17" s="5">
        <v>2</v>
      </c>
      <c r="O17" s="5">
        <v>2</v>
      </c>
      <c r="P17" s="5">
        <v>0</v>
      </c>
      <c r="Q17" s="5">
        <v>0</v>
      </c>
      <c r="R17" s="5">
        <v>0</v>
      </c>
      <c r="S17" s="5">
        <v>6</v>
      </c>
      <c r="T17">
        <f t="shared" si="0"/>
        <v>971</v>
      </c>
      <c r="U17" s="7">
        <f t="shared" si="1"/>
        <v>0.87950566426364574</v>
      </c>
      <c r="V17" s="7">
        <f t="shared" si="2"/>
        <v>9.6807415036045313E-2</v>
      </c>
      <c r="W17" s="7">
        <f t="shared" si="3"/>
        <v>4.1194644696189494E-3</v>
      </c>
      <c r="X17" t="str">
        <f t="shared" si="4"/>
        <v>Trump</v>
      </c>
      <c r="Y17" s="8">
        <v>971</v>
      </c>
      <c r="Z17" s="7">
        <v>0.87950566426364574</v>
      </c>
      <c r="AA17" s="7">
        <v>9.6807415036045313E-2</v>
      </c>
      <c r="AB17" s="7">
        <v>4.1194644696189494E-3</v>
      </c>
    </row>
    <row r="18" spans="1:28" x14ac:dyDescent="0.2">
      <c r="A18" s="6" t="s">
        <v>861</v>
      </c>
      <c r="B18" s="5">
        <v>0</v>
      </c>
      <c r="C18" s="5">
        <v>1465</v>
      </c>
      <c r="D18" s="5">
        <v>0</v>
      </c>
      <c r="E18" s="5">
        <v>13</v>
      </c>
      <c r="F18" s="5">
        <v>0</v>
      </c>
      <c r="G18" s="5">
        <v>0</v>
      </c>
      <c r="H18" s="5">
        <v>1211</v>
      </c>
      <c r="I18" s="5">
        <v>0</v>
      </c>
      <c r="J18" s="5">
        <v>0</v>
      </c>
      <c r="K18" s="5">
        <v>3</v>
      </c>
      <c r="L18" s="5">
        <v>2</v>
      </c>
      <c r="M18" s="5">
        <v>214</v>
      </c>
      <c r="N18" s="5">
        <v>4</v>
      </c>
      <c r="O18" s="5">
        <v>0</v>
      </c>
      <c r="P18" s="5">
        <v>0</v>
      </c>
      <c r="Q18" s="5">
        <v>0</v>
      </c>
      <c r="R18" s="5">
        <v>0</v>
      </c>
      <c r="S18" s="5">
        <v>11</v>
      </c>
      <c r="T18">
        <f t="shared" si="0"/>
        <v>1458</v>
      </c>
      <c r="U18" s="7">
        <f t="shared" si="1"/>
        <v>0.83058984910836764</v>
      </c>
      <c r="V18" s="7">
        <f t="shared" si="2"/>
        <v>0.1467764060356653</v>
      </c>
      <c r="W18" s="7">
        <f t="shared" si="3"/>
        <v>2.05761316872428E-3</v>
      </c>
      <c r="X18" t="str">
        <f t="shared" si="4"/>
        <v>Trump</v>
      </c>
      <c r="Y18" s="8">
        <v>1458</v>
      </c>
      <c r="Z18" s="7">
        <v>0.83058984910836764</v>
      </c>
      <c r="AA18" s="7">
        <v>0.1467764060356653</v>
      </c>
      <c r="AB18" s="7">
        <v>2.05761316872428E-3</v>
      </c>
    </row>
    <row r="19" spans="1:28" x14ac:dyDescent="0.2">
      <c r="A19" s="6" t="s">
        <v>862</v>
      </c>
      <c r="B19" s="5">
        <v>0</v>
      </c>
      <c r="C19" s="5">
        <v>521789</v>
      </c>
      <c r="D19" s="5">
        <v>0</v>
      </c>
      <c r="E19" s="5">
        <v>5260</v>
      </c>
      <c r="F19" s="5">
        <v>1437</v>
      </c>
      <c r="G19" s="5">
        <v>921</v>
      </c>
      <c r="H19" s="5">
        <v>221555</v>
      </c>
      <c r="I19" s="5">
        <v>0</v>
      </c>
      <c r="J19" s="5">
        <v>15</v>
      </c>
      <c r="K19" s="5">
        <v>3581</v>
      </c>
      <c r="L19" s="5">
        <v>2090</v>
      </c>
      <c r="M19" s="5">
        <v>273658</v>
      </c>
      <c r="N19" s="5">
        <v>990</v>
      </c>
      <c r="O19" s="5">
        <v>419</v>
      </c>
      <c r="P19" s="5">
        <v>129</v>
      </c>
      <c r="Q19" s="5">
        <v>0</v>
      </c>
      <c r="R19" s="5">
        <v>1</v>
      </c>
      <c r="S19" s="5">
        <v>11732</v>
      </c>
      <c r="T19">
        <f t="shared" si="0"/>
        <v>521788</v>
      </c>
      <c r="U19" s="7">
        <f t="shared" si="1"/>
        <v>0.42460731178179645</v>
      </c>
      <c r="V19" s="7">
        <f t="shared" si="2"/>
        <v>0.52446204205539415</v>
      </c>
      <c r="W19" s="7">
        <f t="shared" si="3"/>
        <v>6.8629405045727383E-3</v>
      </c>
      <c r="X19" t="str">
        <f t="shared" si="4"/>
        <v>Harris</v>
      </c>
      <c r="Y19" s="8">
        <v>521788</v>
      </c>
      <c r="Z19" s="7">
        <v>0.42460731178179645</v>
      </c>
      <c r="AA19" s="7">
        <v>0.52446204205539415</v>
      </c>
      <c r="AB19" s="7">
        <v>6.8629405045727383E-3</v>
      </c>
    </row>
    <row r="20" spans="1:28" x14ac:dyDescent="0.2">
      <c r="A20" s="6" t="s">
        <v>863</v>
      </c>
      <c r="B20" s="5">
        <v>0</v>
      </c>
      <c r="C20" s="5">
        <v>6441</v>
      </c>
      <c r="D20" s="5">
        <v>0</v>
      </c>
      <c r="E20" s="5">
        <v>39</v>
      </c>
      <c r="F20" s="5">
        <v>23</v>
      </c>
      <c r="G20" s="5">
        <v>16</v>
      </c>
      <c r="H20" s="5">
        <v>3613</v>
      </c>
      <c r="I20" s="5">
        <v>0</v>
      </c>
      <c r="J20" s="5">
        <v>0</v>
      </c>
      <c r="K20" s="5">
        <v>14</v>
      </c>
      <c r="L20" s="5">
        <v>32</v>
      </c>
      <c r="M20" s="5">
        <v>2581</v>
      </c>
      <c r="N20" s="5">
        <v>10</v>
      </c>
      <c r="O20" s="5">
        <v>10</v>
      </c>
      <c r="P20" s="5">
        <v>1</v>
      </c>
      <c r="Q20" s="5">
        <v>0</v>
      </c>
      <c r="R20" s="5">
        <v>0</v>
      </c>
      <c r="S20" s="5">
        <v>41</v>
      </c>
      <c r="T20">
        <f t="shared" si="0"/>
        <v>6380</v>
      </c>
      <c r="U20" s="7">
        <f t="shared" si="1"/>
        <v>0.56630094043887147</v>
      </c>
      <c r="V20" s="7">
        <f t="shared" si="2"/>
        <v>0.40454545454545454</v>
      </c>
      <c r="W20" s="7">
        <f t="shared" si="3"/>
        <v>2.19435736677116E-3</v>
      </c>
      <c r="X20" t="str">
        <f t="shared" si="4"/>
        <v>Trump</v>
      </c>
      <c r="Y20" s="8">
        <v>6380</v>
      </c>
      <c r="Z20" s="7">
        <v>0.56630094043887147</v>
      </c>
      <c r="AA20" s="7">
        <v>0.40454545454545454</v>
      </c>
      <c r="AB20" s="7">
        <v>2.19435736677116E-3</v>
      </c>
    </row>
    <row r="21" spans="1:28" x14ac:dyDescent="0.2">
      <c r="A21" s="6" t="s">
        <v>864</v>
      </c>
      <c r="B21" s="5">
        <v>0</v>
      </c>
      <c r="C21" s="5">
        <v>13226</v>
      </c>
      <c r="D21" s="5">
        <v>0</v>
      </c>
      <c r="E21" s="5">
        <v>101</v>
      </c>
      <c r="F21" s="5">
        <v>19</v>
      </c>
      <c r="G21" s="5">
        <v>17</v>
      </c>
      <c r="H21" s="5">
        <v>10653</v>
      </c>
      <c r="I21" s="5">
        <v>0</v>
      </c>
      <c r="J21" s="5">
        <v>0</v>
      </c>
      <c r="K21" s="5">
        <v>35</v>
      </c>
      <c r="L21" s="5">
        <v>197</v>
      </c>
      <c r="M21" s="5">
        <v>1906</v>
      </c>
      <c r="N21" s="5">
        <v>15</v>
      </c>
      <c r="O21" s="5">
        <v>11</v>
      </c>
      <c r="P21" s="5">
        <v>0</v>
      </c>
      <c r="Q21" s="5">
        <v>0</v>
      </c>
      <c r="R21" s="5">
        <v>1</v>
      </c>
      <c r="S21" s="5">
        <v>95</v>
      </c>
      <c r="T21">
        <f t="shared" si="0"/>
        <v>13050</v>
      </c>
      <c r="U21" s="7">
        <f t="shared" si="1"/>
        <v>0.81632183908045974</v>
      </c>
      <c r="V21" s="7">
        <f t="shared" si="2"/>
        <v>0.1460536398467433</v>
      </c>
      <c r="W21" s="7">
        <f t="shared" si="3"/>
        <v>2.6819923371647508E-3</v>
      </c>
      <c r="X21" t="str">
        <f t="shared" si="4"/>
        <v>Trump</v>
      </c>
      <c r="Y21" s="8">
        <v>13050</v>
      </c>
      <c r="Z21" s="7">
        <v>0.81632183908045974</v>
      </c>
      <c r="AA21" s="7">
        <v>0.1460536398467433</v>
      </c>
      <c r="AB21" s="7">
        <v>2.6819923371647508E-3</v>
      </c>
    </row>
    <row r="22" spans="1:28" x14ac:dyDescent="0.2">
      <c r="A22" s="6" t="s">
        <v>865</v>
      </c>
      <c r="B22" s="5">
        <v>0</v>
      </c>
      <c r="C22" s="5">
        <v>11072</v>
      </c>
      <c r="D22" s="5">
        <v>0</v>
      </c>
      <c r="E22" s="5">
        <v>64</v>
      </c>
      <c r="F22" s="5">
        <v>11</v>
      </c>
      <c r="G22" s="5">
        <v>4</v>
      </c>
      <c r="H22" s="5">
        <v>9526</v>
      </c>
      <c r="I22" s="5">
        <v>0</v>
      </c>
      <c r="J22" s="5">
        <v>0</v>
      </c>
      <c r="K22" s="5">
        <v>27</v>
      </c>
      <c r="L22" s="5">
        <v>47</v>
      </c>
      <c r="M22" s="5">
        <v>1236</v>
      </c>
      <c r="N22" s="5">
        <v>11</v>
      </c>
      <c r="O22" s="5">
        <v>1</v>
      </c>
      <c r="P22" s="5">
        <v>0</v>
      </c>
      <c r="Q22" s="5">
        <v>0</v>
      </c>
      <c r="R22" s="5">
        <v>0</v>
      </c>
      <c r="S22" s="5">
        <v>80</v>
      </c>
      <c r="T22">
        <f t="shared" si="0"/>
        <v>11007</v>
      </c>
      <c r="U22" s="7">
        <f t="shared" si="1"/>
        <v>0.86544925956209684</v>
      </c>
      <c r="V22" s="7">
        <f t="shared" si="2"/>
        <v>0.11229217770509675</v>
      </c>
      <c r="W22" s="7">
        <f t="shared" si="3"/>
        <v>2.4529844644317253E-3</v>
      </c>
      <c r="X22" t="str">
        <f t="shared" si="4"/>
        <v>Trump</v>
      </c>
      <c r="Y22" s="8">
        <v>11007</v>
      </c>
      <c r="Z22" s="7">
        <v>0.86544925956209684</v>
      </c>
      <c r="AA22" s="7">
        <v>0.11229217770509675</v>
      </c>
      <c r="AB22" s="7">
        <v>2.4529844644317253E-3</v>
      </c>
    </row>
    <row r="23" spans="1:28" x14ac:dyDescent="0.2">
      <c r="A23" s="6" t="s">
        <v>866</v>
      </c>
      <c r="B23" s="5">
        <v>0</v>
      </c>
      <c r="C23" s="5">
        <v>26482</v>
      </c>
      <c r="D23" s="5">
        <v>0</v>
      </c>
      <c r="E23" s="5">
        <v>236</v>
      </c>
      <c r="F23" s="5">
        <v>19</v>
      </c>
      <c r="G23" s="5">
        <v>23</v>
      </c>
      <c r="H23" s="5">
        <v>10783</v>
      </c>
      <c r="I23" s="5">
        <v>0</v>
      </c>
      <c r="J23" s="5">
        <v>0</v>
      </c>
      <c r="K23" s="5">
        <v>121</v>
      </c>
      <c r="L23" s="5">
        <v>46</v>
      </c>
      <c r="M23" s="5">
        <v>14612</v>
      </c>
      <c r="N23" s="5">
        <v>36</v>
      </c>
      <c r="O23" s="5">
        <v>5</v>
      </c>
      <c r="P23" s="5">
        <v>0</v>
      </c>
      <c r="Q23" s="5">
        <v>0</v>
      </c>
      <c r="R23" s="5">
        <v>0</v>
      </c>
      <c r="S23" s="5">
        <v>253</v>
      </c>
      <c r="T23">
        <f t="shared" si="0"/>
        <v>26134</v>
      </c>
      <c r="U23" s="7">
        <f t="shared" si="1"/>
        <v>0.41260427029922708</v>
      </c>
      <c r="V23" s="7">
        <f t="shared" si="2"/>
        <v>0.55911838983699391</v>
      </c>
      <c r="W23" s="7">
        <f t="shared" si="3"/>
        <v>4.6299839289814038E-3</v>
      </c>
      <c r="X23" t="str">
        <f t="shared" si="4"/>
        <v>Harris</v>
      </c>
      <c r="Y23" s="8">
        <v>26134</v>
      </c>
      <c r="Z23" s="7">
        <v>0.41260427029922708</v>
      </c>
      <c r="AA23" s="7">
        <v>0.55911838983699391</v>
      </c>
      <c r="AB23" s="7">
        <v>4.6299839289814038E-3</v>
      </c>
    </row>
    <row r="24" spans="1:28" x14ac:dyDescent="0.2">
      <c r="A24" s="6" t="s">
        <v>867</v>
      </c>
      <c r="B24" s="5">
        <v>0</v>
      </c>
      <c r="C24" s="5">
        <v>34652</v>
      </c>
      <c r="D24" s="5">
        <v>0</v>
      </c>
      <c r="E24" s="5">
        <v>358</v>
      </c>
      <c r="F24" s="5">
        <v>66</v>
      </c>
      <c r="G24" s="5">
        <v>36</v>
      </c>
      <c r="H24" s="5">
        <v>23484</v>
      </c>
      <c r="I24" s="5">
        <v>0</v>
      </c>
      <c r="J24" s="5">
        <v>0</v>
      </c>
      <c r="K24" s="5">
        <v>168</v>
      </c>
      <c r="L24" s="5">
        <v>237</v>
      </c>
      <c r="M24" s="5">
        <v>9560</v>
      </c>
      <c r="N24" s="5">
        <v>79</v>
      </c>
      <c r="O24" s="5">
        <v>25</v>
      </c>
      <c r="P24" s="5">
        <v>18</v>
      </c>
      <c r="Q24" s="5">
        <v>0</v>
      </c>
      <c r="R24" s="5">
        <v>0</v>
      </c>
      <c r="S24" s="5">
        <v>261</v>
      </c>
      <c r="T24">
        <f t="shared" si="0"/>
        <v>34292</v>
      </c>
      <c r="U24" s="7">
        <f t="shared" si="1"/>
        <v>0.68482444885104399</v>
      </c>
      <c r="V24" s="7">
        <f t="shared" si="2"/>
        <v>0.27878222325906915</v>
      </c>
      <c r="W24" s="7">
        <f t="shared" si="3"/>
        <v>4.8991018313309228E-3</v>
      </c>
      <c r="X24" t="str">
        <f t="shared" si="4"/>
        <v>Trump</v>
      </c>
      <c r="Y24" s="8">
        <v>34292</v>
      </c>
      <c r="Z24" s="7">
        <v>0.68482444885104399</v>
      </c>
      <c r="AA24" s="7">
        <v>0.27878222325906915</v>
      </c>
      <c r="AB24" s="7">
        <v>4.8991018313309228E-3</v>
      </c>
    </row>
    <row r="25" spans="1:28" x14ac:dyDescent="0.2">
      <c r="A25" s="6" t="s">
        <v>868</v>
      </c>
      <c r="B25" s="5">
        <v>0</v>
      </c>
      <c r="C25" s="5">
        <v>16036</v>
      </c>
      <c r="D25" s="5">
        <v>0</v>
      </c>
      <c r="E25" s="5">
        <v>113</v>
      </c>
      <c r="F25" s="5">
        <v>15</v>
      </c>
      <c r="G25" s="5">
        <v>11</v>
      </c>
      <c r="H25" s="5">
        <v>13599</v>
      </c>
      <c r="I25" s="5">
        <v>0</v>
      </c>
      <c r="J25" s="5">
        <v>0</v>
      </c>
      <c r="K25" s="5">
        <v>33</v>
      </c>
      <c r="L25" s="5">
        <v>84</v>
      </c>
      <c r="M25" s="5">
        <v>1952</v>
      </c>
      <c r="N25" s="5">
        <v>24</v>
      </c>
      <c r="O25" s="5">
        <v>4</v>
      </c>
      <c r="P25" s="5">
        <v>1</v>
      </c>
      <c r="Q25" s="5">
        <v>0</v>
      </c>
      <c r="R25" s="5">
        <v>0</v>
      </c>
      <c r="S25" s="5">
        <v>103</v>
      </c>
      <c r="T25">
        <f t="shared" si="0"/>
        <v>15939</v>
      </c>
      <c r="U25" s="7">
        <f t="shared" si="1"/>
        <v>0.85319028797289664</v>
      </c>
      <c r="V25" s="7">
        <f t="shared" si="2"/>
        <v>0.12246690507560072</v>
      </c>
      <c r="W25" s="7">
        <f t="shared" si="3"/>
        <v>2.070393374741201E-3</v>
      </c>
      <c r="X25" t="str">
        <f t="shared" si="4"/>
        <v>Trump</v>
      </c>
      <c r="Y25" s="8">
        <v>15939</v>
      </c>
      <c r="Z25" s="7">
        <v>0.85319028797289664</v>
      </c>
      <c r="AA25" s="7">
        <v>0.12246690507560072</v>
      </c>
      <c r="AB25" s="7">
        <v>2.070393374741201E-3</v>
      </c>
    </row>
    <row r="26" spans="1:28" x14ac:dyDescent="0.2">
      <c r="A26" s="6" t="s">
        <v>869</v>
      </c>
      <c r="B26" s="5">
        <v>0</v>
      </c>
      <c r="C26" s="5">
        <v>308981</v>
      </c>
      <c r="D26" s="5">
        <v>0</v>
      </c>
      <c r="E26" s="5">
        <v>4397</v>
      </c>
      <c r="F26" s="5">
        <v>536</v>
      </c>
      <c r="G26" s="5">
        <v>382</v>
      </c>
      <c r="H26" s="5">
        <v>203476</v>
      </c>
      <c r="I26" s="5">
        <v>1</v>
      </c>
      <c r="J26" s="5">
        <v>13</v>
      </c>
      <c r="K26" s="5">
        <v>1582</v>
      </c>
      <c r="L26" s="5">
        <v>2164</v>
      </c>
      <c r="M26" s="5">
        <v>84937</v>
      </c>
      <c r="N26" s="5">
        <v>470</v>
      </c>
      <c r="O26" s="5">
        <v>42</v>
      </c>
      <c r="P26" s="5">
        <v>155</v>
      </c>
      <c r="Q26" s="5">
        <v>0</v>
      </c>
      <c r="R26" s="5">
        <v>30</v>
      </c>
      <c r="S26" s="5">
        <v>3668</v>
      </c>
      <c r="T26">
        <f t="shared" si="0"/>
        <v>301853</v>
      </c>
      <c r="U26" s="7">
        <f t="shared" si="1"/>
        <v>0.67408970591645601</v>
      </c>
      <c r="V26" s="7">
        <f t="shared" si="2"/>
        <v>0.28138531006814577</v>
      </c>
      <c r="W26" s="7">
        <f t="shared" si="3"/>
        <v>5.2409616601458327E-3</v>
      </c>
      <c r="X26" t="str">
        <f t="shared" si="4"/>
        <v>Trump</v>
      </c>
      <c r="Y26" s="8">
        <v>301853</v>
      </c>
      <c r="Z26" s="7">
        <v>0.67408970591645601</v>
      </c>
      <c r="AA26" s="7">
        <v>0.28138531006814577</v>
      </c>
      <c r="AB26" s="7">
        <v>5.2409616601458327E-3</v>
      </c>
    </row>
    <row r="27" spans="1:28" x14ac:dyDescent="0.2">
      <c r="A27" s="6" t="s">
        <v>870</v>
      </c>
      <c r="B27" s="5">
        <v>0</v>
      </c>
      <c r="C27" s="5">
        <v>18979</v>
      </c>
      <c r="D27" s="5">
        <v>0</v>
      </c>
      <c r="E27" s="5">
        <v>188</v>
      </c>
      <c r="F27" s="5">
        <v>12</v>
      </c>
      <c r="G27" s="5">
        <v>15</v>
      </c>
      <c r="H27" s="5">
        <v>11495</v>
      </c>
      <c r="I27" s="5">
        <v>0</v>
      </c>
      <c r="J27" s="5">
        <v>0</v>
      </c>
      <c r="K27" s="5">
        <v>83</v>
      </c>
      <c r="L27" s="5">
        <v>79</v>
      </c>
      <c r="M27" s="5">
        <v>6459</v>
      </c>
      <c r="N27" s="5">
        <v>23</v>
      </c>
      <c r="O27" s="5">
        <v>3</v>
      </c>
      <c r="P27" s="5">
        <v>0</v>
      </c>
      <c r="Q27" s="5">
        <v>0</v>
      </c>
      <c r="R27" s="5">
        <v>0</v>
      </c>
      <c r="S27" s="5">
        <v>260</v>
      </c>
      <c r="T27">
        <f t="shared" si="0"/>
        <v>18617</v>
      </c>
      <c r="U27" s="7">
        <f t="shared" si="1"/>
        <v>0.61744641993876559</v>
      </c>
      <c r="V27" s="7">
        <f t="shared" si="2"/>
        <v>0.34694096793253476</v>
      </c>
      <c r="W27" s="7">
        <f t="shared" si="3"/>
        <v>4.458290809475211E-3</v>
      </c>
      <c r="X27" t="str">
        <f t="shared" si="4"/>
        <v>Trump</v>
      </c>
      <c r="Y27" s="8">
        <v>18617</v>
      </c>
      <c r="Z27" s="7">
        <v>0.61744641993876559</v>
      </c>
      <c r="AA27" s="7">
        <v>0.34694096793253476</v>
      </c>
      <c r="AB27" s="7">
        <v>4.458290809475211E-3</v>
      </c>
    </row>
    <row r="28" spans="1:28" x14ac:dyDescent="0.2">
      <c r="A28" s="6" t="s">
        <v>871</v>
      </c>
      <c r="B28" s="5">
        <v>0</v>
      </c>
      <c r="C28" s="5">
        <v>99137</v>
      </c>
      <c r="D28" s="5">
        <v>0</v>
      </c>
      <c r="E28" s="5">
        <v>719</v>
      </c>
      <c r="F28" s="5">
        <v>105</v>
      </c>
      <c r="G28" s="5">
        <v>81</v>
      </c>
      <c r="H28" s="5">
        <v>73165</v>
      </c>
      <c r="I28" s="5">
        <v>0</v>
      </c>
      <c r="J28" s="5">
        <v>1</v>
      </c>
      <c r="K28" s="5">
        <v>294</v>
      </c>
      <c r="L28" s="5">
        <v>447</v>
      </c>
      <c r="M28" s="5">
        <v>22327</v>
      </c>
      <c r="N28" s="5">
        <v>105</v>
      </c>
      <c r="O28" s="5">
        <v>38</v>
      </c>
      <c r="P28" s="5">
        <v>11</v>
      </c>
      <c r="Q28" s="5">
        <v>0</v>
      </c>
      <c r="R28" s="5">
        <v>1</v>
      </c>
      <c r="S28" s="5">
        <v>747</v>
      </c>
      <c r="T28">
        <f t="shared" si="0"/>
        <v>98041</v>
      </c>
      <c r="U28" s="7">
        <f t="shared" si="1"/>
        <v>0.74626941789659429</v>
      </c>
      <c r="V28" s="7">
        <f t="shared" si="2"/>
        <v>0.22773125529115371</v>
      </c>
      <c r="W28" s="7">
        <f t="shared" si="3"/>
        <v>2.9987454228333045E-3</v>
      </c>
      <c r="X28" t="str">
        <f t="shared" si="4"/>
        <v>Trump</v>
      </c>
      <c r="Y28" s="8">
        <v>98041</v>
      </c>
      <c r="Z28" s="7">
        <v>0.74626941789659429</v>
      </c>
      <c r="AA28" s="7">
        <v>0.22773125529115371</v>
      </c>
      <c r="AB28" s="7">
        <v>2.9987454228333045E-3</v>
      </c>
    </row>
    <row r="29" spans="1:28" x14ac:dyDescent="0.2">
      <c r="A29" s="6" t="s">
        <v>872</v>
      </c>
      <c r="B29" s="5">
        <v>0</v>
      </c>
      <c r="C29" s="5">
        <v>1674</v>
      </c>
      <c r="D29" s="5">
        <v>0</v>
      </c>
      <c r="E29" s="5">
        <v>8</v>
      </c>
      <c r="F29" s="5">
        <v>2</v>
      </c>
      <c r="G29" s="5">
        <v>6</v>
      </c>
      <c r="H29" s="5">
        <v>1238</v>
      </c>
      <c r="I29" s="5">
        <v>0</v>
      </c>
      <c r="J29" s="5">
        <v>0</v>
      </c>
      <c r="K29" s="5">
        <v>5</v>
      </c>
      <c r="L29" s="5">
        <v>10</v>
      </c>
      <c r="M29" s="5">
        <v>381</v>
      </c>
      <c r="N29" s="5">
        <v>1</v>
      </c>
      <c r="O29" s="5">
        <v>2</v>
      </c>
      <c r="P29" s="5">
        <v>0</v>
      </c>
      <c r="Q29" s="5">
        <v>0</v>
      </c>
      <c r="R29" s="5">
        <v>0</v>
      </c>
      <c r="S29" s="5">
        <v>12</v>
      </c>
      <c r="T29">
        <f t="shared" si="0"/>
        <v>1665</v>
      </c>
      <c r="U29" s="7">
        <f t="shared" si="1"/>
        <v>0.74354354354354357</v>
      </c>
      <c r="V29" s="7">
        <f t="shared" si="2"/>
        <v>0.22882882882882882</v>
      </c>
      <c r="W29" s="7">
        <f t="shared" si="3"/>
        <v>3.003003003003003E-3</v>
      </c>
      <c r="X29" t="str">
        <f t="shared" si="4"/>
        <v>Trump</v>
      </c>
      <c r="Y29" s="8">
        <v>1665</v>
      </c>
      <c r="Z29" s="7">
        <v>0.74354354354354357</v>
      </c>
      <c r="AA29" s="7">
        <v>0.22882882882882882</v>
      </c>
      <c r="AB29" s="7">
        <v>3.003003003003003E-3</v>
      </c>
    </row>
    <row r="30" spans="1:28" x14ac:dyDescent="0.2">
      <c r="A30" s="6" t="s">
        <v>873</v>
      </c>
      <c r="B30" s="5">
        <v>0</v>
      </c>
      <c r="C30" s="5">
        <v>114612</v>
      </c>
      <c r="D30" s="5">
        <v>0</v>
      </c>
      <c r="E30" s="5">
        <v>1325</v>
      </c>
      <c r="F30" s="5">
        <v>258</v>
      </c>
      <c r="G30" s="5">
        <v>189</v>
      </c>
      <c r="H30" s="5">
        <v>67549</v>
      </c>
      <c r="I30" s="5">
        <v>7</v>
      </c>
      <c r="J30" s="5">
        <v>9</v>
      </c>
      <c r="K30" s="5">
        <v>644</v>
      </c>
      <c r="L30" s="5">
        <v>580</v>
      </c>
      <c r="M30" s="5">
        <v>41238</v>
      </c>
      <c r="N30" s="5">
        <v>234</v>
      </c>
      <c r="O30" s="5">
        <v>83</v>
      </c>
      <c r="P30" s="5">
        <v>21</v>
      </c>
      <c r="Q30" s="5">
        <v>0</v>
      </c>
      <c r="R30" s="5">
        <v>0</v>
      </c>
      <c r="S30" s="5">
        <v>980</v>
      </c>
      <c r="T30">
        <f t="shared" si="0"/>
        <v>113117</v>
      </c>
      <c r="U30" s="7">
        <f t="shared" si="1"/>
        <v>0.59716046217633068</v>
      </c>
      <c r="V30" s="7">
        <f t="shared" si="2"/>
        <v>0.36456058771007011</v>
      </c>
      <c r="W30" s="7">
        <f t="shared" si="3"/>
        <v>5.6932202940318428E-3</v>
      </c>
      <c r="X30" t="str">
        <f t="shared" si="4"/>
        <v>Trump</v>
      </c>
      <c r="Y30" s="8">
        <v>113117</v>
      </c>
      <c r="Z30" s="7">
        <v>0.59716046217633068</v>
      </c>
      <c r="AA30" s="7">
        <v>0.36456058771007011</v>
      </c>
      <c r="AB30" s="7">
        <v>5.6932202940318428E-3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1265-28AC-F84E-AC2D-E70DF4C653FC}">
  <dimension ref="A1:A7"/>
  <sheetViews>
    <sheetView workbookViewId="0">
      <selection activeCell="A7" sqref="A7"/>
    </sheetView>
  </sheetViews>
  <sheetFormatPr baseColWidth="10" defaultRowHeight="15" x14ac:dyDescent="0.2"/>
  <sheetData>
    <row r="1" spans="1:1" x14ac:dyDescent="0.2">
      <c r="A1" s="5" t="s">
        <v>877</v>
      </c>
    </row>
    <row r="2" spans="1:1" x14ac:dyDescent="0.2">
      <c r="A2" s="5" t="s">
        <v>880</v>
      </c>
    </row>
    <row r="3" spans="1:1" x14ac:dyDescent="0.2">
      <c r="A3" s="5" t="s">
        <v>884</v>
      </c>
    </row>
    <row r="4" spans="1:1" x14ac:dyDescent="0.2">
      <c r="A4" s="5" t="s">
        <v>885</v>
      </c>
    </row>
    <row r="5" spans="1:1" x14ac:dyDescent="0.2">
      <c r="A5" s="5" t="s">
        <v>890</v>
      </c>
    </row>
    <row r="6" spans="1:1" x14ac:dyDescent="0.2">
      <c r="A6" s="5" t="s">
        <v>891</v>
      </c>
    </row>
    <row r="7" spans="1:1" x14ac:dyDescent="0.2">
      <c r="A7" s="5" t="s">
        <v>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3713"/>
  <sheetViews>
    <sheetView topLeftCell="B1" workbookViewId="0">
      <selection activeCell="B28" sqref="B28"/>
    </sheetView>
  </sheetViews>
  <sheetFormatPr baseColWidth="10" defaultColWidth="8.83203125" defaultRowHeight="15" x14ac:dyDescent="0.2"/>
  <cols>
    <col min="1" max="1" width="19.83203125" customWidth="1"/>
    <col min="2" max="2" width="131.33203125" customWidth="1"/>
    <col min="3" max="3" width="11.5" customWidth="1"/>
    <col min="4" max="4" width="50.5" customWidth="1"/>
    <col min="5" max="5" width="10.83203125" customWidth="1"/>
    <col min="6" max="6" width="22.6640625" customWidth="1"/>
    <col min="7" max="78" width="9.1640625" customWidth="1"/>
  </cols>
  <sheetData>
    <row r="1" spans="1:78" x14ac:dyDescent="0.2">
      <c r="A1" s="1" t="s">
        <v>844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x14ac:dyDescent="0.2">
      <c r="A2" t="s">
        <v>845</v>
      </c>
      <c r="B2" t="s">
        <v>6</v>
      </c>
      <c r="C2" t="s">
        <v>7</v>
      </c>
      <c r="D2" t="s">
        <v>8</v>
      </c>
      <c r="G2">
        <v>0</v>
      </c>
    </row>
    <row r="3" spans="1:78" x14ac:dyDescent="0.2">
      <c r="A3" t="s">
        <v>845</v>
      </c>
      <c r="B3" t="s">
        <v>6</v>
      </c>
      <c r="C3" t="s">
        <v>7</v>
      </c>
      <c r="D3" t="s">
        <v>9</v>
      </c>
      <c r="E3" t="s">
        <v>10</v>
      </c>
      <c r="F3" t="s">
        <v>11</v>
      </c>
      <c r="G3">
        <v>0</v>
      </c>
    </row>
    <row r="4" spans="1:78" x14ac:dyDescent="0.2">
      <c r="A4" t="s">
        <v>845</v>
      </c>
      <c r="B4" t="s">
        <v>6</v>
      </c>
      <c r="C4" t="s">
        <v>7</v>
      </c>
      <c r="D4" t="s">
        <v>12</v>
      </c>
      <c r="E4" t="s">
        <v>13</v>
      </c>
      <c r="F4" t="s">
        <v>11</v>
      </c>
      <c r="G4">
        <v>1</v>
      </c>
    </row>
    <row r="5" spans="1:78" x14ac:dyDescent="0.2">
      <c r="A5" t="s">
        <v>845</v>
      </c>
      <c r="B5" t="s">
        <v>6</v>
      </c>
      <c r="C5" t="s">
        <v>7</v>
      </c>
      <c r="D5" t="s">
        <v>14</v>
      </c>
      <c r="E5" t="s">
        <v>15</v>
      </c>
      <c r="F5" t="s">
        <v>16</v>
      </c>
      <c r="G5">
        <v>14</v>
      </c>
    </row>
    <row r="6" spans="1:78" x14ac:dyDescent="0.2">
      <c r="A6" t="s">
        <v>845</v>
      </c>
      <c r="B6" t="s">
        <v>6</v>
      </c>
      <c r="C6" t="s">
        <v>7</v>
      </c>
      <c r="D6" t="s">
        <v>17</v>
      </c>
      <c r="E6" t="s">
        <v>18</v>
      </c>
      <c r="F6" t="s">
        <v>19</v>
      </c>
      <c r="G6">
        <v>8</v>
      </c>
    </row>
    <row r="7" spans="1:78" x14ac:dyDescent="0.2">
      <c r="A7" t="s">
        <v>845</v>
      </c>
      <c r="B7" t="s">
        <v>6</v>
      </c>
      <c r="C7" t="s">
        <v>7</v>
      </c>
      <c r="D7" t="s">
        <v>20</v>
      </c>
      <c r="E7" t="s">
        <v>21</v>
      </c>
      <c r="F7" t="s">
        <v>22</v>
      </c>
      <c r="G7">
        <v>2781</v>
      </c>
    </row>
    <row r="8" spans="1:78" x14ac:dyDescent="0.2">
      <c r="A8" t="s">
        <v>845</v>
      </c>
      <c r="B8" t="s">
        <v>6</v>
      </c>
      <c r="C8" t="s">
        <v>7</v>
      </c>
      <c r="D8" t="s">
        <v>23</v>
      </c>
      <c r="E8" t="s">
        <v>24</v>
      </c>
      <c r="F8" t="s">
        <v>25</v>
      </c>
      <c r="G8">
        <v>10</v>
      </c>
    </row>
    <row r="9" spans="1:78" x14ac:dyDescent="0.2">
      <c r="A9" t="s">
        <v>845</v>
      </c>
      <c r="B9" t="s">
        <v>6</v>
      </c>
      <c r="C9" t="s">
        <v>7</v>
      </c>
      <c r="D9" t="s">
        <v>26</v>
      </c>
      <c r="E9" t="s">
        <v>27</v>
      </c>
      <c r="F9" t="s">
        <v>28</v>
      </c>
      <c r="G9">
        <v>394</v>
      </c>
    </row>
    <row r="10" spans="1:78" x14ac:dyDescent="0.2">
      <c r="A10" t="s">
        <v>845</v>
      </c>
      <c r="B10" t="s">
        <v>6</v>
      </c>
      <c r="C10" t="s">
        <v>7</v>
      </c>
      <c r="D10" t="s">
        <v>29</v>
      </c>
      <c r="E10" t="s">
        <v>30</v>
      </c>
      <c r="F10" t="s">
        <v>11</v>
      </c>
      <c r="G10">
        <v>4</v>
      </c>
    </row>
    <row r="11" spans="1:78" x14ac:dyDescent="0.2">
      <c r="A11" t="s">
        <v>845</v>
      </c>
      <c r="B11" t="s">
        <v>6</v>
      </c>
      <c r="C11" t="s">
        <v>7</v>
      </c>
      <c r="D11" t="s">
        <v>31</v>
      </c>
      <c r="E11" t="s">
        <v>32</v>
      </c>
      <c r="F11" t="s">
        <v>11</v>
      </c>
      <c r="G11">
        <v>0</v>
      </c>
    </row>
    <row r="12" spans="1:78" x14ac:dyDescent="0.2">
      <c r="A12" t="s">
        <v>845</v>
      </c>
      <c r="B12" t="s">
        <v>6</v>
      </c>
      <c r="C12" t="s">
        <v>7</v>
      </c>
      <c r="D12" t="s">
        <v>33</v>
      </c>
      <c r="E12" t="s">
        <v>34</v>
      </c>
      <c r="F12" t="s">
        <v>11</v>
      </c>
      <c r="G12">
        <v>0</v>
      </c>
    </row>
    <row r="13" spans="1:78" x14ac:dyDescent="0.2">
      <c r="A13" t="s">
        <v>845</v>
      </c>
      <c r="B13" t="s">
        <v>6</v>
      </c>
      <c r="C13" t="s">
        <v>7</v>
      </c>
      <c r="D13" t="s">
        <v>35</v>
      </c>
      <c r="E13" t="s">
        <v>36</v>
      </c>
      <c r="F13" t="s">
        <v>11</v>
      </c>
      <c r="G13">
        <v>0</v>
      </c>
    </row>
    <row r="14" spans="1:78" x14ac:dyDescent="0.2">
      <c r="A14" t="s">
        <v>845</v>
      </c>
      <c r="B14" t="s">
        <v>6</v>
      </c>
      <c r="C14" t="s">
        <v>7</v>
      </c>
      <c r="D14" t="s">
        <v>37</v>
      </c>
      <c r="E14" t="s">
        <v>38</v>
      </c>
      <c r="F14" t="s">
        <v>11</v>
      </c>
      <c r="G14">
        <v>0</v>
      </c>
    </row>
    <row r="15" spans="1:78" x14ac:dyDescent="0.2">
      <c r="A15" t="s">
        <v>845</v>
      </c>
      <c r="B15" t="s">
        <v>6</v>
      </c>
      <c r="C15" t="s">
        <v>7</v>
      </c>
      <c r="D15" t="s">
        <v>39</v>
      </c>
      <c r="E15" t="s">
        <v>40</v>
      </c>
      <c r="F15" t="s">
        <v>11</v>
      </c>
      <c r="G15">
        <v>0</v>
      </c>
    </row>
    <row r="16" spans="1:78" x14ac:dyDescent="0.2">
      <c r="A16" t="s">
        <v>845</v>
      </c>
      <c r="B16" t="s">
        <v>6</v>
      </c>
      <c r="C16" t="s">
        <v>7</v>
      </c>
      <c r="D16" t="s">
        <v>41</v>
      </c>
      <c r="E16" t="s">
        <v>42</v>
      </c>
      <c r="F16" t="s">
        <v>11</v>
      </c>
      <c r="G16">
        <v>0</v>
      </c>
    </row>
    <row r="17" spans="1:7" x14ac:dyDescent="0.2">
      <c r="A17" t="s">
        <v>845</v>
      </c>
      <c r="B17" t="s">
        <v>6</v>
      </c>
      <c r="C17" t="s">
        <v>7</v>
      </c>
      <c r="D17" t="s">
        <v>43</v>
      </c>
      <c r="E17" t="s">
        <v>44</v>
      </c>
      <c r="F17" t="s">
        <v>11</v>
      </c>
      <c r="G17">
        <v>0</v>
      </c>
    </row>
    <row r="18" spans="1:7" x14ac:dyDescent="0.2">
      <c r="A18" t="s">
        <v>845</v>
      </c>
      <c r="B18" t="s">
        <v>6</v>
      </c>
      <c r="C18" t="s">
        <v>7</v>
      </c>
      <c r="D18" t="s">
        <v>45</v>
      </c>
      <c r="G18">
        <v>0</v>
      </c>
    </row>
    <row r="19" spans="1:7" x14ac:dyDescent="0.2">
      <c r="A19" t="s">
        <v>845</v>
      </c>
      <c r="B19" t="s">
        <v>6</v>
      </c>
      <c r="C19" t="s">
        <v>7</v>
      </c>
      <c r="D19" t="s">
        <v>46</v>
      </c>
      <c r="G19">
        <v>0</v>
      </c>
    </row>
    <row r="20" spans="1:7" x14ac:dyDescent="0.2">
      <c r="A20" t="s">
        <v>845</v>
      </c>
      <c r="B20" t="s">
        <v>47</v>
      </c>
      <c r="C20" t="s">
        <v>48</v>
      </c>
      <c r="D20" t="s">
        <v>8</v>
      </c>
      <c r="G20">
        <v>0</v>
      </c>
    </row>
    <row r="21" spans="1:7" x14ac:dyDescent="0.2">
      <c r="A21" t="s">
        <v>845</v>
      </c>
      <c r="B21" t="s">
        <v>47</v>
      </c>
      <c r="C21" t="s">
        <v>48</v>
      </c>
      <c r="D21" t="s">
        <v>49</v>
      </c>
      <c r="E21" t="s">
        <v>50</v>
      </c>
      <c r="F21" t="s">
        <v>51</v>
      </c>
      <c r="G21">
        <v>214</v>
      </c>
    </row>
    <row r="22" spans="1:7" x14ac:dyDescent="0.2">
      <c r="A22" t="s">
        <v>845</v>
      </c>
      <c r="B22" t="s">
        <v>47</v>
      </c>
      <c r="C22" t="s">
        <v>48</v>
      </c>
      <c r="D22" t="s">
        <v>52</v>
      </c>
      <c r="E22" t="s">
        <v>53</v>
      </c>
      <c r="F22" t="s">
        <v>22</v>
      </c>
      <c r="G22">
        <v>2605</v>
      </c>
    </row>
    <row r="23" spans="1:7" x14ac:dyDescent="0.2">
      <c r="A23" t="s">
        <v>845</v>
      </c>
      <c r="B23" t="s">
        <v>47</v>
      </c>
      <c r="C23" t="s">
        <v>48</v>
      </c>
      <c r="D23" t="s">
        <v>54</v>
      </c>
      <c r="E23" t="s">
        <v>55</v>
      </c>
      <c r="F23" t="s">
        <v>28</v>
      </c>
      <c r="G23">
        <v>327</v>
      </c>
    </row>
    <row r="24" spans="1:7" x14ac:dyDescent="0.2">
      <c r="A24" t="s">
        <v>845</v>
      </c>
      <c r="B24" t="s">
        <v>47</v>
      </c>
      <c r="C24" t="s">
        <v>48</v>
      </c>
      <c r="D24" t="s">
        <v>56</v>
      </c>
      <c r="E24" t="s">
        <v>57</v>
      </c>
      <c r="F24" t="s">
        <v>11</v>
      </c>
      <c r="G24">
        <v>0</v>
      </c>
    </row>
    <row r="25" spans="1:7" x14ac:dyDescent="0.2">
      <c r="A25" t="s">
        <v>845</v>
      </c>
      <c r="B25" t="s">
        <v>47</v>
      </c>
      <c r="C25" t="s">
        <v>48</v>
      </c>
      <c r="D25" t="s">
        <v>45</v>
      </c>
      <c r="G25">
        <v>0</v>
      </c>
    </row>
    <row r="26" spans="1:7" x14ac:dyDescent="0.2">
      <c r="A26" t="s">
        <v>845</v>
      </c>
      <c r="B26" t="s">
        <v>47</v>
      </c>
      <c r="C26" t="s">
        <v>48</v>
      </c>
      <c r="D26" t="s">
        <v>46</v>
      </c>
      <c r="G26">
        <v>0</v>
      </c>
    </row>
    <row r="27" spans="1:7" x14ac:dyDescent="0.2">
      <c r="A27" t="s">
        <v>845</v>
      </c>
      <c r="B27" t="s">
        <v>66</v>
      </c>
      <c r="C27" t="s">
        <v>67</v>
      </c>
      <c r="D27" t="s">
        <v>8</v>
      </c>
      <c r="G27">
        <v>0</v>
      </c>
    </row>
    <row r="28" spans="1:7" x14ac:dyDescent="0.2">
      <c r="A28" t="s">
        <v>845</v>
      </c>
      <c r="B28" t="s">
        <v>66</v>
      </c>
      <c r="C28" t="s">
        <v>67</v>
      </c>
      <c r="D28" t="s">
        <v>68</v>
      </c>
      <c r="E28" t="s">
        <v>69</v>
      </c>
      <c r="F28" t="s">
        <v>28</v>
      </c>
      <c r="G28">
        <v>334</v>
      </c>
    </row>
    <row r="29" spans="1:7" x14ac:dyDescent="0.2">
      <c r="A29" t="s">
        <v>845</v>
      </c>
      <c r="B29" t="s">
        <v>66</v>
      </c>
      <c r="C29" t="s">
        <v>67</v>
      </c>
      <c r="D29" t="s">
        <v>70</v>
      </c>
      <c r="E29" t="s">
        <v>71</v>
      </c>
      <c r="F29" t="s">
        <v>16</v>
      </c>
      <c r="G29">
        <v>154</v>
      </c>
    </row>
    <row r="30" spans="1:7" x14ac:dyDescent="0.2">
      <c r="A30" t="s">
        <v>845</v>
      </c>
      <c r="B30" t="s">
        <v>66</v>
      </c>
      <c r="C30" t="s">
        <v>67</v>
      </c>
      <c r="D30" t="s">
        <v>72</v>
      </c>
      <c r="E30" t="s">
        <v>73</v>
      </c>
      <c r="F30" t="s">
        <v>22</v>
      </c>
      <c r="G30">
        <v>2629</v>
      </c>
    </row>
    <row r="31" spans="1:7" x14ac:dyDescent="0.2">
      <c r="A31" t="s">
        <v>845</v>
      </c>
      <c r="B31" t="s">
        <v>66</v>
      </c>
      <c r="C31" t="s">
        <v>67</v>
      </c>
      <c r="D31" t="s">
        <v>74</v>
      </c>
      <c r="E31" t="s">
        <v>75</v>
      </c>
      <c r="F31" t="s">
        <v>11</v>
      </c>
      <c r="G31">
        <v>36</v>
      </c>
    </row>
    <row r="32" spans="1:7" x14ac:dyDescent="0.2">
      <c r="A32" t="s">
        <v>845</v>
      </c>
      <c r="B32" t="s">
        <v>66</v>
      </c>
      <c r="C32" t="s">
        <v>67</v>
      </c>
      <c r="D32" t="s">
        <v>45</v>
      </c>
      <c r="G32">
        <v>0</v>
      </c>
    </row>
    <row r="33" spans="1:7" x14ac:dyDescent="0.2">
      <c r="A33" t="s">
        <v>845</v>
      </c>
      <c r="B33" t="s">
        <v>66</v>
      </c>
      <c r="C33" t="s">
        <v>67</v>
      </c>
      <c r="D33" t="s">
        <v>46</v>
      </c>
      <c r="G33">
        <v>0</v>
      </c>
    </row>
    <row r="34" spans="1:7" x14ac:dyDescent="0.2">
      <c r="A34" t="s">
        <v>845</v>
      </c>
      <c r="B34" t="s">
        <v>93</v>
      </c>
      <c r="C34" t="s">
        <v>94</v>
      </c>
      <c r="D34" t="s">
        <v>8</v>
      </c>
      <c r="G34">
        <v>0</v>
      </c>
    </row>
    <row r="35" spans="1:7" x14ac:dyDescent="0.2">
      <c r="A35" t="s">
        <v>845</v>
      </c>
      <c r="B35" t="s">
        <v>93</v>
      </c>
      <c r="C35" t="s">
        <v>94</v>
      </c>
      <c r="D35" t="s">
        <v>95</v>
      </c>
      <c r="E35" t="s">
        <v>96</v>
      </c>
      <c r="F35" t="s">
        <v>22</v>
      </c>
      <c r="G35">
        <v>2120</v>
      </c>
    </row>
    <row r="36" spans="1:7" x14ac:dyDescent="0.2">
      <c r="A36" t="s">
        <v>845</v>
      </c>
      <c r="B36" t="s">
        <v>93</v>
      </c>
      <c r="C36" t="s">
        <v>94</v>
      </c>
      <c r="D36" t="s">
        <v>97</v>
      </c>
      <c r="E36" t="s">
        <v>98</v>
      </c>
      <c r="F36" t="s">
        <v>51</v>
      </c>
      <c r="G36">
        <v>70</v>
      </c>
    </row>
    <row r="37" spans="1:7" x14ac:dyDescent="0.2">
      <c r="A37" t="s">
        <v>845</v>
      </c>
      <c r="B37" t="s">
        <v>93</v>
      </c>
      <c r="C37" t="s">
        <v>94</v>
      </c>
      <c r="D37" t="s">
        <v>99</v>
      </c>
      <c r="E37" t="s">
        <v>100</v>
      </c>
      <c r="F37" t="s">
        <v>28</v>
      </c>
      <c r="G37">
        <v>251</v>
      </c>
    </row>
    <row r="38" spans="1:7" x14ac:dyDescent="0.2">
      <c r="A38" t="s">
        <v>845</v>
      </c>
      <c r="B38" t="s">
        <v>93</v>
      </c>
      <c r="C38" t="s">
        <v>94</v>
      </c>
      <c r="D38" t="s">
        <v>101</v>
      </c>
      <c r="E38" t="s">
        <v>102</v>
      </c>
      <c r="F38" t="s">
        <v>25</v>
      </c>
      <c r="G38">
        <v>73</v>
      </c>
    </row>
    <row r="39" spans="1:7" x14ac:dyDescent="0.2">
      <c r="A39" t="s">
        <v>845</v>
      </c>
      <c r="B39" t="s">
        <v>93</v>
      </c>
      <c r="C39" t="s">
        <v>94</v>
      </c>
      <c r="D39" t="s">
        <v>103</v>
      </c>
      <c r="E39" t="s">
        <v>104</v>
      </c>
      <c r="F39" t="s">
        <v>11</v>
      </c>
      <c r="G39">
        <v>22</v>
      </c>
    </row>
    <row r="40" spans="1:7" x14ac:dyDescent="0.2">
      <c r="A40" t="s">
        <v>845</v>
      </c>
      <c r="B40" t="s">
        <v>93</v>
      </c>
      <c r="C40" t="s">
        <v>94</v>
      </c>
      <c r="D40" t="s">
        <v>105</v>
      </c>
      <c r="E40" t="s">
        <v>106</v>
      </c>
      <c r="F40" t="s">
        <v>11</v>
      </c>
      <c r="G40">
        <v>592</v>
      </c>
    </row>
    <row r="41" spans="1:7" x14ac:dyDescent="0.2">
      <c r="A41" t="s">
        <v>845</v>
      </c>
      <c r="B41" t="s">
        <v>93</v>
      </c>
      <c r="C41" t="s">
        <v>94</v>
      </c>
      <c r="D41" t="s">
        <v>107</v>
      </c>
      <c r="E41" t="s">
        <v>108</v>
      </c>
      <c r="F41" t="s">
        <v>11</v>
      </c>
      <c r="G41">
        <v>1</v>
      </c>
    </row>
    <row r="42" spans="1:7" x14ac:dyDescent="0.2">
      <c r="A42" t="s">
        <v>845</v>
      </c>
      <c r="B42" t="s">
        <v>93</v>
      </c>
      <c r="C42" t="s">
        <v>94</v>
      </c>
      <c r="D42" t="s">
        <v>45</v>
      </c>
      <c r="G42">
        <v>0</v>
      </c>
    </row>
    <row r="43" spans="1:7" x14ac:dyDescent="0.2">
      <c r="A43" t="s">
        <v>845</v>
      </c>
      <c r="B43" t="s">
        <v>93</v>
      </c>
      <c r="C43" t="s">
        <v>94</v>
      </c>
      <c r="D43" t="s">
        <v>46</v>
      </c>
      <c r="G43">
        <v>0</v>
      </c>
    </row>
    <row r="44" spans="1:7" x14ac:dyDescent="0.2">
      <c r="A44" t="s">
        <v>845</v>
      </c>
      <c r="B44" t="s">
        <v>109</v>
      </c>
      <c r="C44" t="s">
        <v>110</v>
      </c>
      <c r="D44" t="s">
        <v>8</v>
      </c>
      <c r="G44">
        <v>0</v>
      </c>
    </row>
    <row r="45" spans="1:7" x14ac:dyDescent="0.2">
      <c r="A45" t="s">
        <v>845</v>
      </c>
      <c r="B45" t="s">
        <v>109</v>
      </c>
      <c r="C45" t="s">
        <v>110</v>
      </c>
      <c r="D45" t="s">
        <v>111</v>
      </c>
      <c r="E45" t="s">
        <v>112</v>
      </c>
      <c r="F45" t="s">
        <v>22</v>
      </c>
      <c r="G45">
        <v>2537</v>
      </c>
    </row>
    <row r="46" spans="1:7" x14ac:dyDescent="0.2">
      <c r="A46" t="s">
        <v>845</v>
      </c>
      <c r="B46" t="s">
        <v>109</v>
      </c>
      <c r="C46" t="s">
        <v>110</v>
      </c>
      <c r="D46" t="s">
        <v>113</v>
      </c>
      <c r="E46" t="s">
        <v>114</v>
      </c>
      <c r="F46" t="s">
        <v>28</v>
      </c>
      <c r="G46">
        <v>299</v>
      </c>
    </row>
    <row r="47" spans="1:7" x14ac:dyDescent="0.2">
      <c r="A47" t="s">
        <v>845</v>
      </c>
      <c r="B47" t="s">
        <v>109</v>
      </c>
      <c r="C47" t="s">
        <v>110</v>
      </c>
      <c r="D47" t="s">
        <v>115</v>
      </c>
      <c r="E47" t="s">
        <v>116</v>
      </c>
      <c r="F47" t="s">
        <v>25</v>
      </c>
      <c r="G47">
        <v>107</v>
      </c>
    </row>
    <row r="48" spans="1:7" x14ac:dyDescent="0.2">
      <c r="A48" t="s">
        <v>845</v>
      </c>
      <c r="B48" t="s">
        <v>109</v>
      </c>
      <c r="C48" t="s">
        <v>110</v>
      </c>
      <c r="D48" t="s">
        <v>117</v>
      </c>
      <c r="E48" t="s">
        <v>118</v>
      </c>
      <c r="F48" t="s">
        <v>11</v>
      </c>
      <c r="G48">
        <v>93</v>
      </c>
    </row>
    <row r="49" spans="1:7" x14ac:dyDescent="0.2">
      <c r="A49" t="s">
        <v>845</v>
      </c>
      <c r="B49" t="s">
        <v>109</v>
      </c>
      <c r="C49" t="s">
        <v>110</v>
      </c>
      <c r="D49" t="s">
        <v>119</v>
      </c>
      <c r="E49" t="s">
        <v>120</v>
      </c>
      <c r="F49" t="s">
        <v>88</v>
      </c>
      <c r="G49">
        <v>78</v>
      </c>
    </row>
    <row r="50" spans="1:7" x14ac:dyDescent="0.2">
      <c r="A50" t="s">
        <v>845</v>
      </c>
      <c r="B50" t="s">
        <v>109</v>
      </c>
      <c r="C50" t="s">
        <v>110</v>
      </c>
      <c r="D50" t="s">
        <v>45</v>
      </c>
      <c r="G50">
        <v>0</v>
      </c>
    </row>
    <row r="51" spans="1:7" x14ac:dyDescent="0.2">
      <c r="A51" t="s">
        <v>845</v>
      </c>
      <c r="B51" t="s">
        <v>109</v>
      </c>
      <c r="C51" t="s">
        <v>110</v>
      </c>
      <c r="D51" t="s">
        <v>46</v>
      </c>
      <c r="G51">
        <v>0</v>
      </c>
    </row>
    <row r="52" spans="1:7" x14ac:dyDescent="0.2">
      <c r="A52" t="s">
        <v>845</v>
      </c>
      <c r="B52" t="s">
        <v>121</v>
      </c>
      <c r="C52" t="s">
        <v>122</v>
      </c>
      <c r="D52" t="s">
        <v>8</v>
      </c>
      <c r="G52">
        <v>0</v>
      </c>
    </row>
    <row r="53" spans="1:7" x14ac:dyDescent="0.2">
      <c r="A53" t="s">
        <v>845</v>
      </c>
      <c r="B53" t="s">
        <v>121</v>
      </c>
      <c r="C53" t="s">
        <v>122</v>
      </c>
      <c r="D53" t="s">
        <v>123</v>
      </c>
      <c r="E53" t="s">
        <v>124</v>
      </c>
      <c r="F53" t="s">
        <v>22</v>
      </c>
      <c r="G53">
        <v>2589</v>
      </c>
    </row>
    <row r="54" spans="1:7" x14ac:dyDescent="0.2">
      <c r="A54" t="s">
        <v>845</v>
      </c>
      <c r="B54" t="s">
        <v>121</v>
      </c>
      <c r="C54" t="s">
        <v>122</v>
      </c>
      <c r="D54" t="s">
        <v>125</v>
      </c>
      <c r="E54" t="s">
        <v>126</v>
      </c>
      <c r="F54" t="s">
        <v>16</v>
      </c>
      <c r="G54">
        <v>186</v>
      </c>
    </row>
    <row r="55" spans="1:7" x14ac:dyDescent="0.2">
      <c r="A55" t="s">
        <v>845</v>
      </c>
      <c r="B55" t="s">
        <v>121</v>
      </c>
      <c r="C55" t="s">
        <v>122</v>
      </c>
      <c r="D55" t="s">
        <v>127</v>
      </c>
      <c r="E55" t="s">
        <v>128</v>
      </c>
      <c r="F55" t="s">
        <v>28</v>
      </c>
      <c r="G55">
        <v>314</v>
      </c>
    </row>
    <row r="56" spans="1:7" x14ac:dyDescent="0.2">
      <c r="A56" t="s">
        <v>845</v>
      </c>
      <c r="B56" t="s">
        <v>121</v>
      </c>
      <c r="C56" t="s">
        <v>122</v>
      </c>
      <c r="D56" t="s">
        <v>45</v>
      </c>
      <c r="G56">
        <v>0</v>
      </c>
    </row>
    <row r="57" spans="1:7" x14ac:dyDescent="0.2">
      <c r="A57" t="s">
        <v>845</v>
      </c>
      <c r="B57" t="s">
        <v>121</v>
      </c>
      <c r="C57" t="s">
        <v>122</v>
      </c>
      <c r="D57" t="s">
        <v>46</v>
      </c>
      <c r="G57">
        <v>0</v>
      </c>
    </row>
    <row r="58" spans="1:7" x14ac:dyDescent="0.2">
      <c r="A58" t="s">
        <v>845</v>
      </c>
      <c r="B58" t="s">
        <v>129</v>
      </c>
      <c r="C58" t="s">
        <v>130</v>
      </c>
      <c r="D58" t="s">
        <v>8</v>
      </c>
      <c r="G58">
        <v>0</v>
      </c>
    </row>
    <row r="59" spans="1:7" x14ac:dyDescent="0.2">
      <c r="A59" t="s">
        <v>845</v>
      </c>
      <c r="B59" t="s">
        <v>129</v>
      </c>
      <c r="C59" t="s">
        <v>130</v>
      </c>
      <c r="D59" t="s">
        <v>131</v>
      </c>
      <c r="E59" t="s">
        <v>132</v>
      </c>
      <c r="F59" t="s">
        <v>133</v>
      </c>
      <c r="G59">
        <v>74</v>
      </c>
    </row>
    <row r="60" spans="1:7" x14ac:dyDescent="0.2">
      <c r="A60" t="s">
        <v>845</v>
      </c>
      <c r="B60" t="s">
        <v>129</v>
      </c>
      <c r="C60" t="s">
        <v>130</v>
      </c>
      <c r="D60" t="s">
        <v>134</v>
      </c>
      <c r="E60" t="s">
        <v>135</v>
      </c>
      <c r="F60" t="s">
        <v>22</v>
      </c>
      <c r="G60">
        <v>2644</v>
      </c>
    </row>
    <row r="61" spans="1:7" x14ac:dyDescent="0.2">
      <c r="A61" t="s">
        <v>845</v>
      </c>
      <c r="B61" t="s">
        <v>129</v>
      </c>
      <c r="C61" t="s">
        <v>130</v>
      </c>
      <c r="D61" t="s">
        <v>136</v>
      </c>
      <c r="E61" t="s">
        <v>137</v>
      </c>
      <c r="F61" t="s">
        <v>28</v>
      </c>
      <c r="G61">
        <v>335</v>
      </c>
    </row>
    <row r="62" spans="1:7" x14ac:dyDescent="0.2">
      <c r="A62" t="s">
        <v>845</v>
      </c>
      <c r="B62" t="s">
        <v>129</v>
      </c>
      <c r="C62" t="s">
        <v>130</v>
      </c>
      <c r="D62" t="s">
        <v>45</v>
      </c>
      <c r="G62">
        <v>0</v>
      </c>
    </row>
    <row r="63" spans="1:7" x14ac:dyDescent="0.2">
      <c r="A63" t="s">
        <v>845</v>
      </c>
      <c r="B63" t="s">
        <v>129</v>
      </c>
      <c r="C63" t="s">
        <v>130</v>
      </c>
      <c r="D63" t="s">
        <v>46</v>
      </c>
      <c r="G63">
        <v>0</v>
      </c>
    </row>
    <row r="64" spans="1:7" x14ac:dyDescent="0.2">
      <c r="A64" t="s">
        <v>845</v>
      </c>
      <c r="B64" t="s">
        <v>618</v>
      </c>
      <c r="C64" t="s">
        <v>619</v>
      </c>
      <c r="D64" t="s">
        <v>8</v>
      </c>
      <c r="G64">
        <v>0</v>
      </c>
    </row>
    <row r="65" spans="1:7" x14ac:dyDescent="0.2">
      <c r="A65" t="s">
        <v>845</v>
      </c>
      <c r="B65" t="s">
        <v>618</v>
      </c>
      <c r="C65" t="s">
        <v>619</v>
      </c>
      <c r="D65" t="s">
        <v>620</v>
      </c>
      <c r="E65" t="s">
        <v>621</v>
      </c>
      <c r="F65" t="s">
        <v>22</v>
      </c>
      <c r="G65">
        <v>2815</v>
      </c>
    </row>
    <row r="66" spans="1:7" x14ac:dyDescent="0.2">
      <c r="A66" t="s">
        <v>845</v>
      </c>
      <c r="B66" t="s">
        <v>618</v>
      </c>
      <c r="C66" t="s">
        <v>619</v>
      </c>
      <c r="D66" t="s">
        <v>622</v>
      </c>
      <c r="E66" t="s">
        <v>623</v>
      </c>
      <c r="F66" t="s">
        <v>88</v>
      </c>
      <c r="G66">
        <v>173</v>
      </c>
    </row>
    <row r="67" spans="1:7" x14ac:dyDescent="0.2">
      <c r="A67" t="s">
        <v>845</v>
      </c>
      <c r="B67" t="s">
        <v>618</v>
      </c>
      <c r="C67" t="s">
        <v>619</v>
      </c>
      <c r="D67" t="s">
        <v>45</v>
      </c>
      <c r="G67">
        <v>0</v>
      </c>
    </row>
    <row r="68" spans="1:7" x14ac:dyDescent="0.2">
      <c r="A68" t="s">
        <v>845</v>
      </c>
      <c r="B68" t="s">
        <v>618</v>
      </c>
      <c r="C68" t="s">
        <v>619</v>
      </c>
      <c r="D68" t="s">
        <v>46</v>
      </c>
      <c r="G68">
        <v>0</v>
      </c>
    </row>
    <row r="69" spans="1:7" x14ac:dyDescent="0.2">
      <c r="A69" t="s">
        <v>845</v>
      </c>
      <c r="B69" t="s">
        <v>692</v>
      </c>
      <c r="C69" t="s">
        <v>693</v>
      </c>
      <c r="D69" t="s">
        <v>8</v>
      </c>
      <c r="G69">
        <v>0</v>
      </c>
    </row>
    <row r="70" spans="1:7" x14ac:dyDescent="0.2">
      <c r="A70" t="s">
        <v>845</v>
      </c>
      <c r="B70" t="s">
        <v>692</v>
      </c>
      <c r="C70" t="s">
        <v>693</v>
      </c>
      <c r="D70" t="s">
        <v>694</v>
      </c>
      <c r="E70" t="s">
        <v>695</v>
      </c>
      <c r="G70">
        <v>2261</v>
      </c>
    </row>
    <row r="71" spans="1:7" x14ac:dyDescent="0.2">
      <c r="A71" t="s">
        <v>845</v>
      </c>
      <c r="B71" t="s">
        <v>692</v>
      </c>
      <c r="C71" t="s">
        <v>693</v>
      </c>
      <c r="D71" t="s">
        <v>696</v>
      </c>
      <c r="E71" t="s">
        <v>697</v>
      </c>
      <c r="G71">
        <v>487</v>
      </c>
    </row>
    <row r="72" spans="1:7" x14ac:dyDescent="0.2">
      <c r="A72" t="s">
        <v>845</v>
      </c>
      <c r="B72" t="s">
        <v>692</v>
      </c>
      <c r="C72" t="s">
        <v>693</v>
      </c>
      <c r="D72" t="s">
        <v>45</v>
      </c>
      <c r="G72">
        <v>0</v>
      </c>
    </row>
    <row r="73" spans="1:7" x14ac:dyDescent="0.2">
      <c r="A73" t="s">
        <v>845</v>
      </c>
      <c r="B73" t="s">
        <v>692</v>
      </c>
      <c r="C73" t="s">
        <v>693</v>
      </c>
      <c r="D73" t="s">
        <v>46</v>
      </c>
      <c r="G73">
        <v>0</v>
      </c>
    </row>
    <row r="74" spans="1:7" x14ac:dyDescent="0.2">
      <c r="A74" t="s">
        <v>845</v>
      </c>
      <c r="B74" t="s">
        <v>698</v>
      </c>
      <c r="C74" t="s">
        <v>699</v>
      </c>
      <c r="D74" t="s">
        <v>8</v>
      </c>
      <c r="G74">
        <v>0</v>
      </c>
    </row>
    <row r="75" spans="1:7" x14ac:dyDescent="0.2">
      <c r="A75" t="s">
        <v>845</v>
      </c>
      <c r="B75" t="s">
        <v>698</v>
      </c>
      <c r="C75" t="s">
        <v>699</v>
      </c>
      <c r="D75" t="s">
        <v>694</v>
      </c>
      <c r="E75" t="s">
        <v>700</v>
      </c>
      <c r="G75">
        <v>2250</v>
      </c>
    </row>
    <row r="76" spans="1:7" x14ac:dyDescent="0.2">
      <c r="A76" t="s">
        <v>845</v>
      </c>
      <c r="B76" t="s">
        <v>698</v>
      </c>
      <c r="C76" t="s">
        <v>699</v>
      </c>
      <c r="D76" t="s">
        <v>696</v>
      </c>
      <c r="E76" t="s">
        <v>701</v>
      </c>
      <c r="G76">
        <v>477</v>
      </c>
    </row>
    <row r="77" spans="1:7" x14ac:dyDescent="0.2">
      <c r="A77" t="s">
        <v>845</v>
      </c>
      <c r="B77" t="s">
        <v>698</v>
      </c>
      <c r="C77" t="s">
        <v>699</v>
      </c>
      <c r="D77" t="s">
        <v>45</v>
      </c>
      <c r="G77">
        <v>0</v>
      </c>
    </row>
    <row r="78" spans="1:7" x14ac:dyDescent="0.2">
      <c r="A78" t="s">
        <v>845</v>
      </c>
      <c r="B78" t="s">
        <v>698</v>
      </c>
      <c r="C78" t="s">
        <v>699</v>
      </c>
      <c r="D78" t="s">
        <v>46</v>
      </c>
      <c r="G78">
        <v>0</v>
      </c>
    </row>
    <row r="79" spans="1:7" x14ac:dyDescent="0.2">
      <c r="A79" t="s">
        <v>845</v>
      </c>
      <c r="B79" t="s">
        <v>786</v>
      </c>
      <c r="C79" t="s">
        <v>787</v>
      </c>
      <c r="D79" t="s">
        <v>8</v>
      </c>
      <c r="G79">
        <v>0</v>
      </c>
    </row>
    <row r="80" spans="1:7" x14ac:dyDescent="0.2">
      <c r="A80" t="s">
        <v>845</v>
      </c>
      <c r="B80" t="s">
        <v>786</v>
      </c>
      <c r="C80" t="s">
        <v>787</v>
      </c>
      <c r="D80" t="s">
        <v>694</v>
      </c>
      <c r="E80" t="s">
        <v>788</v>
      </c>
      <c r="G80">
        <v>2348</v>
      </c>
    </row>
    <row r="81" spans="1:7" x14ac:dyDescent="0.2">
      <c r="A81" t="s">
        <v>845</v>
      </c>
      <c r="B81" t="s">
        <v>786</v>
      </c>
      <c r="C81" t="s">
        <v>787</v>
      </c>
      <c r="D81" t="s">
        <v>696</v>
      </c>
      <c r="E81" t="s">
        <v>789</v>
      </c>
      <c r="G81">
        <v>409</v>
      </c>
    </row>
    <row r="82" spans="1:7" x14ac:dyDescent="0.2">
      <c r="A82" t="s">
        <v>845</v>
      </c>
      <c r="B82" t="s">
        <v>786</v>
      </c>
      <c r="C82" t="s">
        <v>787</v>
      </c>
      <c r="D82" t="s">
        <v>45</v>
      </c>
      <c r="G82">
        <v>0</v>
      </c>
    </row>
    <row r="83" spans="1:7" x14ac:dyDescent="0.2">
      <c r="A83" t="s">
        <v>845</v>
      </c>
      <c r="B83" t="s">
        <v>786</v>
      </c>
      <c r="C83" t="s">
        <v>787</v>
      </c>
      <c r="D83" t="s">
        <v>46</v>
      </c>
      <c r="G83">
        <v>0</v>
      </c>
    </row>
    <row r="84" spans="1:7" x14ac:dyDescent="0.2">
      <c r="A84" t="s">
        <v>845</v>
      </c>
      <c r="B84" t="s">
        <v>830</v>
      </c>
      <c r="C84" t="s">
        <v>831</v>
      </c>
      <c r="D84" t="s">
        <v>8</v>
      </c>
      <c r="G84">
        <v>0</v>
      </c>
    </row>
    <row r="85" spans="1:7" x14ac:dyDescent="0.2">
      <c r="A85" t="s">
        <v>845</v>
      </c>
      <c r="B85" t="s">
        <v>830</v>
      </c>
      <c r="C85" t="s">
        <v>831</v>
      </c>
      <c r="D85" t="s">
        <v>694</v>
      </c>
      <c r="E85" t="s">
        <v>832</v>
      </c>
      <c r="G85">
        <v>2306</v>
      </c>
    </row>
    <row r="86" spans="1:7" x14ac:dyDescent="0.2">
      <c r="A86" t="s">
        <v>845</v>
      </c>
      <c r="B86" t="s">
        <v>830</v>
      </c>
      <c r="C86" t="s">
        <v>831</v>
      </c>
      <c r="D86" t="s">
        <v>696</v>
      </c>
      <c r="E86" t="s">
        <v>833</v>
      </c>
      <c r="G86">
        <v>442</v>
      </c>
    </row>
    <row r="87" spans="1:7" x14ac:dyDescent="0.2">
      <c r="A87" t="s">
        <v>845</v>
      </c>
      <c r="B87" t="s">
        <v>830</v>
      </c>
      <c r="C87" t="s">
        <v>831</v>
      </c>
      <c r="D87" t="s">
        <v>45</v>
      </c>
      <c r="G87">
        <v>0</v>
      </c>
    </row>
    <row r="88" spans="1:7" x14ac:dyDescent="0.2">
      <c r="A88" t="s">
        <v>845</v>
      </c>
      <c r="B88" t="s">
        <v>830</v>
      </c>
      <c r="C88" t="s">
        <v>831</v>
      </c>
      <c r="D88" t="s">
        <v>46</v>
      </c>
      <c r="G88">
        <v>0</v>
      </c>
    </row>
    <row r="89" spans="1:7" x14ac:dyDescent="0.2">
      <c r="A89" t="s">
        <v>845</v>
      </c>
      <c r="B89" t="s">
        <v>834</v>
      </c>
      <c r="C89" t="s">
        <v>835</v>
      </c>
      <c r="D89" t="s">
        <v>8</v>
      </c>
      <c r="G89">
        <v>0</v>
      </c>
    </row>
    <row r="90" spans="1:7" x14ac:dyDescent="0.2">
      <c r="A90" t="s">
        <v>845</v>
      </c>
      <c r="B90" t="s">
        <v>834</v>
      </c>
      <c r="C90" t="s">
        <v>835</v>
      </c>
      <c r="D90" t="s">
        <v>836</v>
      </c>
      <c r="E90" t="s">
        <v>837</v>
      </c>
      <c r="G90">
        <v>2133</v>
      </c>
    </row>
    <row r="91" spans="1:7" x14ac:dyDescent="0.2">
      <c r="A91" t="s">
        <v>845</v>
      </c>
      <c r="B91" t="s">
        <v>834</v>
      </c>
      <c r="C91" t="s">
        <v>835</v>
      </c>
      <c r="D91" t="s">
        <v>838</v>
      </c>
      <c r="E91" t="s">
        <v>839</v>
      </c>
      <c r="G91">
        <v>890</v>
      </c>
    </row>
    <row r="92" spans="1:7" x14ac:dyDescent="0.2">
      <c r="A92" t="s">
        <v>845</v>
      </c>
      <c r="B92" t="s">
        <v>834</v>
      </c>
      <c r="C92" t="s">
        <v>835</v>
      </c>
      <c r="D92" t="s">
        <v>45</v>
      </c>
      <c r="G92">
        <v>0</v>
      </c>
    </row>
    <row r="93" spans="1:7" x14ac:dyDescent="0.2">
      <c r="A93" t="s">
        <v>845</v>
      </c>
      <c r="B93" t="s">
        <v>834</v>
      </c>
      <c r="C93" t="s">
        <v>835</v>
      </c>
      <c r="D93" t="s">
        <v>46</v>
      </c>
      <c r="G93">
        <v>0</v>
      </c>
    </row>
    <row r="94" spans="1:7" x14ac:dyDescent="0.2">
      <c r="A94" t="s">
        <v>845</v>
      </c>
      <c r="B94" t="s">
        <v>840</v>
      </c>
      <c r="C94" t="s">
        <v>841</v>
      </c>
      <c r="D94" t="s">
        <v>8</v>
      </c>
      <c r="G94">
        <v>0</v>
      </c>
    </row>
    <row r="95" spans="1:7" x14ac:dyDescent="0.2">
      <c r="A95" t="s">
        <v>845</v>
      </c>
      <c r="B95" t="s">
        <v>840</v>
      </c>
      <c r="C95" t="s">
        <v>841</v>
      </c>
      <c r="D95" t="s">
        <v>836</v>
      </c>
      <c r="E95" t="s">
        <v>842</v>
      </c>
      <c r="G95">
        <v>2808</v>
      </c>
    </row>
    <row r="96" spans="1:7" x14ac:dyDescent="0.2">
      <c r="A96" t="s">
        <v>845</v>
      </c>
      <c r="B96" t="s">
        <v>840</v>
      </c>
      <c r="C96" t="s">
        <v>841</v>
      </c>
      <c r="D96" t="s">
        <v>838</v>
      </c>
      <c r="E96" t="s">
        <v>843</v>
      </c>
      <c r="G96">
        <v>263</v>
      </c>
    </row>
    <row r="97" spans="1:7" x14ac:dyDescent="0.2">
      <c r="A97" t="s">
        <v>845</v>
      </c>
      <c r="B97" t="s">
        <v>840</v>
      </c>
      <c r="C97" t="s">
        <v>841</v>
      </c>
      <c r="D97" t="s">
        <v>45</v>
      </c>
      <c r="G97">
        <v>0</v>
      </c>
    </row>
    <row r="98" spans="1:7" x14ac:dyDescent="0.2">
      <c r="A98" t="s">
        <v>845</v>
      </c>
      <c r="B98" t="s">
        <v>840</v>
      </c>
      <c r="C98" t="s">
        <v>841</v>
      </c>
      <c r="D98" t="s">
        <v>46</v>
      </c>
      <c r="G98">
        <v>0</v>
      </c>
    </row>
    <row r="99" spans="1:7" x14ac:dyDescent="0.2">
      <c r="A99" t="s">
        <v>846</v>
      </c>
      <c r="B99" t="s">
        <v>6</v>
      </c>
      <c r="C99" t="s">
        <v>7</v>
      </c>
      <c r="D99" t="s">
        <v>8</v>
      </c>
      <c r="G99">
        <v>29668</v>
      </c>
    </row>
    <row r="100" spans="1:7" x14ac:dyDescent="0.2">
      <c r="A100" t="s">
        <v>846</v>
      </c>
      <c r="B100" t="s">
        <v>6</v>
      </c>
      <c r="C100" t="s">
        <v>7</v>
      </c>
      <c r="D100" t="s">
        <v>9</v>
      </c>
      <c r="E100" t="s">
        <v>10</v>
      </c>
      <c r="F100" t="s">
        <v>11</v>
      </c>
      <c r="G100">
        <v>32</v>
      </c>
    </row>
    <row r="101" spans="1:7" x14ac:dyDescent="0.2">
      <c r="A101" t="s">
        <v>846</v>
      </c>
      <c r="B101" t="s">
        <v>6</v>
      </c>
      <c r="C101" t="s">
        <v>7</v>
      </c>
      <c r="D101" t="s">
        <v>12</v>
      </c>
      <c r="E101" t="s">
        <v>13</v>
      </c>
      <c r="F101" t="s">
        <v>11</v>
      </c>
      <c r="G101">
        <v>49</v>
      </c>
    </row>
    <row r="102" spans="1:7" x14ac:dyDescent="0.2">
      <c r="A102" t="s">
        <v>846</v>
      </c>
      <c r="B102" t="s">
        <v>6</v>
      </c>
      <c r="C102" t="s">
        <v>7</v>
      </c>
      <c r="D102" t="s">
        <v>14</v>
      </c>
      <c r="E102" t="s">
        <v>15</v>
      </c>
      <c r="F102" t="s">
        <v>16</v>
      </c>
      <c r="G102">
        <v>196</v>
      </c>
    </row>
    <row r="103" spans="1:7" x14ac:dyDescent="0.2">
      <c r="A103" t="s">
        <v>846</v>
      </c>
      <c r="B103" t="s">
        <v>6</v>
      </c>
      <c r="C103" t="s">
        <v>7</v>
      </c>
      <c r="D103" t="s">
        <v>17</v>
      </c>
      <c r="E103" t="s">
        <v>18</v>
      </c>
      <c r="F103" t="s">
        <v>19</v>
      </c>
      <c r="G103">
        <v>119</v>
      </c>
    </row>
    <row r="104" spans="1:7" x14ac:dyDescent="0.2">
      <c r="A104" t="s">
        <v>846</v>
      </c>
      <c r="B104" t="s">
        <v>6</v>
      </c>
      <c r="C104" t="s">
        <v>7</v>
      </c>
      <c r="D104" t="s">
        <v>20</v>
      </c>
      <c r="E104" t="s">
        <v>21</v>
      </c>
      <c r="F104" t="s">
        <v>22</v>
      </c>
      <c r="G104">
        <v>22853</v>
      </c>
    </row>
    <row r="105" spans="1:7" x14ac:dyDescent="0.2">
      <c r="A105" t="s">
        <v>846</v>
      </c>
      <c r="B105" t="s">
        <v>6</v>
      </c>
      <c r="C105" t="s">
        <v>7</v>
      </c>
      <c r="D105" t="s">
        <v>23</v>
      </c>
      <c r="E105" t="s">
        <v>24</v>
      </c>
      <c r="F105" t="s">
        <v>25</v>
      </c>
      <c r="G105">
        <v>342</v>
      </c>
    </row>
    <row r="106" spans="1:7" x14ac:dyDescent="0.2">
      <c r="A106" t="s">
        <v>846</v>
      </c>
      <c r="B106" t="s">
        <v>6</v>
      </c>
      <c r="C106" t="s">
        <v>7</v>
      </c>
      <c r="D106" t="s">
        <v>26</v>
      </c>
      <c r="E106" t="s">
        <v>27</v>
      </c>
      <c r="F106" t="s">
        <v>28</v>
      </c>
      <c r="G106">
        <v>5274</v>
      </c>
    </row>
    <row r="107" spans="1:7" x14ac:dyDescent="0.2">
      <c r="A107" t="s">
        <v>846</v>
      </c>
      <c r="B107" t="s">
        <v>6</v>
      </c>
      <c r="C107" t="s">
        <v>7</v>
      </c>
      <c r="D107" t="s">
        <v>29</v>
      </c>
      <c r="E107" t="s">
        <v>30</v>
      </c>
      <c r="F107" t="s">
        <v>11</v>
      </c>
      <c r="G107">
        <v>44</v>
      </c>
    </row>
    <row r="108" spans="1:7" x14ac:dyDescent="0.2">
      <c r="A108" t="s">
        <v>846</v>
      </c>
      <c r="B108" t="s">
        <v>6</v>
      </c>
      <c r="C108" t="s">
        <v>7</v>
      </c>
      <c r="D108" t="s">
        <v>31</v>
      </c>
      <c r="E108" t="s">
        <v>32</v>
      </c>
      <c r="F108" t="s">
        <v>11</v>
      </c>
      <c r="G108">
        <v>0</v>
      </c>
    </row>
    <row r="109" spans="1:7" x14ac:dyDescent="0.2">
      <c r="A109" t="s">
        <v>846</v>
      </c>
      <c r="B109" t="s">
        <v>6</v>
      </c>
      <c r="C109" t="s">
        <v>7</v>
      </c>
      <c r="D109" t="s">
        <v>33</v>
      </c>
      <c r="E109" t="s">
        <v>34</v>
      </c>
      <c r="F109" t="s">
        <v>11</v>
      </c>
      <c r="G109">
        <v>10</v>
      </c>
    </row>
    <row r="110" spans="1:7" x14ac:dyDescent="0.2">
      <c r="A110" t="s">
        <v>846</v>
      </c>
      <c r="B110" t="s">
        <v>6</v>
      </c>
      <c r="C110" t="s">
        <v>7</v>
      </c>
      <c r="D110" t="s">
        <v>35</v>
      </c>
      <c r="E110" t="s">
        <v>36</v>
      </c>
      <c r="F110" t="s">
        <v>11</v>
      </c>
      <c r="G110">
        <v>1</v>
      </c>
    </row>
    <row r="111" spans="1:7" x14ac:dyDescent="0.2">
      <c r="A111" t="s">
        <v>846</v>
      </c>
      <c r="B111" t="s">
        <v>6</v>
      </c>
      <c r="C111" t="s">
        <v>7</v>
      </c>
      <c r="D111" t="s">
        <v>37</v>
      </c>
      <c r="E111" t="s">
        <v>38</v>
      </c>
      <c r="F111" t="s">
        <v>11</v>
      </c>
      <c r="G111">
        <v>0</v>
      </c>
    </row>
    <row r="112" spans="1:7" x14ac:dyDescent="0.2">
      <c r="A112" t="s">
        <v>846</v>
      </c>
      <c r="B112" t="s">
        <v>6</v>
      </c>
      <c r="C112" t="s">
        <v>7</v>
      </c>
      <c r="D112" t="s">
        <v>39</v>
      </c>
      <c r="E112" t="s">
        <v>40</v>
      </c>
      <c r="F112" t="s">
        <v>11</v>
      </c>
      <c r="G112">
        <v>0</v>
      </c>
    </row>
    <row r="113" spans="1:7" x14ac:dyDescent="0.2">
      <c r="A113" t="s">
        <v>846</v>
      </c>
      <c r="B113" t="s">
        <v>6</v>
      </c>
      <c r="C113" t="s">
        <v>7</v>
      </c>
      <c r="D113" t="s">
        <v>41</v>
      </c>
      <c r="E113" t="s">
        <v>42</v>
      </c>
      <c r="F113" t="s">
        <v>11</v>
      </c>
      <c r="G113">
        <v>0</v>
      </c>
    </row>
    <row r="114" spans="1:7" x14ac:dyDescent="0.2">
      <c r="A114" t="s">
        <v>846</v>
      </c>
      <c r="B114" t="s">
        <v>6</v>
      </c>
      <c r="C114" t="s">
        <v>7</v>
      </c>
      <c r="D114" t="s">
        <v>43</v>
      </c>
      <c r="E114" t="s">
        <v>44</v>
      </c>
      <c r="F114" t="s">
        <v>11</v>
      </c>
      <c r="G114">
        <v>0</v>
      </c>
    </row>
    <row r="115" spans="1:7" x14ac:dyDescent="0.2">
      <c r="A115" t="s">
        <v>846</v>
      </c>
      <c r="B115" t="s">
        <v>6</v>
      </c>
      <c r="C115" t="s">
        <v>7</v>
      </c>
      <c r="D115" t="s">
        <v>45</v>
      </c>
      <c r="G115">
        <v>15</v>
      </c>
    </row>
    <row r="116" spans="1:7" x14ac:dyDescent="0.2">
      <c r="A116" t="s">
        <v>846</v>
      </c>
      <c r="B116" t="s">
        <v>6</v>
      </c>
      <c r="C116" t="s">
        <v>7</v>
      </c>
      <c r="D116" t="s">
        <v>46</v>
      </c>
      <c r="G116">
        <v>321</v>
      </c>
    </row>
    <row r="117" spans="1:7" x14ac:dyDescent="0.2">
      <c r="A117" t="s">
        <v>846</v>
      </c>
      <c r="B117" t="s">
        <v>47</v>
      </c>
      <c r="C117" t="s">
        <v>48</v>
      </c>
      <c r="D117" t="s">
        <v>8</v>
      </c>
      <c r="G117">
        <v>29668</v>
      </c>
    </row>
    <row r="118" spans="1:7" x14ac:dyDescent="0.2">
      <c r="A118" t="s">
        <v>846</v>
      </c>
      <c r="B118" t="s">
        <v>47</v>
      </c>
      <c r="C118" t="s">
        <v>48</v>
      </c>
      <c r="D118" t="s">
        <v>49</v>
      </c>
      <c r="E118" t="s">
        <v>50</v>
      </c>
      <c r="F118" t="s">
        <v>51</v>
      </c>
      <c r="G118">
        <v>1791</v>
      </c>
    </row>
    <row r="119" spans="1:7" x14ac:dyDescent="0.2">
      <c r="A119" t="s">
        <v>846</v>
      </c>
      <c r="B119" t="s">
        <v>47</v>
      </c>
      <c r="C119" t="s">
        <v>48</v>
      </c>
      <c r="D119" t="s">
        <v>52</v>
      </c>
      <c r="E119" t="s">
        <v>53</v>
      </c>
      <c r="F119" t="s">
        <v>22</v>
      </c>
      <c r="G119">
        <v>22803</v>
      </c>
    </row>
    <row r="120" spans="1:7" x14ac:dyDescent="0.2">
      <c r="A120" t="s">
        <v>846</v>
      </c>
      <c r="B120" t="s">
        <v>47</v>
      </c>
      <c r="C120" t="s">
        <v>48</v>
      </c>
      <c r="D120" t="s">
        <v>54</v>
      </c>
      <c r="E120" t="s">
        <v>55</v>
      </c>
      <c r="F120" t="s">
        <v>28</v>
      </c>
      <c r="G120">
        <v>4050</v>
      </c>
    </row>
    <row r="121" spans="1:7" x14ac:dyDescent="0.2">
      <c r="A121" t="s">
        <v>846</v>
      </c>
      <c r="B121" t="s">
        <v>47</v>
      </c>
      <c r="C121" t="s">
        <v>48</v>
      </c>
      <c r="D121" t="s">
        <v>56</v>
      </c>
      <c r="E121" t="s">
        <v>57</v>
      </c>
      <c r="F121" t="s">
        <v>11</v>
      </c>
      <c r="G121">
        <v>7</v>
      </c>
    </row>
    <row r="122" spans="1:7" x14ac:dyDescent="0.2">
      <c r="A122" t="s">
        <v>846</v>
      </c>
      <c r="B122" t="s">
        <v>47</v>
      </c>
      <c r="C122" t="s">
        <v>48</v>
      </c>
      <c r="D122" t="s">
        <v>45</v>
      </c>
      <c r="G122">
        <v>13</v>
      </c>
    </row>
    <row r="123" spans="1:7" x14ac:dyDescent="0.2">
      <c r="A123" t="s">
        <v>846</v>
      </c>
      <c r="B123" t="s">
        <v>47</v>
      </c>
      <c r="C123" t="s">
        <v>48</v>
      </c>
      <c r="D123" t="s">
        <v>46</v>
      </c>
      <c r="G123">
        <v>801</v>
      </c>
    </row>
    <row r="124" spans="1:7" x14ac:dyDescent="0.2">
      <c r="A124" t="s">
        <v>846</v>
      </c>
      <c r="B124" t="s">
        <v>58</v>
      </c>
      <c r="C124" t="s">
        <v>59</v>
      </c>
      <c r="D124" t="s">
        <v>8</v>
      </c>
      <c r="G124">
        <v>29668</v>
      </c>
    </row>
    <row r="125" spans="1:7" x14ac:dyDescent="0.2">
      <c r="A125" t="s">
        <v>846</v>
      </c>
      <c r="B125" t="s">
        <v>58</v>
      </c>
      <c r="C125" t="s">
        <v>59</v>
      </c>
      <c r="D125" t="s">
        <v>60</v>
      </c>
      <c r="E125" t="s">
        <v>61</v>
      </c>
      <c r="F125" t="s">
        <v>28</v>
      </c>
      <c r="G125">
        <v>4130</v>
      </c>
    </row>
    <row r="126" spans="1:7" x14ac:dyDescent="0.2">
      <c r="A126" t="s">
        <v>846</v>
      </c>
      <c r="B126" t="s">
        <v>58</v>
      </c>
      <c r="C126" t="s">
        <v>59</v>
      </c>
      <c r="D126" t="s">
        <v>62</v>
      </c>
      <c r="E126" t="s">
        <v>63</v>
      </c>
      <c r="F126" t="s">
        <v>25</v>
      </c>
      <c r="G126">
        <v>1431</v>
      </c>
    </row>
    <row r="127" spans="1:7" x14ac:dyDescent="0.2">
      <c r="A127" t="s">
        <v>846</v>
      </c>
      <c r="B127" t="s">
        <v>58</v>
      </c>
      <c r="C127" t="s">
        <v>59</v>
      </c>
      <c r="D127" t="s">
        <v>64</v>
      </c>
      <c r="E127" t="s">
        <v>65</v>
      </c>
      <c r="F127" t="s">
        <v>22</v>
      </c>
      <c r="G127">
        <v>22902</v>
      </c>
    </row>
    <row r="128" spans="1:7" x14ac:dyDescent="0.2">
      <c r="A128" t="s">
        <v>846</v>
      </c>
      <c r="B128" t="s">
        <v>58</v>
      </c>
      <c r="C128" t="s">
        <v>59</v>
      </c>
      <c r="D128" t="s">
        <v>45</v>
      </c>
      <c r="G128">
        <v>1</v>
      </c>
    </row>
    <row r="129" spans="1:7" x14ac:dyDescent="0.2">
      <c r="A129" t="s">
        <v>846</v>
      </c>
      <c r="B129" t="s">
        <v>58</v>
      </c>
      <c r="C129" t="s">
        <v>59</v>
      </c>
      <c r="D129" t="s">
        <v>46</v>
      </c>
      <c r="G129">
        <v>1204</v>
      </c>
    </row>
    <row r="130" spans="1:7" x14ac:dyDescent="0.2">
      <c r="A130" t="s">
        <v>846</v>
      </c>
      <c r="B130" t="s">
        <v>93</v>
      </c>
      <c r="C130" t="s">
        <v>94</v>
      </c>
      <c r="D130" t="s">
        <v>8</v>
      </c>
      <c r="G130">
        <v>29668</v>
      </c>
    </row>
    <row r="131" spans="1:7" x14ac:dyDescent="0.2">
      <c r="A131" t="s">
        <v>846</v>
      </c>
      <c r="B131" t="s">
        <v>93</v>
      </c>
      <c r="C131" t="s">
        <v>94</v>
      </c>
      <c r="D131" t="s">
        <v>95</v>
      </c>
      <c r="E131" t="s">
        <v>96</v>
      </c>
      <c r="F131" t="s">
        <v>22</v>
      </c>
      <c r="G131">
        <v>18423</v>
      </c>
    </row>
    <row r="132" spans="1:7" x14ac:dyDescent="0.2">
      <c r="A132" t="s">
        <v>846</v>
      </c>
      <c r="B132" t="s">
        <v>93</v>
      </c>
      <c r="C132" t="s">
        <v>94</v>
      </c>
      <c r="D132" t="s">
        <v>97</v>
      </c>
      <c r="E132" t="s">
        <v>98</v>
      </c>
      <c r="F132" t="s">
        <v>51</v>
      </c>
      <c r="G132">
        <v>776</v>
      </c>
    </row>
    <row r="133" spans="1:7" x14ac:dyDescent="0.2">
      <c r="A133" t="s">
        <v>846</v>
      </c>
      <c r="B133" t="s">
        <v>93</v>
      </c>
      <c r="C133" t="s">
        <v>94</v>
      </c>
      <c r="D133" t="s">
        <v>99</v>
      </c>
      <c r="E133" t="s">
        <v>100</v>
      </c>
      <c r="F133" t="s">
        <v>28</v>
      </c>
      <c r="G133">
        <v>3535</v>
      </c>
    </row>
    <row r="134" spans="1:7" x14ac:dyDescent="0.2">
      <c r="A134" t="s">
        <v>846</v>
      </c>
      <c r="B134" t="s">
        <v>93</v>
      </c>
      <c r="C134" t="s">
        <v>94</v>
      </c>
      <c r="D134" t="s">
        <v>101</v>
      </c>
      <c r="E134" t="s">
        <v>102</v>
      </c>
      <c r="F134" t="s">
        <v>25</v>
      </c>
      <c r="G134">
        <v>1083</v>
      </c>
    </row>
    <row r="135" spans="1:7" x14ac:dyDescent="0.2">
      <c r="A135" t="s">
        <v>846</v>
      </c>
      <c r="B135" t="s">
        <v>93</v>
      </c>
      <c r="C135" t="s">
        <v>94</v>
      </c>
      <c r="D135" t="s">
        <v>103</v>
      </c>
      <c r="E135" t="s">
        <v>104</v>
      </c>
      <c r="F135" t="s">
        <v>11</v>
      </c>
      <c r="G135">
        <v>136</v>
      </c>
    </row>
    <row r="136" spans="1:7" x14ac:dyDescent="0.2">
      <c r="A136" t="s">
        <v>846</v>
      </c>
      <c r="B136" t="s">
        <v>93</v>
      </c>
      <c r="C136" t="s">
        <v>94</v>
      </c>
      <c r="D136" t="s">
        <v>105</v>
      </c>
      <c r="E136" t="s">
        <v>106</v>
      </c>
      <c r="F136" t="s">
        <v>11</v>
      </c>
      <c r="G136">
        <v>4682</v>
      </c>
    </row>
    <row r="137" spans="1:7" x14ac:dyDescent="0.2">
      <c r="A137" t="s">
        <v>846</v>
      </c>
      <c r="B137" t="s">
        <v>93</v>
      </c>
      <c r="C137" t="s">
        <v>94</v>
      </c>
      <c r="D137" t="s">
        <v>107</v>
      </c>
      <c r="E137" t="s">
        <v>108</v>
      </c>
      <c r="F137" t="s">
        <v>11</v>
      </c>
      <c r="G137">
        <v>17</v>
      </c>
    </row>
    <row r="138" spans="1:7" x14ac:dyDescent="0.2">
      <c r="A138" t="s">
        <v>846</v>
      </c>
      <c r="B138" t="s">
        <v>93</v>
      </c>
      <c r="C138" t="s">
        <v>94</v>
      </c>
      <c r="D138" t="s">
        <v>45</v>
      </c>
      <c r="G138">
        <v>13</v>
      </c>
    </row>
    <row r="139" spans="1:7" x14ac:dyDescent="0.2">
      <c r="A139" t="s">
        <v>846</v>
      </c>
      <c r="B139" t="s">
        <v>93</v>
      </c>
      <c r="C139" t="s">
        <v>94</v>
      </c>
      <c r="D139" t="s">
        <v>46</v>
      </c>
      <c r="G139">
        <v>933</v>
      </c>
    </row>
    <row r="140" spans="1:7" x14ac:dyDescent="0.2">
      <c r="A140" t="s">
        <v>846</v>
      </c>
      <c r="B140" t="s">
        <v>109</v>
      </c>
      <c r="C140" t="s">
        <v>110</v>
      </c>
      <c r="D140" t="s">
        <v>8</v>
      </c>
      <c r="G140">
        <v>29668</v>
      </c>
    </row>
    <row r="141" spans="1:7" x14ac:dyDescent="0.2">
      <c r="A141" t="s">
        <v>846</v>
      </c>
      <c r="B141" t="s">
        <v>109</v>
      </c>
      <c r="C141" t="s">
        <v>110</v>
      </c>
      <c r="D141" t="s">
        <v>111</v>
      </c>
      <c r="E141" t="s">
        <v>112</v>
      </c>
      <c r="F141" t="s">
        <v>22</v>
      </c>
      <c r="G141">
        <v>21581</v>
      </c>
    </row>
    <row r="142" spans="1:7" x14ac:dyDescent="0.2">
      <c r="A142" t="s">
        <v>846</v>
      </c>
      <c r="B142" t="s">
        <v>109</v>
      </c>
      <c r="C142" t="s">
        <v>110</v>
      </c>
      <c r="D142" t="s">
        <v>113</v>
      </c>
      <c r="E142" t="s">
        <v>114</v>
      </c>
      <c r="F142" t="s">
        <v>28</v>
      </c>
      <c r="G142">
        <v>3647</v>
      </c>
    </row>
    <row r="143" spans="1:7" x14ac:dyDescent="0.2">
      <c r="A143" t="s">
        <v>846</v>
      </c>
      <c r="B143" t="s">
        <v>109</v>
      </c>
      <c r="C143" t="s">
        <v>110</v>
      </c>
      <c r="D143" t="s">
        <v>115</v>
      </c>
      <c r="E143" t="s">
        <v>116</v>
      </c>
      <c r="F143" t="s">
        <v>25</v>
      </c>
      <c r="G143">
        <v>1174</v>
      </c>
    </row>
    <row r="144" spans="1:7" x14ac:dyDescent="0.2">
      <c r="A144" t="s">
        <v>846</v>
      </c>
      <c r="B144" t="s">
        <v>109</v>
      </c>
      <c r="C144" t="s">
        <v>110</v>
      </c>
      <c r="D144" t="s">
        <v>117</v>
      </c>
      <c r="E144" t="s">
        <v>118</v>
      </c>
      <c r="F144" t="s">
        <v>11</v>
      </c>
      <c r="G144">
        <v>883</v>
      </c>
    </row>
    <row r="145" spans="1:7" x14ac:dyDescent="0.2">
      <c r="A145" t="s">
        <v>846</v>
      </c>
      <c r="B145" t="s">
        <v>109</v>
      </c>
      <c r="C145" t="s">
        <v>110</v>
      </c>
      <c r="D145" t="s">
        <v>119</v>
      </c>
      <c r="E145" t="s">
        <v>120</v>
      </c>
      <c r="F145" t="s">
        <v>88</v>
      </c>
      <c r="G145">
        <v>1229</v>
      </c>
    </row>
    <row r="146" spans="1:7" x14ac:dyDescent="0.2">
      <c r="A146" t="s">
        <v>846</v>
      </c>
      <c r="B146" t="s">
        <v>109</v>
      </c>
      <c r="C146" t="s">
        <v>110</v>
      </c>
      <c r="D146" t="s">
        <v>45</v>
      </c>
      <c r="G146">
        <v>5</v>
      </c>
    </row>
    <row r="147" spans="1:7" x14ac:dyDescent="0.2">
      <c r="A147" t="s">
        <v>846</v>
      </c>
      <c r="B147" t="s">
        <v>109</v>
      </c>
      <c r="C147" t="s">
        <v>110</v>
      </c>
      <c r="D147" t="s">
        <v>46</v>
      </c>
      <c r="G147">
        <v>1149</v>
      </c>
    </row>
    <row r="148" spans="1:7" x14ac:dyDescent="0.2">
      <c r="A148" t="s">
        <v>846</v>
      </c>
      <c r="B148" t="s">
        <v>121</v>
      </c>
      <c r="C148" t="s">
        <v>122</v>
      </c>
      <c r="D148" t="s">
        <v>8</v>
      </c>
      <c r="G148">
        <v>29668</v>
      </c>
    </row>
    <row r="149" spans="1:7" x14ac:dyDescent="0.2">
      <c r="A149" t="s">
        <v>846</v>
      </c>
      <c r="B149" t="s">
        <v>121</v>
      </c>
      <c r="C149" t="s">
        <v>122</v>
      </c>
      <c r="D149" t="s">
        <v>123</v>
      </c>
      <c r="E149" t="s">
        <v>124</v>
      </c>
      <c r="F149" t="s">
        <v>22</v>
      </c>
      <c r="G149">
        <v>22577</v>
      </c>
    </row>
    <row r="150" spans="1:7" x14ac:dyDescent="0.2">
      <c r="A150" t="s">
        <v>846</v>
      </c>
      <c r="B150" t="s">
        <v>121</v>
      </c>
      <c r="C150" t="s">
        <v>122</v>
      </c>
      <c r="D150" t="s">
        <v>125</v>
      </c>
      <c r="E150" t="s">
        <v>126</v>
      </c>
      <c r="F150" t="s">
        <v>16</v>
      </c>
      <c r="G150">
        <v>1868</v>
      </c>
    </row>
    <row r="151" spans="1:7" x14ac:dyDescent="0.2">
      <c r="A151" t="s">
        <v>846</v>
      </c>
      <c r="B151" t="s">
        <v>121</v>
      </c>
      <c r="C151" t="s">
        <v>122</v>
      </c>
      <c r="D151" t="s">
        <v>127</v>
      </c>
      <c r="E151" t="s">
        <v>128</v>
      </c>
      <c r="F151" t="s">
        <v>28</v>
      </c>
      <c r="G151">
        <v>3800</v>
      </c>
    </row>
    <row r="152" spans="1:7" x14ac:dyDescent="0.2">
      <c r="A152" t="s">
        <v>846</v>
      </c>
      <c r="B152" t="s">
        <v>121</v>
      </c>
      <c r="C152" t="s">
        <v>122</v>
      </c>
      <c r="D152" t="s">
        <v>45</v>
      </c>
      <c r="G152">
        <v>8</v>
      </c>
    </row>
    <row r="153" spans="1:7" x14ac:dyDescent="0.2">
      <c r="A153" t="s">
        <v>846</v>
      </c>
      <c r="B153" t="s">
        <v>121</v>
      </c>
      <c r="C153" t="s">
        <v>122</v>
      </c>
      <c r="D153" t="s">
        <v>46</v>
      </c>
      <c r="G153">
        <v>1415</v>
      </c>
    </row>
    <row r="154" spans="1:7" x14ac:dyDescent="0.2">
      <c r="A154" t="s">
        <v>846</v>
      </c>
      <c r="B154" t="s">
        <v>129</v>
      </c>
      <c r="C154" t="s">
        <v>130</v>
      </c>
      <c r="D154" t="s">
        <v>8</v>
      </c>
      <c r="G154">
        <v>29668</v>
      </c>
    </row>
    <row r="155" spans="1:7" x14ac:dyDescent="0.2">
      <c r="A155" t="s">
        <v>846</v>
      </c>
      <c r="B155" t="s">
        <v>129</v>
      </c>
      <c r="C155" t="s">
        <v>130</v>
      </c>
      <c r="D155" t="s">
        <v>131</v>
      </c>
      <c r="E155" t="s">
        <v>132</v>
      </c>
      <c r="F155" t="s">
        <v>133</v>
      </c>
      <c r="G155">
        <v>1233</v>
      </c>
    </row>
    <row r="156" spans="1:7" x14ac:dyDescent="0.2">
      <c r="A156" t="s">
        <v>846</v>
      </c>
      <c r="B156" t="s">
        <v>129</v>
      </c>
      <c r="C156" t="s">
        <v>130</v>
      </c>
      <c r="D156" t="s">
        <v>134</v>
      </c>
      <c r="E156" t="s">
        <v>135</v>
      </c>
      <c r="F156" t="s">
        <v>22</v>
      </c>
      <c r="G156">
        <v>22908</v>
      </c>
    </row>
    <row r="157" spans="1:7" x14ac:dyDescent="0.2">
      <c r="A157" t="s">
        <v>846</v>
      </c>
      <c r="B157" t="s">
        <v>129</v>
      </c>
      <c r="C157" t="s">
        <v>130</v>
      </c>
      <c r="D157" t="s">
        <v>136</v>
      </c>
      <c r="E157" t="s">
        <v>137</v>
      </c>
      <c r="F157" t="s">
        <v>28</v>
      </c>
      <c r="G157">
        <v>4020</v>
      </c>
    </row>
    <row r="158" spans="1:7" x14ac:dyDescent="0.2">
      <c r="A158" t="s">
        <v>846</v>
      </c>
      <c r="B158" t="s">
        <v>129</v>
      </c>
      <c r="C158" t="s">
        <v>130</v>
      </c>
      <c r="D158" t="s">
        <v>45</v>
      </c>
      <c r="G158">
        <v>6</v>
      </c>
    </row>
    <row r="159" spans="1:7" x14ac:dyDescent="0.2">
      <c r="A159" t="s">
        <v>846</v>
      </c>
      <c r="B159" t="s">
        <v>129</v>
      </c>
      <c r="C159" t="s">
        <v>130</v>
      </c>
      <c r="D159" t="s">
        <v>46</v>
      </c>
      <c r="G159">
        <v>1501</v>
      </c>
    </row>
    <row r="160" spans="1:7" x14ac:dyDescent="0.2">
      <c r="A160" t="s">
        <v>846</v>
      </c>
      <c r="B160" t="s">
        <v>228</v>
      </c>
      <c r="C160" t="s">
        <v>229</v>
      </c>
      <c r="D160" t="s">
        <v>8</v>
      </c>
      <c r="G160">
        <v>21130</v>
      </c>
    </row>
    <row r="161" spans="1:7" x14ac:dyDescent="0.2">
      <c r="A161" t="s">
        <v>846</v>
      </c>
      <c r="B161" t="s">
        <v>228</v>
      </c>
      <c r="C161" t="s">
        <v>229</v>
      </c>
      <c r="D161" t="s">
        <v>230</v>
      </c>
      <c r="E161" t="s">
        <v>231</v>
      </c>
      <c r="F161" t="s">
        <v>28</v>
      </c>
      <c r="G161">
        <v>3546</v>
      </c>
    </row>
    <row r="162" spans="1:7" x14ac:dyDescent="0.2">
      <c r="A162" t="s">
        <v>846</v>
      </c>
      <c r="B162" t="s">
        <v>228</v>
      </c>
      <c r="C162" t="s">
        <v>229</v>
      </c>
      <c r="D162" t="s">
        <v>232</v>
      </c>
      <c r="E162" t="s">
        <v>233</v>
      </c>
      <c r="F162" t="s">
        <v>22</v>
      </c>
      <c r="G162">
        <v>16393</v>
      </c>
    </row>
    <row r="163" spans="1:7" x14ac:dyDescent="0.2">
      <c r="A163" t="s">
        <v>846</v>
      </c>
      <c r="B163" t="s">
        <v>228</v>
      </c>
      <c r="C163" t="s">
        <v>229</v>
      </c>
      <c r="D163" t="s">
        <v>45</v>
      </c>
      <c r="G163">
        <v>1</v>
      </c>
    </row>
    <row r="164" spans="1:7" x14ac:dyDescent="0.2">
      <c r="A164" t="s">
        <v>846</v>
      </c>
      <c r="B164" t="s">
        <v>228</v>
      </c>
      <c r="C164" t="s">
        <v>229</v>
      </c>
      <c r="D164" t="s">
        <v>46</v>
      </c>
      <c r="G164">
        <v>1190</v>
      </c>
    </row>
    <row r="165" spans="1:7" x14ac:dyDescent="0.2">
      <c r="A165" t="s">
        <v>846</v>
      </c>
      <c r="B165" t="s">
        <v>256</v>
      </c>
      <c r="C165" t="s">
        <v>257</v>
      </c>
      <c r="D165" t="s">
        <v>8</v>
      </c>
      <c r="G165">
        <v>8538</v>
      </c>
    </row>
    <row r="166" spans="1:7" x14ac:dyDescent="0.2">
      <c r="A166" t="s">
        <v>846</v>
      </c>
      <c r="B166" t="s">
        <v>256</v>
      </c>
      <c r="C166" t="s">
        <v>257</v>
      </c>
      <c r="D166" t="s">
        <v>258</v>
      </c>
      <c r="E166" t="s">
        <v>259</v>
      </c>
      <c r="F166" t="s">
        <v>22</v>
      </c>
      <c r="G166">
        <v>6483</v>
      </c>
    </row>
    <row r="167" spans="1:7" x14ac:dyDescent="0.2">
      <c r="A167" t="s">
        <v>846</v>
      </c>
      <c r="B167" t="s">
        <v>256</v>
      </c>
      <c r="C167" t="s">
        <v>257</v>
      </c>
      <c r="D167" t="s">
        <v>260</v>
      </c>
      <c r="E167" t="s">
        <v>261</v>
      </c>
      <c r="F167" t="s">
        <v>28</v>
      </c>
      <c r="G167">
        <v>1510</v>
      </c>
    </row>
    <row r="168" spans="1:7" x14ac:dyDescent="0.2">
      <c r="A168" t="s">
        <v>846</v>
      </c>
      <c r="B168" t="s">
        <v>256</v>
      </c>
      <c r="C168" t="s">
        <v>257</v>
      </c>
      <c r="D168" t="s">
        <v>45</v>
      </c>
      <c r="G168">
        <v>0</v>
      </c>
    </row>
    <row r="169" spans="1:7" x14ac:dyDescent="0.2">
      <c r="A169" t="s">
        <v>846</v>
      </c>
      <c r="B169" t="s">
        <v>256</v>
      </c>
      <c r="C169" t="s">
        <v>257</v>
      </c>
      <c r="D169" t="s">
        <v>46</v>
      </c>
      <c r="G169">
        <v>545</v>
      </c>
    </row>
    <row r="170" spans="1:7" x14ac:dyDescent="0.2">
      <c r="A170" t="s">
        <v>846</v>
      </c>
      <c r="B170" t="s">
        <v>692</v>
      </c>
      <c r="C170" t="s">
        <v>693</v>
      </c>
      <c r="D170" t="s">
        <v>8</v>
      </c>
      <c r="G170">
        <v>29668</v>
      </c>
    </row>
    <row r="171" spans="1:7" x14ac:dyDescent="0.2">
      <c r="A171" t="s">
        <v>846</v>
      </c>
      <c r="B171" t="s">
        <v>692</v>
      </c>
      <c r="C171" t="s">
        <v>693</v>
      </c>
      <c r="D171" t="s">
        <v>694</v>
      </c>
      <c r="E171" t="s">
        <v>695</v>
      </c>
      <c r="G171">
        <v>20888</v>
      </c>
    </row>
    <row r="172" spans="1:7" x14ac:dyDescent="0.2">
      <c r="A172" t="s">
        <v>846</v>
      </c>
      <c r="B172" t="s">
        <v>692</v>
      </c>
      <c r="C172" t="s">
        <v>693</v>
      </c>
      <c r="D172" t="s">
        <v>696</v>
      </c>
      <c r="E172" t="s">
        <v>697</v>
      </c>
      <c r="G172">
        <v>4235</v>
      </c>
    </row>
    <row r="173" spans="1:7" x14ac:dyDescent="0.2">
      <c r="A173" t="s">
        <v>846</v>
      </c>
      <c r="B173" t="s">
        <v>692</v>
      </c>
      <c r="C173" t="s">
        <v>693</v>
      </c>
      <c r="D173" t="s">
        <v>45</v>
      </c>
      <c r="G173">
        <v>17</v>
      </c>
    </row>
    <row r="174" spans="1:7" x14ac:dyDescent="0.2">
      <c r="A174" t="s">
        <v>846</v>
      </c>
      <c r="B174" t="s">
        <v>692</v>
      </c>
      <c r="C174" t="s">
        <v>693</v>
      </c>
      <c r="D174" t="s">
        <v>46</v>
      </c>
      <c r="G174">
        <v>4528</v>
      </c>
    </row>
    <row r="175" spans="1:7" x14ac:dyDescent="0.2">
      <c r="A175" t="s">
        <v>846</v>
      </c>
      <c r="B175" t="s">
        <v>698</v>
      </c>
      <c r="C175" t="s">
        <v>699</v>
      </c>
      <c r="D175" t="s">
        <v>8</v>
      </c>
      <c r="G175">
        <v>29668</v>
      </c>
    </row>
    <row r="176" spans="1:7" x14ac:dyDescent="0.2">
      <c r="A176" t="s">
        <v>846</v>
      </c>
      <c r="B176" t="s">
        <v>698</v>
      </c>
      <c r="C176" t="s">
        <v>699</v>
      </c>
      <c r="D176" t="s">
        <v>694</v>
      </c>
      <c r="E176" t="s">
        <v>700</v>
      </c>
      <c r="G176">
        <v>20692</v>
      </c>
    </row>
    <row r="177" spans="1:7" x14ac:dyDescent="0.2">
      <c r="A177" t="s">
        <v>846</v>
      </c>
      <c r="B177" t="s">
        <v>698</v>
      </c>
      <c r="C177" t="s">
        <v>699</v>
      </c>
      <c r="D177" t="s">
        <v>696</v>
      </c>
      <c r="E177" t="s">
        <v>701</v>
      </c>
      <c r="G177">
        <v>4338</v>
      </c>
    </row>
    <row r="178" spans="1:7" x14ac:dyDescent="0.2">
      <c r="A178" t="s">
        <v>846</v>
      </c>
      <c r="B178" t="s">
        <v>698</v>
      </c>
      <c r="C178" t="s">
        <v>699</v>
      </c>
      <c r="D178" t="s">
        <v>45</v>
      </c>
      <c r="G178">
        <v>10</v>
      </c>
    </row>
    <row r="179" spans="1:7" x14ac:dyDescent="0.2">
      <c r="A179" t="s">
        <v>846</v>
      </c>
      <c r="B179" t="s">
        <v>698</v>
      </c>
      <c r="C179" t="s">
        <v>699</v>
      </c>
      <c r="D179" t="s">
        <v>46</v>
      </c>
      <c r="G179">
        <v>4628</v>
      </c>
    </row>
    <row r="180" spans="1:7" x14ac:dyDescent="0.2">
      <c r="A180" t="s">
        <v>846</v>
      </c>
      <c r="B180" t="s">
        <v>702</v>
      </c>
      <c r="C180" t="s">
        <v>703</v>
      </c>
      <c r="D180" t="s">
        <v>8</v>
      </c>
      <c r="G180">
        <v>29668</v>
      </c>
    </row>
    <row r="181" spans="1:7" x14ac:dyDescent="0.2">
      <c r="A181" t="s">
        <v>846</v>
      </c>
      <c r="B181" t="s">
        <v>702</v>
      </c>
      <c r="C181" t="s">
        <v>703</v>
      </c>
      <c r="D181" t="s">
        <v>694</v>
      </c>
      <c r="E181" t="s">
        <v>704</v>
      </c>
      <c r="G181">
        <v>20502</v>
      </c>
    </row>
    <row r="182" spans="1:7" x14ac:dyDescent="0.2">
      <c r="A182" t="s">
        <v>846</v>
      </c>
      <c r="B182" t="s">
        <v>702</v>
      </c>
      <c r="C182" t="s">
        <v>703</v>
      </c>
      <c r="D182" t="s">
        <v>696</v>
      </c>
      <c r="E182" t="s">
        <v>705</v>
      </c>
      <c r="G182">
        <v>4845</v>
      </c>
    </row>
    <row r="183" spans="1:7" x14ac:dyDescent="0.2">
      <c r="A183" t="s">
        <v>846</v>
      </c>
      <c r="B183" t="s">
        <v>702</v>
      </c>
      <c r="C183" t="s">
        <v>703</v>
      </c>
      <c r="D183" t="s">
        <v>45</v>
      </c>
      <c r="G183">
        <v>5</v>
      </c>
    </row>
    <row r="184" spans="1:7" x14ac:dyDescent="0.2">
      <c r="A184" t="s">
        <v>846</v>
      </c>
      <c r="B184" t="s">
        <v>702</v>
      </c>
      <c r="C184" t="s">
        <v>703</v>
      </c>
      <c r="D184" t="s">
        <v>46</v>
      </c>
      <c r="G184">
        <v>4316</v>
      </c>
    </row>
    <row r="185" spans="1:7" x14ac:dyDescent="0.2">
      <c r="A185" t="s">
        <v>846</v>
      </c>
      <c r="B185" t="s">
        <v>706</v>
      </c>
      <c r="C185" t="s">
        <v>707</v>
      </c>
      <c r="D185" t="s">
        <v>8</v>
      </c>
      <c r="G185">
        <v>29668</v>
      </c>
    </row>
    <row r="186" spans="1:7" x14ac:dyDescent="0.2">
      <c r="A186" t="s">
        <v>846</v>
      </c>
      <c r="B186" t="s">
        <v>706</v>
      </c>
      <c r="C186" t="s">
        <v>707</v>
      </c>
      <c r="D186" t="s">
        <v>694</v>
      </c>
      <c r="E186" t="s">
        <v>708</v>
      </c>
      <c r="G186">
        <v>20728</v>
      </c>
    </row>
    <row r="187" spans="1:7" x14ac:dyDescent="0.2">
      <c r="A187" t="s">
        <v>846</v>
      </c>
      <c r="B187" t="s">
        <v>706</v>
      </c>
      <c r="C187" t="s">
        <v>707</v>
      </c>
      <c r="D187" t="s">
        <v>696</v>
      </c>
      <c r="E187" t="s">
        <v>709</v>
      </c>
      <c r="G187">
        <v>4294</v>
      </c>
    </row>
    <row r="188" spans="1:7" x14ac:dyDescent="0.2">
      <c r="A188" t="s">
        <v>846</v>
      </c>
      <c r="B188" t="s">
        <v>706</v>
      </c>
      <c r="C188" t="s">
        <v>707</v>
      </c>
      <c r="D188" t="s">
        <v>45</v>
      </c>
      <c r="G188">
        <v>8</v>
      </c>
    </row>
    <row r="189" spans="1:7" x14ac:dyDescent="0.2">
      <c r="A189" t="s">
        <v>846</v>
      </c>
      <c r="B189" t="s">
        <v>706</v>
      </c>
      <c r="C189" t="s">
        <v>707</v>
      </c>
      <c r="D189" t="s">
        <v>46</v>
      </c>
      <c r="G189">
        <v>4638</v>
      </c>
    </row>
    <row r="190" spans="1:7" x14ac:dyDescent="0.2">
      <c r="A190" t="s">
        <v>846</v>
      </c>
      <c r="B190" t="s">
        <v>802</v>
      </c>
      <c r="C190" t="s">
        <v>803</v>
      </c>
      <c r="D190" t="s">
        <v>8</v>
      </c>
      <c r="G190">
        <v>29668</v>
      </c>
    </row>
    <row r="191" spans="1:7" x14ac:dyDescent="0.2">
      <c r="A191" t="s">
        <v>846</v>
      </c>
      <c r="B191" t="s">
        <v>802</v>
      </c>
      <c r="C191" t="s">
        <v>803</v>
      </c>
      <c r="D191" t="s">
        <v>694</v>
      </c>
      <c r="E191" t="s">
        <v>804</v>
      </c>
      <c r="G191">
        <v>20889</v>
      </c>
    </row>
    <row r="192" spans="1:7" x14ac:dyDescent="0.2">
      <c r="A192" t="s">
        <v>846</v>
      </c>
      <c r="B192" t="s">
        <v>802</v>
      </c>
      <c r="C192" t="s">
        <v>803</v>
      </c>
      <c r="D192" t="s">
        <v>696</v>
      </c>
      <c r="E192" t="s">
        <v>805</v>
      </c>
      <c r="G192">
        <v>4129</v>
      </c>
    </row>
    <row r="193" spans="1:7" x14ac:dyDescent="0.2">
      <c r="A193" t="s">
        <v>846</v>
      </c>
      <c r="B193" t="s">
        <v>802</v>
      </c>
      <c r="C193" t="s">
        <v>803</v>
      </c>
      <c r="D193" t="s">
        <v>45</v>
      </c>
      <c r="G193">
        <v>3</v>
      </c>
    </row>
    <row r="194" spans="1:7" x14ac:dyDescent="0.2">
      <c r="A194" t="s">
        <v>846</v>
      </c>
      <c r="B194" t="s">
        <v>802</v>
      </c>
      <c r="C194" t="s">
        <v>803</v>
      </c>
      <c r="D194" t="s">
        <v>46</v>
      </c>
      <c r="G194">
        <v>4647</v>
      </c>
    </row>
    <row r="195" spans="1:7" x14ac:dyDescent="0.2">
      <c r="A195" t="s">
        <v>846</v>
      </c>
      <c r="B195" t="s">
        <v>834</v>
      </c>
      <c r="C195" t="s">
        <v>835</v>
      </c>
      <c r="D195" t="s">
        <v>8</v>
      </c>
      <c r="G195">
        <v>29668</v>
      </c>
    </row>
    <row r="196" spans="1:7" x14ac:dyDescent="0.2">
      <c r="A196" t="s">
        <v>846</v>
      </c>
      <c r="B196" t="s">
        <v>834</v>
      </c>
      <c r="C196" t="s">
        <v>835</v>
      </c>
      <c r="D196" t="s">
        <v>836</v>
      </c>
      <c r="E196" t="s">
        <v>837</v>
      </c>
      <c r="G196">
        <v>17783</v>
      </c>
    </row>
    <row r="197" spans="1:7" x14ac:dyDescent="0.2">
      <c r="A197" t="s">
        <v>846</v>
      </c>
      <c r="B197" t="s">
        <v>834</v>
      </c>
      <c r="C197" t="s">
        <v>835</v>
      </c>
      <c r="D197" t="s">
        <v>838</v>
      </c>
      <c r="E197" t="s">
        <v>839</v>
      </c>
      <c r="G197">
        <v>9945</v>
      </c>
    </row>
    <row r="198" spans="1:7" x14ac:dyDescent="0.2">
      <c r="A198" t="s">
        <v>846</v>
      </c>
      <c r="B198" t="s">
        <v>834</v>
      </c>
      <c r="C198" t="s">
        <v>835</v>
      </c>
      <c r="D198" t="s">
        <v>45</v>
      </c>
      <c r="G198">
        <v>6</v>
      </c>
    </row>
    <row r="199" spans="1:7" x14ac:dyDescent="0.2">
      <c r="A199" t="s">
        <v>846</v>
      </c>
      <c r="B199" t="s">
        <v>834</v>
      </c>
      <c r="C199" t="s">
        <v>835</v>
      </c>
      <c r="D199" t="s">
        <v>46</v>
      </c>
      <c r="G199">
        <v>1934</v>
      </c>
    </row>
    <row r="200" spans="1:7" x14ac:dyDescent="0.2">
      <c r="A200" t="s">
        <v>846</v>
      </c>
      <c r="B200" t="s">
        <v>840</v>
      </c>
      <c r="C200" t="s">
        <v>841</v>
      </c>
      <c r="D200" t="s">
        <v>8</v>
      </c>
      <c r="G200">
        <v>29668</v>
      </c>
    </row>
    <row r="201" spans="1:7" x14ac:dyDescent="0.2">
      <c r="A201" t="s">
        <v>846</v>
      </c>
      <c r="B201" t="s">
        <v>840</v>
      </c>
      <c r="C201" t="s">
        <v>841</v>
      </c>
      <c r="D201" t="s">
        <v>836</v>
      </c>
      <c r="E201" t="s">
        <v>842</v>
      </c>
      <c r="G201">
        <v>23770</v>
      </c>
    </row>
    <row r="202" spans="1:7" x14ac:dyDescent="0.2">
      <c r="A202" t="s">
        <v>846</v>
      </c>
      <c r="B202" t="s">
        <v>840</v>
      </c>
      <c r="C202" t="s">
        <v>841</v>
      </c>
      <c r="D202" t="s">
        <v>838</v>
      </c>
      <c r="E202" t="s">
        <v>843</v>
      </c>
      <c r="G202">
        <v>4068</v>
      </c>
    </row>
    <row r="203" spans="1:7" x14ac:dyDescent="0.2">
      <c r="A203" t="s">
        <v>846</v>
      </c>
      <c r="B203" t="s">
        <v>840</v>
      </c>
      <c r="C203" t="s">
        <v>841</v>
      </c>
      <c r="D203" t="s">
        <v>45</v>
      </c>
      <c r="G203">
        <v>12</v>
      </c>
    </row>
    <row r="204" spans="1:7" x14ac:dyDescent="0.2">
      <c r="A204" t="s">
        <v>846</v>
      </c>
      <c r="B204" t="s">
        <v>840</v>
      </c>
      <c r="C204" t="s">
        <v>841</v>
      </c>
      <c r="D204" t="s">
        <v>46</v>
      </c>
      <c r="G204">
        <v>1818</v>
      </c>
    </row>
    <row r="205" spans="1:7" x14ac:dyDescent="0.2">
      <c r="A205" t="s">
        <v>847</v>
      </c>
      <c r="B205" t="s">
        <v>6</v>
      </c>
      <c r="C205" t="s">
        <v>7</v>
      </c>
      <c r="D205" t="s">
        <v>8</v>
      </c>
      <c r="G205">
        <v>62148</v>
      </c>
    </row>
    <row r="206" spans="1:7" x14ac:dyDescent="0.2">
      <c r="A206" t="s">
        <v>847</v>
      </c>
      <c r="B206" t="s">
        <v>6</v>
      </c>
      <c r="C206" t="s">
        <v>7</v>
      </c>
      <c r="D206" t="s">
        <v>9</v>
      </c>
      <c r="E206" t="s">
        <v>10</v>
      </c>
      <c r="F206" t="s">
        <v>11</v>
      </c>
      <c r="G206">
        <v>94</v>
      </c>
    </row>
    <row r="207" spans="1:7" x14ac:dyDescent="0.2">
      <c r="A207" t="s">
        <v>847</v>
      </c>
      <c r="B207" t="s">
        <v>6</v>
      </c>
      <c r="C207" t="s">
        <v>7</v>
      </c>
      <c r="D207" t="s">
        <v>12</v>
      </c>
      <c r="E207" t="s">
        <v>13</v>
      </c>
      <c r="F207" t="s">
        <v>11</v>
      </c>
      <c r="G207">
        <v>107</v>
      </c>
    </row>
    <row r="208" spans="1:7" x14ac:dyDescent="0.2">
      <c r="A208" t="s">
        <v>847</v>
      </c>
      <c r="B208" t="s">
        <v>6</v>
      </c>
      <c r="C208" t="s">
        <v>7</v>
      </c>
      <c r="D208" t="s">
        <v>14</v>
      </c>
      <c r="E208" t="s">
        <v>15</v>
      </c>
      <c r="F208" t="s">
        <v>16</v>
      </c>
      <c r="G208">
        <v>506</v>
      </c>
    </row>
    <row r="209" spans="1:7" x14ac:dyDescent="0.2">
      <c r="A209" t="s">
        <v>847</v>
      </c>
      <c r="B209" t="s">
        <v>6</v>
      </c>
      <c r="C209" t="s">
        <v>7</v>
      </c>
      <c r="D209" t="s">
        <v>17</v>
      </c>
      <c r="E209" t="s">
        <v>18</v>
      </c>
      <c r="F209" t="s">
        <v>19</v>
      </c>
      <c r="G209">
        <v>343</v>
      </c>
    </row>
    <row r="210" spans="1:7" x14ac:dyDescent="0.2">
      <c r="A210" t="s">
        <v>847</v>
      </c>
      <c r="B210" t="s">
        <v>6</v>
      </c>
      <c r="C210" t="s">
        <v>7</v>
      </c>
      <c r="D210" t="s">
        <v>20</v>
      </c>
      <c r="E210" t="s">
        <v>21</v>
      </c>
      <c r="F210" t="s">
        <v>22</v>
      </c>
      <c r="G210">
        <v>39457</v>
      </c>
    </row>
    <row r="211" spans="1:7" x14ac:dyDescent="0.2">
      <c r="A211" t="s">
        <v>847</v>
      </c>
      <c r="B211" t="s">
        <v>6</v>
      </c>
      <c r="C211" t="s">
        <v>7</v>
      </c>
      <c r="D211" t="s">
        <v>23</v>
      </c>
      <c r="E211" t="s">
        <v>24</v>
      </c>
      <c r="F211" t="s">
        <v>25</v>
      </c>
      <c r="G211">
        <v>885</v>
      </c>
    </row>
    <row r="212" spans="1:7" x14ac:dyDescent="0.2">
      <c r="A212" t="s">
        <v>847</v>
      </c>
      <c r="B212" t="s">
        <v>6</v>
      </c>
      <c r="C212" t="s">
        <v>7</v>
      </c>
      <c r="D212" t="s">
        <v>26</v>
      </c>
      <c r="E212" t="s">
        <v>27</v>
      </c>
      <c r="F212" t="s">
        <v>28</v>
      </c>
      <c r="G212">
        <v>18718</v>
      </c>
    </row>
    <row r="213" spans="1:7" x14ac:dyDescent="0.2">
      <c r="A213" t="s">
        <v>847</v>
      </c>
      <c r="B213" t="s">
        <v>6</v>
      </c>
      <c r="C213" t="s">
        <v>7</v>
      </c>
      <c r="D213" t="s">
        <v>29</v>
      </c>
      <c r="E213" t="s">
        <v>30</v>
      </c>
      <c r="F213" t="s">
        <v>11</v>
      </c>
      <c r="G213">
        <v>119</v>
      </c>
    </row>
    <row r="214" spans="1:7" x14ac:dyDescent="0.2">
      <c r="A214" t="s">
        <v>847</v>
      </c>
      <c r="B214" t="s">
        <v>6</v>
      </c>
      <c r="C214" t="s">
        <v>7</v>
      </c>
      <c r="D214" t="s">
        <v>31</v>
      </c>
      <c r="E214" t="s">
        <v>32</v>
      </c>
      <c r="F214" t="s">
        <v>11</v>
      </c>
      <c r="G214">
        <v>0</v>
      </c>
    </row>
    <row r="215" spans="1:7" x14ac:dyDescent="0.2">
      <c r="A215" t="s">
        <v>847</v>
      </c>
      <c r="B215" t="s">
        <v>6</v>
      </c>
      <c r="C215" t="s">
        <v>7</v>
      </c>
      <c r="D215" t="s">
        <v>33</v>
      </c>
      <c r="E215" t="s">
        <v>34</v>
      </c>
      <c r="F215" t="s">
        <v>11</v>
      </c>
      <c r="G215">
        <v>28</v>
      </c>
    </row>
    <row r="216" spans="1:7" x14ac:dyDescent="0.2">
      <c r="A216" t="s">
        <v>847</v>
      </c>
      <c r="B216" t="s">
        <v>6</v>
      </c>
      <c r="C216" t="s">
        <v>7</v>
      </c>
      <c r="D216" t="s">
        <v>35</v>
      </c>
      <c r="E216" t="s">
        <v>36</v>
      </c>
      <c r="F216" t="s">
        <v>11</v>
      </c>
      <c r="G216">
        <v>1</v>
      </c>
    </row>
    <row r="217" spans="1:7" x14ac:dyDescent="0.2">
      <c r="A217" t="s">
        <v>847</v>
      </c>
      <c r="B217" t="s">
        <v>6</v>
      </c>
      <c r="C217" t="s">
        <v>7</v>
      </c>
      <c r="D217" t="s">
        <v>37</v>
      </c>
      <c r="E217" t="s">
        <v>38</v>
      </c>
      <c r="F217" t="s">
        <v>11</v>
      </c>
      <c r="G217">
        <v>0</v>
      </c>
    </row>
    <row r="218" spans="1:7" x14ac:dyDescent="0.2">
      <c r="A218" t="s">
        <v>847</v>
      </c>
      <c r="B218" t="s">
        <v>6</v>
      </c>
      <c r="C218" t="s">
        <v>7</v>
      </c>
      <c r="D218" t="s">
        <v>39</v>
      </c>
      <c r="E218" t="s">
        <v>40</v>
      </c>
      <c r="F218" t="s">
        <v>11</v>
      </c>
      <c r="G218">
        <v>0</v>
      </c>
    </row>
    <row r="219" spans="1:7" x14ac:dyDescent="0.2">
      <c r="A219" t="s">
        <v>847</v>
      </c>
      <c r="B219" t="s">
        <v>6</v>
      </c>
      <c r="C219" t="s">
        <v>7</v>
      </c>
      <c r="D219" t="s">
        <v>41</v>
      </c>
      <c r="E219" t="s">
        <v>42</v>
      </c>
      <c r="F219" t="s">
        <v>11</v>
      </c>
      <c r="G219">
        <v>0</v>
      </c>
    </row>
    <row r="220" spans="1:7" x14ac:dyDescent="0.2">
      <c r="A220" t="s">
        <v>847</v>
      </c>
      <c r="B220" t="s">
        <v>6</v>
      </c>
      <c r="C220" t="s">
        <v>7</v>
      </c>
      <c r="D220" t="s">
        <v>43</v>
      </c>
      <c r="E220" t="s">
        <v>44</v>
      </c>
      <c r="F220" t="s">
        <v>11</v>
      </c>
      <c r="G220">
        <v>0</v>
      </c>
    </row>
    <row r="221" spans="1:7" x14ac:dyDescent="0.2">
      <c r="A221" t="s">
        <v>847</v>
      </c>
      <c r="B221" t="s">
        <v>6</v>
      </c>
      <c r="C221" t="s">
        <v>7</v>
      </c>
      <c r="D221" t="s">
        <v>45</v>
      </c>
      <c r="G221">
        <v>29</v>
      </c>
    </row>
    <row r="222" spans="1:7" x14ac:dyDescent="0.2">
      <c r="A222" t="s">
        <v>847</v>
      </c>
      <c r="B222" t="s">
        <v>6</v>
      </c>
      <c r="C222" t="s">
        <v>7</v>
      </c>
      <c r="D222" t="s">
        <v>46</v>
      </c>
      <c r="G222">
        <v>731</v>
      </c>
    </row>
    <row r="223" spans="1:7" x14ac:dyDescent="0.2">
      <c r="A223" t="s">
        <v>847</v>
      </c>
      <c r="B223" t="s">
        <v>47</v>
      </c>
      <c r="C223" t="s">
        <v>48</v>
      </c>
      <c r="D223" t="s">
        <v>8</v>
      </c>
      <c r="G223">
        <v>62148</v>
      </c>
    </row>
    <row r="224" spans="1:7" x14ac:dyDescent="0.2">
      <c r="A224" t="s">
        <v>847</v>
      </c>
      <c r="B224" t="s">
        <v>47</v>
      </c>
      <c r="C224" t="s">
        <v>48</v>
      </c>
      <c r="D224" t="s">
        <v>49</v>
      </c>
      <c r="E224" t="s">
        <v>50</v>
      </c>
      <c r="F224" t="s">
        <v>51</v>
      </c>
      <c r="G224">
        <v>3396</v>
      </c>
    </row>
    <row r="225" spans="1:7" x14ac:dyDescent="0.2">
      <c r="A225" t="s">
        <v>847</v>
      </c>
      <c r="B225" t="s">
        <v>47</v>
      </c>
      <c r="C225" t="s">
        <v>48</v>
      </c>
      <c r="D225" t="s">
        <v>52</v>
      </c>
      <c r="E225" t="s">
        <v>53</v>
      </c>
      <c r="F225" t="s">
        <v>22</v>
      </c>
      <c r="G225">
        <v>41451</v>
      </c>
    </row>
    <row r="226" spans="1:7" x14ac:dyDescent="0.2">
      <c r="A226" t="s">
        <v>847</v>
      </c>
      <c r="B226" t="s">
        <v>47</v>
      </c>
      <c r="C226" t="s">
        <v>48</v>
      </c>
      <c r="D226" t="s">
        <v>54</v>
      </c>
      <c r="E226" t="s">
        <v>55</v>
      </c>
      <c r="F226" t="s">
        <v>28</v>
      </c>
      <c r="G226">
        <v>15067</v>
      </c>
    </row>
    <row r="227" spans="1:7" x14ac:dyDescent="0.2">
      <c r="A227" t="s">
        <v>847</v>
      </c>
      <c r="B227" t="s">
        <v>47</v>
      </c>
      <c r="C227" t="s">
        <v>48</v>
      </c>
      <c r="D227" t="s">
        <v>56</v>
      </c>
      <c r="E227" t="s">
        <v>57</v>
      </c>
      <c r="F227" t="s">
        <v>11</v>
      </c>
      <c r="G227">
        <v>18</v>
      </c>
    </row>
    <row r="228" spans="1:7" x14ac:dyDescent="0.2">
      <c r="A228" t="s">
        <v>847</v>
      </c>
      <c r="B228" t="s">
        <v>47</v>
      </c>
      <c r="C228" t="s">
        <v>48</v>
      </c>
      <c r="D228" t="s">
        <v>45</v>
      </c>
      <c r="G228">
        <v>13</v>
      </c>
    </row>
    <row r="229" spans="1:7" x14ac:dyDescent="0.2">
      <c r="A229" t="s">
        <v>847</v>
      </c>
      <c r="B229" t="s">
        <v>47</v>
      </c>
      <c r="C229" t="s">
        <v>48</v>
      </c>
      <c r="D229" t="s">
        <v>46</v>
      </c>
      <c r="G229">
        <v>1877</v>
      </c>
    </row>
    <row r="230" spans="1:7" x14ac:dyDescent="0.2">
      <c r="A230" t="s">
        <v>847</v>
      </c>
      <c r="B230" t="s">
        <v>58</v>
      </c>
      <c r="C230" t="s">
        <v>59</v>
      </c>
      <c r="D230" t="s">
        <v>8</v>
      </c>
      <c r="G230">
        <v>62148</v>
      </c>
    </row>
    <row r="231" spans="1:7" x14ac:dyDescent="0.2">
      <c r="A231" t="s">
        <v>847</v>
      </c>
      <c r="B231" t="s">
        <v>58</v>
      </c>
      <c r="C231" t="s">
        <v>59</v>
      </c>
      <c r="D231" t="s">
        <v>60</v>
      </c>
      <c r="E231" t="s">
        <v>61</v>
      </c>
      <c r="F231" t="s">
        <v>28</v>
      </c>
      <c r="G231">
        <v>14324</v>
      </c>
    </row>
    <row r="232" spans="1:7" x14ac:dyDescent="0.2">
      <c r="A232" t="s">
        <v>847</v>
      </c>
      <c r="B232" t="s">
        <v>58</v>
      </c>
      <c r="C232" t="s">
        <v>59</v>
      </c>
      <c r="D232" t="s">
        <v>62</v>
      </c>
      <c r="E232" t="s">
        <v>63</v>
      </c>
      <c r="F232" t="s">
        <v>25</v>
      </c>
      <c r="G232">
        <v>2573</v>
      </c>
    </row>
    <row r="233" spans="1:7" x14ac:dyDescent="0.2">
      <c r="A233" t="s">
        <v>847</v>
      </c>
      <c r="B233" t="s">
        <v>58</v>
      </c>
      <c r="C233" t="s">
        <v>59</v>
      </c>
      <c r="D233" t="s">
        <v>64</v>
      </c>
      <c r="E233" t="s">
        <v>65</v>
      </c>
      <c r="F233" t="s">
        <v>22</v>
      </c>
      <c r="G233">
        <v>42080</v>
      </c>
    </row>
    <row r="234" spans="1:7" x14ac:dyDescent="0.2">
      <c r="A234" t="s">
        <v>847</v>
      </c>
      <c r="B234" t="s">
        <v>58</v>
      </c>
      <c r="C234" t="s">
        <v>59</v>
      </c>
      <c r="D234" t="s">
        <v>45</v>
      </c>
      <c r="G234">
        <v>1</v>
      </c>
    </row>
    <row r="235" spans="1:7" x14ac:dyDescent="0.2">
      <c r="A235" t="s">
        <v>847</v>
      </c>
      <c r="B235" t="s">
        <v>58</v>
      </c>
      <c r="C235" t="s">
        <v>59</v>
      </c>
      <c r="D235" t="s">
        <v>46</v>
      </c>
      <c r="G235">
        <v>3170</v>
      </c>
    </row>
    <row r="236" spans="1:7" x14ac:dyDescent="0.2">
      <c r="A236" t="s">
        <v>847</v>
      </c>
      <c r="B236" t="s">
        <v>93</v>
      </c>
      <c r="C236" t="s">
        <v>94</v>
      </c>
      <c r="D236" t="s">
        <v>8</v>
      </c>
      <c r="G236">
        <v>62147</v>
      </c>
    </row>
    <row r="237" spans="1:7" x14ac:dyDescent="0.2">
      <c r="A237" t="s">
        <v>847</v>
      </c>
      <c r="B237" t="s">
        <v>93</v>
      </c>
      <c r="C237" t="s">
        <v>94</v>
      </c>
      <c r="D237" t="s">
        <v>95</v>
      </c>
      <c r="E237" t="s">
        <v>96</v>
      </c>
      <c r="F237" t="s">
        <v>22</v>
      </c>
      <c r="G237">
        <v>36185</v>
      </c>
    </row>
    <row r="238" spans="1:7" x14ac:dyDescent="0.2">
      <c r="A238" t="s">
        <v>847</v>
      </c>
      <c r="B238" t="s">
        <v>93</v>
      </c>
      <c r="C238" t="s">
        <v>94</v>
      </c>
      <c r="D238" t="s">
        <v>97</v>
      </c>
      <c r="E238" t="s">
        <v>98</v>
      </c>
      <c r="F238" t="s">
        <v>51</v>
      </c>
      <c r="G238">
        <v>1278</v>
      </c>
    </row>
    <row r="239" spans="1:7" x14ac:dyDescent="0.2">
      <c r="A239" t="s">
        <v>847</v>
      </c>
      <c r="B239" t="s">
        <v>93</v>
      </c>
      <c r="C239" t="s">
        <v>94</v>
      </c>
      <c r="D239" t="s">
        <v>99</v>
      </c>
      <c r="E239" t="s">
        <v>100</v>
      </c>
      <c r="F239" t="s">
        <v>28</v>
      </c>
      <c r="G239">
        <v>13061</v>
      </c>
    </row>
    <row r="240" spans="1:7" x14ac:dyDescent="0.2">
      <c r="A240" t="s">
        <v>847</v>
      </c>
      <c r="B240" t="s">
        <v>93</v>
      </c>
      <c r="C240" t="s">
        <v>94</v>
      </c>
      <c r="D240" t="s">
        <v>101</v>
      </c>
      <c r="E240" t="s">
        <v>102</v>
      </c>
      <c r="F240" t="s">
        <v>25</v>
      </c>
      <c r="G240">
        <v>1787</v>
      </c>
    </row>
    <row r="241" spans="1:7" x14ac:dyDescent="0.2">
      <c r="A241" t="s">
        <v>847</v>
      </c>
      <c r="B241" t="s">
        <v>93</v>
      </c>
      <c r="C241" t="s">
        <v>94</v>
      </c>
      <c r="D241" t="s">
        <v>103</v>
      </c>
      <c r="E241" t="s">
        <v>104</v>
      </c>
      <c r="F241" t="s">
        <v>11</v>
      </c>
      <c r="G241">
        <v>225</v>
      </c>
    </row>
    <row r="242" spans="1:7" x14ac:dyDescent="0.2">
      <c r="A242" t="s">
        <v>847</v>
      </c>
      <c r="B242" t="s">
        <v>93</v>
      </c>
      <c r="C242" t="s">
        <v>94</v>
      </c>
      <c r="D242" t="s">
        <v>105</v>
      </c>
      <c r="E242" t="s">
        <v>106</v>
      </c>
      <c r="F242" t="s">
        <v>11</v>
      </c>
      <c r="G242">
        <v>7483</v>
      </c>
    </row>
    <row r="243" spans="1:7" x14ac:dyDescent="0.2">
      <c r="A243" t="s">
        <v>847</v>
      </c>
      <c r="B243" t="s">
        <v>93</v>
      </c>
      <c r="C243" t="s">
        <v>94</v>
      </c>
      <c r="D243" t="s">
        <v>107</v>
      </c>
      <c r="E243" t="s">
        <v>108</v>
      </c>
      <c r="F243" t="s">
        <v>11</v>
      </c>
      <c r="G243">
        <v>16</v>
      </c>
    </row>
    <row r="244" spans="1:7" x14ac:dyDescent="0.2">
      <c r="A244" t="s">
        <v>847</v>
      </c>
      <c r="B244" t="s">
        <v>93</v>
      </c>
      <c r="C244" t="s">
        <v>94</v>
      </c>
      <c r="D244" t="s">
        <v>45</v>
      </c>
      <c r="G244">
        <v>21</v>
      </c>
    </row>
    <row r="245" spans="1:7" x14ac:dyDescent="0.2">
      <c r="A245" t="s">
        <v>847</v>
      </c>
      <c r="B245" t="s">
        <v>93</v>
      </c>
      <c r="C245" t="s">
        <v>94</v>
      </c>
      <c r="D245" t="s">
        <v>46</v>
      </c>
      <c r="G245">
        <v>1946</v>
      </c>
    </row>
    <row r="246" spans="1:7" x14ac:dyDescent="0.2">
      <c r="A246" t="s">
        <v>847</v>
      </c>
      <c r="B246" t="s">
        <v>109</v>
      </c>
      <c r="C246" t="s">
        <v>110</v>
      </c>
      <c r="D246" t="s">
        <v>8</v>
      </c>
      <c r="G246">
        <v>62147</v>
      </c>
    </row>
    <row r="247" spans="1:7" x14ac:dyDescent="0.2">
      <c r="A247" t="s">
        <v>847</v>
      </c>
      <c r="B247" t="s">
        <v>109</v>
      </c>
      <c r="C247" t="s">
        <v>110</v>
      </c>
      <c r="D247" t="s">
        <v>111</v>
      </c>
      <c r="E247" t="s">
        <v>112</v>
      </c>
      <c r="F247" t="s">
        <v>22</v>
      </c>
      <c r="G247">
        <v>38140</v>
      </c>
    </row>
    <row r="248" spans="1:7" x14ac:dyDescent="0.2">
      <c r="A248" t="s">
        <v>847</v>
      </c>
      <c r="B248" t="s">
        <v>109</v>
      </c>
      <c r="C248" t="s">
        <v>110</v>
      </c>
      <c r="D248" t="s">
        <v>113</v>
      </c>
      <c r="E248" t="s">
        <v>114</v>
      </c>
      <c r="F248" t="s">
        <v>28</v>
      </c>
      <c r="G248">
        <v>12343</v>
      </c>
    </row>
    <row r="249" spans="1:7" x14ac:dyDescent="0.2">
      <c r="A249" t="s">
        <v>847</v>
      </c>
      <c r="B249" t="s">
        <v>109</v>
      </c>
      <c r="C249" t="s">
        <v>110</v>
      </c>
      <c r="D249" t="s">
        <v>115</v>
      </c>
      <c r="E249" t="s">
        <v>116</v>
      </c>
      <c r="F249" t="s">
        <v>25</v>
      </c>
      <c r="G249">
        <v>2405</v>
      </c>
    </row>
    <row r="250" spans="1:7" x14ac:dyDescent="0.2">
      <c r="A250" t="s">
        <v>847</v>
      </c>
      <c r="B250" t="s">
        <v>109</v>
      </c>
      <c r="C250" t="s">
        <v>110</v>
      </c>
      <c r="D250" t="s">
        <v>117</v>
      </c>
      <c r="E250" t="s">
        <v>118</v>
      </c>
      <c r="F250" t="s">
        <v>11</v>
      </c>
      <c r="G250">
        <v>2100</v>
      </c>
    </row>
    <row r="251" spans="1:7" x14ac:dyDescent="0.2">
      <c r="A251" t="s">
        <v>847</v>
      </c>
      <c r="B251" t="s">
        <v>109</v>
      </c>
      <c r="C251" t="s">
        <v>110</v>
      </c>
      <c r="D251" t="s">
        <v>119</v>
      </c>
      <c r="E251" t="s">
        <v>120</v>
      </c>
      <c r="F251" t="s">
        <v>88</v>
      </c>
      <c r="G251">
        <v>3954</v>
      </c>
    </row>
    <row r="252" spans="1:7" x14ac:dyDescent="0.2">
      <c r="A252" t="s">
        <v>847</v>
      </c>
      <c r="B252" t="s">
        <v>109</v>
      </c>
      <c r="C252" t="s">
        <v>110</v>
      </c>
      <c r="D252" t="s">
        <v>45</v>
      </c>
      <c r="G252">
        <v>12</v>
      </c>
    </row>
    <row r="253" spans="1:7" x14ac:dyDescent="0.2">
      <c r="A253" t="s">
        <v>847</v>
      </c>
      <c r="B253" t="s">
        <v>109</v>
      </c>
      <c r="C253" t="s">
        <v>110</v>
      </c>
      <c r="D253" t="s">
        <v>46</v>
      </c>
      <c r="G253">
        <v>3193</v>
      </c>
    </row>
    <row r="254" spans="1:7" x14ac:dyDescent="0.2">
      <c r="A254" t="s">
        <v>847</v>
      </c>
      <c r="B254" t="s">
        <v>121</v>
      </c>
      <c r="C254" t="s">
        <v>122</v>
      </c>
      <c r="D254" t="s">
        <v>8</v>
      </c>
      <c r="G254">
        <v>62147</v>
      </c>
    </row>
    <row r="255" spans="1:7" x14ac:dyDescent="0.2">
      <c r="A255" t="s">
        <v>847</v>
      </c>
      <c r="B255" t="s">
        <v>121</v>
      </c>
      <c r="C255" t="s">
        <v>122</v>
      </c>
      <c r="D255" t="s">
        <v>123</v>
      </c>
      <c r="E255" t="s">
        <v>124</v>
      </c>
      <c r="F255" t="s">
        <v>22</v>
      </c>
      <c r="G255">
        <v>41060</v>
      </c>
    </row>
    <row r="256" spans="1:7" x14ac:dyDescent="0.2">
      <c r="A256" t="s">
        <v>847</v>
      </c>
      <c r="B256" t="s">
        <v>121</v>
      </c>
      <c r="C256" t="s">
        <v>122</v>
      </c>
      <c r="D256" t="s">
        <v>125</v>
      </c>
      <c r="E256" t="s">
        <v>126</v>
      </c>
      <c r="F256" t="s">
        <v>16</v>
      </c>
      <c r="G256">
        <v>3069</v>
      </c>
    </row>
    <row r="257" spans="1:7" x14ac:dyDescent="0.2">
      <c r="A257" t="s">
        <v>847</v>
      </c>
      <c r="B257" t="s">
        <v>121</v>
      </c>
      <c r="C257" t="s">
        <v>122</v>
      </c>
      <c r="D257" t="s">
        <v>127</v>
      </c>
      <c r="E257" t="s">
        <v>128</v>
      </c>
      <c r="F257" t="s">
        <v>28</v>
      </c>
      <c r="G257">
        <v>13831</v>
      </c>
    </row>
    <row r="258" spans="1:7" x14ac:dyDescent="0.2">
      <c r="A258" t="s">
        <v>847</v>
      </c>
      <c r="B258" t="s">
        <v>121</v>
      </c>
      <c r="C258" t="s">
        <v>122</v>
      </c>
      <c r="D258" t="s">
        <v>45</v>
      </c>
      <c r="G258">
        <v>2</v>
      </c>
    </row>
    <row r="259" spans="1:7" x14ac:dyDescent="0.2">
      <c r="A259" t="s">
        <v>847</v>
      </c>
      <c r="B259" t="s">
        <v>121</v>
      </c>
      <c r="C259" t="s">
        <v>122</v>
      </c>
      <c r="D259" t="s">
        <v>46</v>
      </c>
      <c r="G259">
        <v>4185</v>
      </c>
    </row>
    <row r="260" spans="1:7" x14ac:dyDescent="0.2">
      <c r="A260" t="s">
        <v>847</v>
      </c>
      <c r="B260" t="s">
        <v>129</v>
      </c>
      <c r="C260" t="s">
        <v>130</v>
      </c>
      <c r="D260" t="s">
        <v>8</v>
      </c>
      <c r="G260">
        <v>62147</v>
      </c>
    </row>
    <row r="261" spans="1:7" x14ac:dyDescent="0.2">
      <c r="A261" t="s">
        <v>847</v>
      </c>
      <c r="B261" t="s">
        <v>129</v>
      </c>
      <c r="C261" t="s">
        <v>130</v>
      </c>
      <c r="D261" t="s">
        <v>131</v>
      </c>
      <c r="E261" t="s">
        <v>132</v>
      </c>
      <c r="F261" t="s">
        <v>133</v>
      </c>
      <c r="G261">
        <v>3054</v>
      </c>
    </row>
    <row r="262" spans="1:7" x14ac:dyDescent="0.2">
      <c r="A262" t="s">
        <v>847</v>
      </c>
      <c r="B262" t="s">
        <v>129</v>
      </c>
      <c r="C262" t="s">
        <v>130</v>
      </c>
      <c r="D262" t="s">
        <v>134</v>
      </c>
      <c r="E262" t="s">
        <v>135</v>
      </c>
      <c r="F262" t="s">
        <v>22</v>
      </c>
      <c r="G262">
        <v>41373</v>
      </c>
    </row>
    <row r="263" spans="1:7" x14ac:dyDescent="0.2">
      <c r="A263" t="s">
        <v>847</v>
      </c>
      <c r="B263" t="s">
        <v>129</v>
      </c>
      <c r="C263" t="s">
        <v>130</v>
      </c>
      <c r="D263" t="s">
        <v>136</v>
      </c>
      <c r="E263" t="s">
        <v>137</v>
      </c>
      <c r="F263" t="s">
        <v>28</v>
      </c>
      <c r="G263">
        <v>12733</v>
      </c>
    </row>
    <row r="264" spans="1:7" x14ac:dyDescent="0.2">
      <c r="A264" t="s">
        <v>847</v>
      </c>
      <c r="B264" t="s">
        <v>129</v>
      </c>
      <c r="C264" t="s">
        <v>130</v>
      </c>
      <c r="D264" t="s">
        <v>45</v>
      </c>
      <c r="G264">
        <v>3</v>
      </c>
    </row>
    <row r="265" spans="1:7" x14ac:dyDescent="0.2">
      <c r="A265" t="s">
        <v>847</v>
      </c>
      <c r="B265" t="s">
        <v>129</v>
      </c>
      <c r="C265" t="s">
        <v>130</v>
      </c>
      <c r="D265" t="s">
        <v>46</v>
      </c>
      <c r="G265">
        <v>4984</v>
      </c>
    </row>
    <row r="266" spans="1:7" x14ac:dyDescent="0.2">
      <c r="A266" t="s">
        <v>847</v>
      </c>
      <c r="B266" t="s">
        <v>138</v>
      </c>
      <c r="C266" t="s">
        <v>139</v>
      </c>
      <c r="D266" t="s">
        <v>8</v>
      </c>
      <c r="G266">
        <v>49353</v>
      </c>
    </row>
    <row r="267" spans="1:7" x14ac:dyDescent="0.2">
      <c r="A267" t="s">
        <v>847</v>
      </c>
      <c r="B267" t="s">
        <v>138</v>
      </c>
      <c r="C267" t="s">
        <v>139</v>
      </c>
      <c r="D267" t="s">
        <v>140</v>
      </c>
      <c r="E267" t="s">
        <v>141</v>
      </c>
      <c r="F267" t="s">
        <v>22</v>
      </c>
      <c r="G267">
        <v>31805</v>
      </c>
    </row>
    <row r="268" spans="1:7" x14ac:dyDescent="0.2">
      <c r="A268" t="s">
        <v>847</v>
      </c>
      <c r="B268" t="s">
        <v>138</v>
      </c>
      <c r="C268" t="s">
        <v>139</v>
      </c>
      <c r="D268" t="s">
        <v>142</v>
      </c>
      <c r="E268" t="s">
        <v>143</v>
      </c>
      <c r="F268" t="s">
        <v>28</v>
      </c>
      <c r="G268">
        <v>14072</v>
      </c>
    </row>
    <row r="269" spans="1:7" x14ac:dyDescent="0.2">
      <c r="A269" t="s">
        <v>847</v>
      </c>
      <c r="B269" t="s">
        <v>138</v>
      </c>
      <c r="C269" t="s">
        <v>139</v>
      </c>
      <c r="D269" t="s">
        <v>45</v>
      </c>
      <c r="G269">
        <v>0</v>
      </c>
    </row>
    <row r="270" spans="1:7" x14ac:dyDescent="0.2">
      <c r="A270" t="s">
        <v>847</v>
      </c>
      <c r="B270" t="s">
        <v>138</v>
      </c>
      <c r="C270" t="s">
        <v>139</v>
      </c>
      <c r="D270" t="s">
        <v>46</v>
      </c>
      <c r="G270">
        <v>3476</v>
      </c>
    </row>
    <row r="271" spans="1:7" x14ac:dyDescent="0.2">
      <c r="A271" t="s">
        <v>847</v>
      </c>
      <c r="B271" t="s">
        <v>228</v>
      </c>
      <c r="C271" t="s">
        <v>229</v>
      </c>
      <c r="D271" t="s">
        <v>8</v>
      </c>
      <c r="G271">
        <v>1156</v>
      </c>
    </row>
    <row r="272" spans="1:7" x14ac:dyDescent="0.2">
      <c r="A272" t="s">
        <v>847</v>
      </c>
      <c r="B272" t="s">
        <v>228</v>
      </c>
      <c r="C272" t="s">
        <v>229</v>
      </c>
      <c r="D272" t="s">
        <v>230</v>
      </c>
      <c r="E272" t="s">
        <v>231</v>
      </c>
      <c r="F272" t="s">
        <v>28</v>
      </c>
      <c r="G272">
        <v>161</v>
      </c>
    </row>
    <row r="273" spans="1:7" x14ac:dyDescent="0.2">
      <c r="A273" t="s">
        <v>847</v>
      </c>
      <c r="B273" t="s">
        <v>228</v>
      </c>
      <c r="C273" t="s">
        <v>229</v>
      </c>
      <c r="D273" t="s">
        <v>232</v>
      </c>
      <c r="E273" t="s">
        <v>233</v>
      </c>
      <c r="F273" t="s">
        <v>22</v>
      </c>
      <c r="G273">
        <v>915</v>
      </c>
    </row>
    <row r="274" spans="1:7" x14ac:dyDescent="0.2">
      <c r="A274" t="s">
        <v>847</v>
      </c>
      <c r="B274" t="s">
        <v>228</v>
      </c>
      <c r="C274" t="s">
        <v>229</v>
      </c>
      <c r="D274" t="s">
        <v>45</v>
      </c>
      <c r="G274">
        <v>0</v>
      </c>
    </row>
    <row r="275" spans="1:7" x14ac:dyDescent="0.2">
      <c r="A275" t="s">
        <v>847</v>
      </c>
      <c r="B275" t="s">
        <v>228</v>
      </c>
      <c r="C275" t="s">
        <v>229</v>
      </c>
      <c r="D275" t="s">
        <v>46</v>
      </c>
      <c r="G275">
        <v>80</v>
      </c>
    </row>
    <row r="276" spans="1:7" x14ac:dyDescent="0.2">
      <c r="A276" t="s">
        <v>847</v>
      </c>
      <c r="B276" t="s">
        <v>234</v>
      </c>
      <c r="C276" t="s">
        <v>235</v>
      </c>
      <c r="D276" t="s">
        <v>8</v>
      </c>
      <c r="G276">
        <v>21075</v>
      </c>
    </row>
    <row r="277" spans="1:7" x14ac:dyDescent="0.2">
      <c r="A277" t="s">
        <v>847</v>
      </c>
      <c r="B277" t="s">
        <v>234</v>
      </c>
      <c r="C277" t="s">
        <v>235</v>
      </c>
      <c r="D277" t="s">
        <v>236</v>
      </c>
      <c r="E277" t="s">
        <v>237</v>
      </c>
      <c r="F277" t="s">
        <v>28</v>
      </c>
      <c r="G277">
        <v>5032</v>
      </c>
    </row>
    <row r="278" spans="1:7" x14ac:dyDescent="0.2">
      <c r="A278" t="s">
        <v>847</v>
      </c>
      <c r="B278" t="s">
        <v>234</v>
      </c>
      <c r="C278" t="s">
        <v>235</v>
      </c>
      <c r="D278" t="s">
        <v>238</v>
      </c>
      <c r="E278" t="s">
        <v>239</v>
      </c>
      <c r="F278" t="s">
        <v>22</v>
      </c>
      <c r="G278">
        <v>14303</v>
      </c>
    </row>
    <row r="279" spans="1:7" x14ac:dyDescent="0.2">
      <c r="A279" t="s">
        <v>847</v>
      </c>
      <c r="B279" t="s">
        <v>234</v>
      </c>
      <c r="C279" t="s">
        <v>235</v>
      </c>
      <c r="D279" t="s">
        <v>45</v>
      </c>
      <c r="G279">
        <v>4</v>
      </c>
    </row>
    <row r="280" spans="1:7" x14ac:dyDescent="0.2">
      <c r="A280" t="s">
        <v>847</v>
      </c>
      <c r="B280" t="s">
        <v>234</v>
      </c>
      <c r="C280" t="s">
        <v>235</v>
      </c>
      <c r="D280" t="s">
        <v>46</v>
      </c>
      <c r="G280">
        <v>1736</v>
      </c>
    </row>
    <row r="281" spans="1:7" x14ac:dyDescent="0.2">
      <c r="A281" t="s">
        <v>847</v>
      </c>
      <c r="B281" t="s">
        <v>240</v>
      </c>
      <c r="C281" t="s">
        <v>241</v>
      </c>
      <c r="D281" t="s">
        <v>8</v>
      </c>
      <c r="G281">
        <v>16717</v>
      </c>
    </row>
    <row r="282" spans="1:7" x14ac:dyDescent="0.2">
      <c r="A282" t="s">
        <v>847</v>
      </c>
      <c r="B282" t="s">
        <v>240</v>
      </c>
      <c r="C282" t="s">
        <v>241</v>
      </c>
      <c r="D282" t="s">
        <v>242</v>
      </c>
      <c r="E282" t="s">
        <v>243</v>
      </c>
      <c r="F282" t="s">
        <v>11</v>
      </c>
      <c r="G282">
        <v>6988</v>
      </c>
    </row>
    <row r="283" spans="1:7" x14ac:dyDescent="0.2">
      <c r="A283" t="s">
        <v>847</v>
      </c>
      <c r="B283" t="s">
        <v>240</v>
      </c>
      <c r="C283" t="s">
        <v>241</v>
      </c>
      <c r="D283" t="s">
        <v>244</v>
      </c>
      <c r="E283" t="s">
        <v>245</v>
      </c>
      <c r="F283" t="s">
        <v>22</v>
      </c>
      <c r="G283">
        <v>8209</v>
      </c>
    </row>
    <row r="284" spans="1:7" x14ac:dyDescent="0.2">
      <c r="A284" t="s">
        <v>847</v>
      </c>
      <c r="B284" t="s">
        <v>240</v>
      </c>
      <c r="C284" t="s">
        <v>241</v>
      </c>
      <c r="D284" t="s">
        <v>45</v>
      </c>
      <c r="G284">
        <v>3</v>
      </c>
    </row>
    <row r="285" spans="1:7" x14ac:dyDescent="0.2">
      <c r="A285" t="s">
        <v>847</v>
      </c>
      <c r="B285" t="s">
        <v>240</v>
      </c>
      <c r="C285" t="s">
        <v>241</v>
      </c>
      <c r="D285" t="s">
        <v>46</v>
      </c>
      <c r="G285">
        <v>1517</v>
      </c>
    </row>
    <row r="286" spans="1:7" x14ac:dyDescent="0.2">
      <c r="A286" t="s">
        <v>847</v>
      </c>
      <c r="B286" t="s">
        <v>252</v>
      </c>
      <c r="C286" t="s">
        <v>253</v>
      </c>
      <c r="D286" t="s">
        <v>8</v>
      </c>
      <c r="G286">
        <v>23199</v>
      </c>
    </row>
    <row r="287" spans="1:7" x14ac:dyDescent="0.2">
      <c r="A287" t="s">
        <v>847</v>
      </c>
      <c r="B287" t="s">
        <v>252</v>
      </c>
      <c r="C287" t="s">
        <v>253</v>
      </c>
      <c r="D287" t="s">
        <v>254</v>
      </c>
      <c r="E287" t="s">
        <v>255</v>
      </c>
      <c r="F287" t="s">
        <v>22</v>
      </c>
      <c r="G287">
        <v>17572</v>
      </c>
    </row>
    <row r="288" spans="1:7" x14ac:dyDescent="0.2">
      <c r="A288" t="s">
        <v>847</v>
      </c>
      <c r="B288" t="s">
        <v>252</v>
      </c>
      <c r="C288" t="s">
        <v>253</v>
      </c>
      <c r="D288" t="s">
        <v>45</v>
      </c>
      <c r="G288">
        <v>0</v>
      </c>
    </row>
    <row r="289" spans="1:7" x14ac:dyDescent="0.2">
      <c r="A289" t="s">
        <v>847</v>
      </c>
      <c r="B289" t="s">
        <v>252</v>
      </c>
      <c r="C289" t="s">
        <v>253</v>
      </c>
      <c r="D289" t="s">
        <v>46</v>
      </c>
      <c r="G289">
        <v>5627</v>
      </c>
    </row>
    <row r="290" spans="1:7" x14ac:dyDescent="0.2">
      <c r="A290" t="s">
        <v>847</v>
      </c>
      <c r="B290" t="s">
        <v>692</v>
      </c>
      <c r="C290" t="s">
        <v>693</v>
      </c>
      <c r="D290" t="s">
        <v>8</v>
      </c>
      <c r="G290">
        <v>62147</v>
      </c>
    </row>
    <row r="291" spans="1:7" x14ac:dyDescent="0.2">
      <c r="A291" t="s">
        <v>847</v>
      </c>
      <c r="B291" t="s">
        <v>692</v>
      </c>
      <c r="C291" t="s">
        <v>693</v>
      </c>
      <c r="D291" t="s">
        <v>694</v>
      </c>
      <c r="E291" t="s">
        <v>695</v>
      </c>
      <c r="G291">
        <v>41698</v>
      </c>
    </row>
    <row r="292" spans="1:7" x14ac:dyDescent="0.2">
      <c r="A292" t="s">
        <v>847</v>
      </c>
      <c r="B292" t="s">
        <v>692</v>
      </c>
      <c r="C292" t="s">
        <v>693</v>
      </c>
      <c r="D292" t="s">
        <v>696</v>
      </c>
      <c r="E292" t="s">
        <v>697</v>
      </c>
      <c r="G292">
        <v>8007</v>
      </c>
    </row>
    <row r="293" spans="1:7" x14ac:dyDescent="0.2">
      <c r="A293" t="s">
        <v>847</v>
      </c>
      <c r="B293" t="s">
        <v>692</v>
      </c>
      <c r="C293" t="s">
        <v>693</v>
      </c>
      <c r="D293" t="s">
        <v>45</v>
      </c>
      <c r="G293">
        <v>14</v>
      </c>
    </row>
    <row r="294" spans="1:7" x14ac:dyDescent="0.2">
      <c r="A294" t="s">
        <v>847</v>
      </c>
      <c r="B294" t="s">
        <v>692</v>
      </c>
      <c r="C294" t="s">
        <v>693</v>
      </c>
      <c r="D294" t="s">
        <v>46</v>
      </c>
      <c r="G294">
        <v>12428</v>
      </c>
    </row>
    <row r="295" spans="1:7" x14ac:dyDescent="0.2">
      <c r="A295" t="s">
        <v>847</v>
      </c>
      <c r="B295" t="s">
        <v>698</v>
      </c>
      <c r="C295" t="s">
        <v>699</v>
      </c>
      <c r="D295" t="s">
        <v>8</v>
      </c>
      <c r="G295">
        <v>62147</v>
      </c>
    </row>
    <row r="296" spans="1:7" x14ac:dyDescent="0.2">
      <c r="A296" t="s">
        <v>847</v>
      </c>
      <c r="B296" t="s">
        <v>698</v>
      </c>
      <c r="C296" t="s">
        <v>699</v>
      </c>
      <c r="D296" t="s">
        <v>694</v>
      </c>
      <c r="E296" t="s">
        <v>700</v>
      </c>
      <c r="G296">
        <v>41233</v>
      </c>
    </row>
    <row r="297" spans="1:7" x14ac:dyDescent="0.2">
      <c r="A297" t="s">
        <v>847</v>
      </c>
      <c r="B297" t="s">
        <v>698</v>
      </c>
      <c r="C297" t="s">
        <v>699</v>
      </c>
      <c r="D297" t="s">
        <v>696</v>
      </c>
      <c r="E297" t="s">
        <v>701</v>
      </c>
      <c r="G297">
        <v>7737</v>
      </c>
    </row>
    <row r="298" spans="1:7" x14ac:dyDescent="0.2">
      <c r="A298" t="s">
        <v>847</v>
      </c>
      <c r="B298" t="s">
        <v>698</v>
      </c>
      <c r="C298" t="s">
        <v>699</v>
      </c>
      <c r="D298" t="s">
        <v>45</v>
      </c>
      <c r="G298">
        <v>17</v>
      </c>
    </row>
    <row r="299" spans="1:7" x14ac:dyDescent="0.2">
      <c r="A299" t="s">
        <v>847</v>
      </c>
      <c r="B299" t="s">
        <v>698</v>
      </c>
      <c r="C299" t="s">
        <v>699</v>
      </c>
      <c r="D299" t="s">
        <v>46</v>
      </c>
      <c r="G299">
        <v>13160</v>
      </c>
    </row>
    <row r="300" spans="1:7" x14ac:dyDescent="0.2">
      <c r="A300" t="s">
        <v>847</v>
      </c>
      <c r="B300" t="s">
        <v>702</v>
      </c>
      <c r="C300" t="s">
        <v>703</v>
      </c>
      <c r="D300" t="s">
        <v>8</v>
      </c>
      <c r="G300">
        <v>62147</v>
      </c>
    </row>
    <row r="301" spans="1:7" x14ac:dyDescent="0.2">
      <c r="A301" t="s">
        <v>847</v>
      </c>
      <c r="B301" t="s">
        <v>702</v>
      </c>
      <c r="C301" t="s">
        <v>703</v>
      </c>
      <c r="D301" t="s">
        <v>694</v>
      </c>
      <c r="E301" t="s">
        <v>704</v>
      </c>
      <c r="G301">
        <v>40026</v>
      </c>
    </row>
    <row r="302" spans="1:7" x14ac:dyDescent="0.2">
      <c r="A302" t="s">
        <v>847</v>
      </c>
      <c r="B302" t="s">
        <v>702</v>
      </c>
      <c r="C302" t="s">
        <v>703</v>
      </c>
      <c r="D302" t="s">
        <v>696</v>
      </c>
      <c r="E302" t="s">
        <v>705</v>
      </c>
      <c r="G302">
        <v>8848</v>
      </c>
    </row>
    <row r="303" spans="1:7" x14ac:dyDescent="0.2">
      <c r="A303" t="s">
        <v>847</v>
      </c>
      <c r="B303" t="s">
        <v>702</v>
      </c>
      <c r="C303" t="s">
        <v>703</v>
      </c>
      <c r="D303" t="s">
        <v>45</v>
      </c>
      <c r="G303">
        <v>13</v>
      </c>
    </row>
    <row r="304" spans="1:7" x14ac:dyDescent="0.2">
      <c r="A304" t="s">
        <v>847</v>
      </c>
      <c r="B304" t="s">
        <v>702</v>
      </c>
      <c r="C304" t="s">
        <v>703</v>
      </c>
      <c r="D304" t="s">
        <v>46</v>
      </c>
      <c r="G304">
        <v>13260</v>
      </c>
    </row>
    <row r="305" spans="1:7" x14ac:dyDescent="0.2">
      <c r="A305" t="s">
        <v>847</v>
      </c>
      <c r="B305" t="s">
        <v>706</v>
      </c>
      <c r="C305" t="s">
        <v>707</v>
      </c>
      <c r="D305" t="s">
        <v>8</v>
      </c>
      <c r="G305">
        <v>62147</v>
      </c>
    </row>
    <row r="306" spans="1:7" x14ac:dyDescent="0.2">
      <c r="A306" t="s">
        <v>847</v>
      </c>
      <c r="B306" t="s">
        <v>706</v>
      </c>
      <c r="C306" t="s">
        <v>707</v>
      </c>
      <c r="D306" t="s">
        <v>694</v>
      </c>
      <c r="E306" t="s">
        <v>708</v>
      </c>
      <c r="G306">
        <v>41698</v>
      </c>
    </row>
    <row r="307" spans="1:7" x14ac:dyDescent="0.2">
      <c r="A307" t="s">
        <v>847</v>
      </c>
      <c r="B307" t="s">
        <v>706</v>
      </c>
      <c r="C307" t="s">
        <v>707</v>
      </c>
      <c r="D307" t="s">
        <v>696</v>
      </c>
      <c r="E307" t="s">
        <v>709</v>
      </c>
      <c r="G307">
        <v>7631</v>
      </c>
    </row>
    <row r="308" spans="1:7" x14ac:dyDescent="0.2">
      <c r="A308" t="s">
        <v>847</v>
      </c>
      <c r="B308" t="s">
        <v>706</v>
      </c>
      <c r="C308" t="s">
        <v>707</v>
      </c>
      <c r="D308" t="s">
        <v>45</v>
      </c>
      <c r="G308">
        <v>16</v>
      </c>
    </row>
    <row r="309" spans="1:7" x14ac:dyDescent="0.2">
      <c r="A309" t="s">
        <v>847</v>
      </c>
      <c r="B309" t="s">
        <v>706</v>
      </c>
      <c r="C309" t="s">
        <v>707</v>
      </c>
      <c r="D309" t="s">
        <v>46</v>
      </c>
      <c r="G309">
        <v>12802</v>
      </c>
    </row>
    <row r="310" spans="1:7" x14ac:dyDescent="0.2">
      <c r="A310" t="s">
        <v>847</v>
      </c>
      <c r="B310" t="s">
        <v>802</v>
      </c>
      <c r="C310" t="s">
        <v>803</v>
      </c>
      <c r="D310" t="s">
        <v>8</v>
      </c>
      <c r="G310">
        <v>62147</v>
      </c>
    </row>
    <row r="311" spans="1:7" x14ac:dyDescent="0.2">
      <c r="A311" t="s">
        <v>847</v>
      </c>
      <c r="B311" t="s">
        <v>802</v>
      </c>
      <c r="C311" t="s">
        <v>803</v>
      </c>
      <c r="D311" t="s">
        <v>694</v>
      </c>
      <c r="E311" t="s">
        <v>804</v>
      </c>
      <c r="G311">
        <v>42396</v>
      </c>
    </row>
    <row r="312" spans="1:7" x14ac:dyDescent="0.2">
      <c r="A312" t="s">
        <v>847</v>
      </c>
      <c r="B312" t="s">
        <v>802</v>
      </c>
      <c r="C312" t="s">
        <v>803</v>
      </c>
      <c r="D312" t="s">
        <v>696</v>
      </c>
      <c r="E312" t="s">
        <v>805</v>
      </c>
      <c r="G312">
        <v>7002</v>
      </c>
    </row>
    <row r="313" spans="1:7" x14ac:dyDescent="0.2">
      <c r="A313" t="s">
        <v>847</v>
      </c>
      <c r="B313" t="s">
        <v>802</v>
      </c>
      <c r="C313" t="s">
        <v>803</v>
      </c>
      <c r="D313" t="s">
        <v>45</v>
      </c>
      <c r="G313">
        <v>5</v>
      </c>
    </row>
    <row r="314" spans="1:7" x14ac:dyDescent="0.2">
      <c r="A314" t="s">
        <v>847</v>
      </c>
      <c r="B314" t="s">
        <v>802</v>
      </c>
      <c r="C314" t="s">
        <v>803</v>
      </c>
      <c r="D314" t="s">
        <v>46</v>
      </c>
      <c r="G314">
        <v>12744</v>
      </c>
    </row>
    <row r="315" spans="1:7" x14ac:dyDescent="0.2">
      <c r="A315" t="s">
        <v>847</v>
      </c>
      <c r="B315" t="s">
        <v>834</v>
      </c>
      <c r="C315" t="s">
        <v>835</v>
      </c>
      <c r="D315" t="s">
        <v>8</v>
      </c>
      <c r="G315">
        <v>62147</v>
      </c>
    </row>
    <row r="316" spans="1:7" x14ac:dyDescent="0.2">
      <c r="A316" t="s">
        <v>847</v>
      </c>
      <c r="B316" t="s">
        <v>834</v>
      </c>
      <c r="C316" t="s">
        <v>835</v>
      </c>
      <c r="D316" t="s">
        <v>836</v>
      </c>
      <c r="E316" t="s">
        <v>837</v>
      </c>
      <c r="G316">
        <v>41782</v>
      </c>
    </row>
    <row r="317" spans="1:7" x14ac:dyDescent="0.2">
      <c r="A317" t="s">
        <v>847</v>
      </c>
      <c r="B317" t="s">
        <v>834</v>
      </c>
      <c r="C317" t="s">
        <v>835</v>
      </c>
      <c r="D317" t="s">
        <v>838</v>
      </c>
      <c r="E317" t="s">
        <v>839</v>
      </c>
      <c r="G317">
        <v>15595</v>
      </c>
    </row>
    <row r="318" spans="1:7" x14ac:dyDescent="0.2">
      <c r="A318" t="s">
        <v>847</v>
      </c>
      <c r="B318" t="s">
        <v>834</v>
      </c>
      <c r="C318" t="s">
        <v>835</v>
      </c>
      <c r="D318" t="s">
        <v>45</v>
      </c>
      <c r="G318">
        <v>8</v>
      </c>
    </row>
    <row r="319" spans="1:7" x14ac:dyDescent="0.2">
      <c r="A319" t="s">
        <v>847</v>
      </c>
      <c r="B319" t="s">
        <v>834</v>
      </c>
      <c r="C319" t="s">
        <v>835</v>
      </c>
      <c r="D319" t="s">
        <v>46</v>
      </c>
      <c r="G319">
        <v>4762</v>
      </c>
    </row>
    <row r="320" spans="1:7" x14ac:dyDescent="0.2">
      <c r="A320" t="s">
        <v>847</v>
      </c>
      <c r="B320" t="s">
        <v>840</v>
      </c>
      <c r="C320" t="s">
        <v>841</v>
      </c>
      <c r="D320" t="s">
        <v>8</v>
      </c>
      <c r="G320">
        <v>62147</v>
      </c>
    </row>
    <row r="321" spans="1:7" x14ac:dyDescent="0.2">
      <c r="A321" t="s">
        <v>847</v>
      </c>
      <c r="B321" t="s">
        <v>840</v>
      </c>
      <c r="C321" t="s">
        <v>841</v>
      </c>
      <c r="D321" t="s">
        <v>836</v>
      </c>
      <c r="E321" t="s">
        <v>842</v>
      </c>
      <c r="G321">
        <v>46880</v>
      </c>
    </row>
    <row r="322" spans="1:7" x14ac:dyDescent="0.2">
      <c r="A322" t="s">
        <v>847</v>
      </c>
      <c r="B322" t="s">
        <v>840</v>
      </c>
      <c r="C322" t="s">
        <v>841</v>
      </c>
      <c r="D322" t="s">
        <v>838</v>
      </c>
      <c r="E322" t="s">
        <v>843</v>
      </c>
      <c r="G322">
        <v>10593</v>
      </c>
    </row>
    <row r="323" spans="1:7" x14ac:dyDescent="0.2">
      <c r="A323" t="s">
        <v>847</v>
      </c>
      <c r="B323" t="s">
        <v>840</v>
      </c>
      <c r="C323" t="s">
        <v>841</v>
      </c>
      <c r="D323" t="s">
        <v>45</v>
      </c>
      <c r="G323">
        <v>6</v>
      </c>
    </row>
    <row r="324" spans="1:7" x14ac:dyDescent="0.2">
      <c r="A324" t="s">
        <v>847</v>
      </c>
      <c r="B324" t="s">
        <v>840</v>
      </c>
      <c r="C324" t="s">
        <v>841</v>
      </c>
      <c r="D324" t="s">
        <v>46</v>
      </c>
      <c r="G324">
        <v>4668</v>
      </c>
    </row>
    <row r="325" spans="1:7" x14ac:dyDescent="0.2">
      <c r="A325" t="s">
        <v>848</v>
      </c>
      <c r="B325" t="s">
        <v>6</v>
      </c>
      <c r="C325" t="s">
        <v>7</v>
      </c>
      <c r="D325" t="s">
        <v>8</v>
      </c>
      <c r="G325">
        <v>9610</v>
      </c>
    </row>
    <row r="326" spans="1:7" x14ac:dyDescent="0.2">
      <c r="A326" t="s">
        <v>848</v>
      </c>
      <c r="B326" t="s">
        <v>6</v>
      </c>
      <c r="C326" t="s">
        <v>7</v>
      </c>
      <c r="D326" t="s">
        <v>9</v>
      </c>
      <c r="E326" t="s">
        <v>10</v>
      </c>
      <c r="F326" t="s">
        <v>11</v>
      </c>
      <c r="G326">
        <v>8</v>
      </c>
    </row>
    <row r="327" spans="1:7" x14ac:dyDescent="0.2">
      <c r="A327" t="s">
        <v>848</v>
      </c>
      <c r="B327" t="s">
        <v>6</v>
      </c>
      <c r="C327" t="s">
        <v>7</v>
      </c>
      <c r="D327" t="s">
        <v>12</v>
      </c>
      <c r="E327" t="s">
        <v>13</v>
      </c>
      <c r="F327" t="s">
        <v>11</v>
      </c>
      <c r="G327">
        <v>19</v>
      </c>
    </row>
    <row r="328" spans="1:7" x14ac:dyDescent="0.2">
      <c r="A328" t="s">
        <v>848</v>
      </c>
      <c r="B328" t="s">
        <v>6</v>
      </c>
      <c r="C328" t="s">
        <v>7</v>
      </c>
      <c r="D328" t="s">
        <v>14</v>
      </c>
      <c r="E328" t="s">
        <v>15</v>
      </c>
      <c r="F328" t="s">
        <v>16</v>
      </c>
      <c r="G328">
        <v>32</v>
      </c>
    </row>
    <row r="329" spans="1:7" x14ac:dyDescent="0.2">
      <c r="A329" t="s">
        <v>848</v>
      </c>
      <c r="B329" t="s">
        <v>6</v>
      </c>
      <c r="C329" t="s">
        <v>7</v>
      </c>
      <c r="D329" t="s">
        <v>17</v>
      </c>
      <c r="E329" t="s">
        <v>18</v>
      </c>
      <c r="F329" t="s">
        <v>19</v>
      </c>
      <c r="G329">
        <v>38</v>
      </c>
    </row>
    <row r="330" spans="1:7" x14ac:dyDescent="0.2">
      <c r="A330" t="s">
        <v>848</v>
      </c>
      <c r="B330" t="s">
        <v>6</v>
      </c>
      <c r="C330" t="s">
        <v>7</v>
      </c>
      <c r="D330" t="s">
        <v>20</v>
      </c>
      <c r="E330" t="s">
        <v>21</v>
      </c>
      <c r="F330" t="s">
        <v>22</v>
      </c>
      <c r="G330">
        <v>6719</v>
      </c>
    </row>
    <row r="331" spans="1:7" x14ac:dyDescent="0.2">
      <c r="A331" t="s">
        <v>848</v>
      </c>
      <c r="B331" t="s">
        <v>6</v>
      </c>
      <c r="C331" t="s">
        <v>7</v>
      </c>
      <c r="D331" t="s">
        <v>23</v>
      </c>
      <c r="E331" t="s">
        <v>24</v>
      </c>
      <c r="F331" t="s">
        <v>25</v>
      </c>
      <c r="G331">
        <v>90</v>
      </c>
    </row>
    <row r="332" spans="1:7" x14ac:dyDescent="0.2">
      <c r="A332" t="s">
        <v>848</v>
      </c>
      <c r="B332" t="s">
        <v>6</v>
      </c>
      <c r="C332" t="s">
        <v>7</v>
      </c>
      <c r="D332" t="s">
        <v>26</v>
      </c>
      <c r="E332" t="s">
        <v>27</v>
      </c>
      <c r="F332" t="s">
        <v>28</v>
      </c>
      <c r="G332">
        <v>2525</v>
      </c>
    </row>
    <row r="333" spans="1:7" x14ac:dyDescent="0.2">
      <c r="A333" t="s">
        <v>848</v>
      </c>
      <c r="B333" t="s">
        <v>6</v>
      </c>
      <c r="C333" t="s">
        <v>7</v>
      </c>
      <c r="D333" t="s">
        <v>29</v>
      </c>
      <c r="E333" t="s">
        <v>30</v>
      </c>
      <c r="F333" t="s">
        <v>11</v>
      </c>
      <c r="G333">
        <v>14</v>
      </c>
    </row>
    <row r="334" spans="1:7" x14ac:dyDescent="0.2">
      <c r="A334" t="s">
        <v>848</v>
      </c>
      <c r="B334" t="s">
        <v>6</v>
      </c>
      <c r="C334" t="s">
        <v>7</v>
      </c>
      <c r="D334" t="s">
        <v>31</v>
      </c>
      <c r="E334" t="s">
        <v>32</v>
      </c>
      <c r="F334" t="s">
        <v>11</v>
      </c>
      <c r="G334">
        <v>0</v>
      </c>
    </row>
    <row r="335" spans="1:7" x14ac:dyDescent="0.2">
      <c r="A335" t="s">
        <v>848</v>
      </c>
      <c r="B335" t="s">
        <v>6</v>
      </c>
      <c r="C335" t="s">
        <v>7</v>
      </c>
      <c r="D335" t="s">
        <v>33</v>
      </c>
      <c r="E335" t="s">
        <v>34</v>
      </c>
      <c r="F335" t="s">
        <v>11</v>
      </c>
      <c r="G335">
        <v>0</v>
      </c>
    </row>
    <row r="336" spans="1:7" x14ac:dyDescent="0.2">
      <c r="A336" t="s">
        <v>848</v>
      </c>
      <c r="B336" t="s">
        <v>6</v>
      </c>
      <c r="C336" t="s">
        <v>7</v>
      </c>
      <c r="D336" t="s">
        <v>35</v>
      </c>
      <c r="E336" t="s">
        <v>36</v>
      </c>
      <c r="F336" t="s">
        <v>11</v>
      </c>
      <c r="G336">
        <v>0</v>
      </c>
    </row>
    <row r="337" spans="1:7" x14ac:dyDescent="0.2">
      <c r="A337" t="s">
        <v>848</v>
      </c>
      <c r="B337" t="s">
        <v>6</v>
      </c>
      <c r="C337" t="s">
        <v>7</v>
      </c>
      <c r="D337" t="s">
        <v>37</v>
      </c>
      <c r="E337" t="s">
        <v>38</v>
      </c>
      <c r="F337" t="s">
        <v>11</v>
      </c>
      <c r="G337">
        <v>0</v>
      </c>
    </row>
    <row r="338" spans="1:7" x14ac:dyDescent="0.2">
      <c r="A338" t="s">
        <v>848</v>
      </c>
      <c r="B338" t="s">
        <v>6</v>
      </c>
      <c r="C338" t="s">
        <v>7</v>
      </c>
      <c r="D338" t="s">
        <v>39</v>
      </c>
      <c r="E338" t="s">
        <v>40</v>
      </c>
      <c r="F338" t="s">
        <v>11</v>
      </c>
      <c r="G338">
        <v>0</v>
      </c>
    </row>
    <row r="339" spans="1:7" x14ac:dyDescent="0.2">
      <c r="A339" t="s">
        <v>848</v>
      </c>
      <c r="B339" t="s">
        <v>6</v>
      </c>
      <c r="C339" t="s">
        <v>7</v>
      </c>
      <c r="D339" t="s">
        <v>41</v>
      </c>
      <c r="E339" t="s">
        <v>42</v>
      </c>
      <c r="F339" t="s">
        <v>11</v>
      </c>
      <c r="G339">
        <v>0</v>
      </c>
    </row>
    <row r="340" spans="1:7" x14ac:dyDescent="0.2">
      <c r="A340" t="s">
        <v>848</v>
      </c>
      <c r="B340" t="s">
        <v>6</v>
      </c>
      <c r="C340" t="s">
        <v>7</v>
      </c>
      <c r="D340" t="s">
        <v>43</v>
      </c>
      <c r="E340" t="s">
        <v>44</v>
      </c>
      <c r="F340" t="s">
        <v>11</v>
      </c>
      <c r="G340">
        <v>0</v>
      </c>
    </row>
    <row r="341" spans="1:7" x14ac:dyDescent="0.2">
      <c r="A341" t="s">
        <v>848</v>
      </c>
      <c r="B341" t="s">
        <v>6</v>
      </c>
      <c r="C341" t="s">
        <v>7</v>
      </c>
      <c r="D341" t="s">
        <v>45</v>
      </c>
      <c r="G341">
        <v>2</v>
      </c>
    </row>
    <row r="342" spans="1:7" x14ac:dyDescent="0.2">
      <c r="A342" t="s">
        <v>848</v>
      </c>
      <c r="B342" t="s">
        <v>6</v>
      </c>
      <c r="C342" t="s">
        <v>7</v>
      </c>
      <c r="D342" t="s">
        <v>46</v>
      </c>
      <c r="G342">
        <v>81</v>
      </c>
    </row>
    <row r="343" spans="1:7" x14ac:dyDescent="0.2">
      <c r="A343" t="s">
        <v>848</v>
      </c>
      <c r="B343" t="s">
        <v>47</v>
      </c>
      <c r="C343" t="s">
        <v>48</v>
      </c>
      <c r="D343" t="s">
        <v>8</v>
      </c>
      <c r="G343">
        <v>9610</v>
      </c>
    </row>
    <row r="344" spans="1:7" x14ac:dyDescent="0.2">
      <c r="A344" t="s">
        <v>848</v>
      </c>
      <c r="B344" t="s">
        <v>47</v>
      </c>
      <c r="C344" t="s">
        <v>48</v>
      </c>
      <c r="D344" t="s">
        <v>49</v>
      </c>
      <c r="E344" t="s">
        <v>50</v>
      </c>
      <c r="F344" t="s">
        <v>51</v>
      </c>
      <c r="G344">
        <v>435</v>
      </c>
    </row>
    <row r="345" spans="1:7" x14ac:dyDescent="0.2">
      <c r="A345" t="s">
        <v>848</v>
      </c>
      <c r="B345" t="s">
        <v>47</v>
      </c>
      <c r="C345" t="s">
        <v>48</v>
      </c>
      <c r="D345" t="s">
        <v>52</v>
      </c>
      <c r="E345" t="s">
        <v>53</v>
      </c>
      <c r="F345" t="s">
        <v>22</v>
      </c>
      <c r="G345">
        <v>6751</v>
      </c>
    </row>
    <row r="346" spans="1:7" x14ac:dyDescent="0.2">
      <c r="A346" t="s">
        <v>848</v>
      </c>
      <c r="B346" t="s">
        <v>47</v>
      </c>
      <c r="C346" t="s">
        <v>48</v>
      </c>
      <c r="D346" t="s">
        <v>54</v>
      </c>
      <c r="E346" t="s">
        <v>55</v>
      </c>
      <c r="F346" t="s">
        <v>28</v>
      </c>
      <c r="G346">
        <v>2140</v>
      </c>
    </row>
    <row r="347" spans="1:7" x14ac:dyDescent="0.2">
      <c r="A347" t="s">
        <v>848</v>
      </c>
      <c r="B347" t="s">
        <v>47</v>
      </c>
      <c r="C347" t="s">
        <v>48</v>
      </c>
      <c r="D347" t="s">
        <v>56</v>
      </c>
      <c r="E347" t="s">
        <v>57</v>
      </c>
      <c r="F347" t="s">
        <v>11</v>
      </c>
      <c r="G347">
        <v>0</v>
      </c>
    </row>
    <row r="348" spans="1:7" x14ac:dyDescent="0.2">
      <c r="A348" t="s">
        <v>848</v>
      </c>
      <c r="B348" t="s">
        <v>47</v>
      </c>
      <c r="C348" t="s">
        <v>48</v>
      </c>
      <c r="D348" t="s">
        <v>45</v>
      </c>
      <c r="G348">
        <v>1</v>
      </c>
    </row>
    <row r="349" spans="1:7" x14ac:dyDescent="0.2">
      <c r="A349" t="s">
        <v>848</v>
      </c>
      <c r="B349" t="s">
        <v>47</v>
      </c>
      <c r="C349" t="s">
        <v>48</v>
      </c>
      <c r="D349" t="s">
        <v>46</v>
      </c>
      <c r="G349">
        <v>242</v>
      </c>
    </row>
    <row r="350" spans="1:7" x14ac:dyDescent="0.2">
      <c r="A350" t="s">
        <v>848</v>
      </c>
      <c r="B350" t="s">
        <v>76</v>
      </c>
      <c r="C350" t="s">
        <v>77</v>
      </c>
      <c r="D350" t="s">
        <v>8</v>
      </c>
      <c r="G350">
        <v>9610</v>
      </c>
    </row>
    <row r="351" spans="1:7" x14ac:dyDescent="0.2">
      <c r="A351" t="s">
        <v>848</v>
      </c>
      <c r="B351" t="s">
        <v>76</v>
      </c>
      <c r="C351" t="s">
        <v>77</v>
      </c>
      <c r="D351" t="s">
        <v>78</v>
      </c>
      <c r="E351" t="s">
        <v>79</v>
      </c>
      <c r="F351" t="s">
        <v>22</v>
      </c>
      <c r="G351">
        <v>6744</v>
      </c>
    </row>
    <row r="352" spans="1:7" x14ac:dyDescent="0.2">
      <c r="A352" t="s">
        <v>848</v>
      </c>
      <c r="B352" t="s">
        <v>76</v>
      </c>
      <c r="C352" t="s">
        <v>77</v>
      </c>
      <c r="D352" t="s">
        <v>80</v>
      </c>
      <c r="E352" t="s">
        <v>81</v>
      </c>
      <c r="F352" t="s">
        <v>28</v>
      </c>
      <c r="G352">
        <v>2410</v>
      </c>
    </row>
    <row r="353" spans="1:7" x14ac:dyDescent="0.2">
      <c r="A353" t="s">
        <v>848</v>
      </c>
      <c r="B353" t="s">
        <v>76</v>
      </c>
      <c r="C353" t="s">
        <v>77</v>
      </c>
      <c r="D353" t="s">
        <v>45</v>
      </c>
      <c r="G353">
        <v>0</v>
      </c>
    </row>
    <row r="354" spans="1:7" x14ac:dyDescent="0.2">
      <c r="A354" t="s">
        <v>848</v>
      </c>
      <c r="B354" t="s">
        <v>76</v>
      </c>
      <c r="C354" t="s">
        <v>77</v>
      </c>
      <c r="D354" t="s">
        <v>46</v>
      </c>
      <c r="G354">
        <v>456</v>
      </c>
    </row>
    <row r="355" spans="1:7" x14ac:dyDescent="0.2">
      <c r="A355" t="s">
        <v>848</v>
      </c>
      <c r="B355" t="s">
        <v>93</v>
      </c>
      <c r="C355" t="s">
        <v>94</v>
      </c>
      <c r="D355" t="s">
        <v>8</v>
      </c>
      <c r="G355">
        <v>9603</v>
      </c>
    </row>
    <row r="356" spans="1:7" x14ac:dyDescent="0.2">
      <c r="A356" t="s">
        <v>848</v>
      </c>
      <c r="B356" t="s">
        <v>93</v>
      </c>
      <c r="C356" t="s">
        <v>94</v>
      </c>
      <c r="D356" t="s">
        <v>95</v>
      </c>
      <c r="E356" t="s">
        <v>96</v>
      </c>
      <c r="F356" t="s">
        <v>22</v>
      </c>
      <c r="G356">
        <v>5710</v>
      </c>
    </row>
    <row r="357" spans="1:7" x14ac:dyDescent="0.2">
      <c r="A357" t="s">
        <v>848</v>
      </c>
      <c r="B357" t="s">
        <v>93</v>
      </c>
      <c r="C357" t="s">
        <v>94</v>
      </c>
      <c r="D357" t="s">
        <v>97</v>
      </c>
      <c r="E357" t="s">
        <v>98</v>
      </c>
      <c r="F357" t="s">
        <v>51</v>
      </c>
      <c r="G357">
        <v>229</v>
      </c>
    </row>
    <row r="358" spans="1:7" x14ac:dyDescent="0.2">
      <c r="A358" t="s">
        <v>848</v>
      </c>
      <c r="B358" t="s">
        <v>93</v>
      </c>
      <c r="C358" t="s">
        <v>94</v>
      </c>
      <c r="D358" t="s">
        <v>99</v>
      </c>
      <c r="E358" t="s">
        <v>100</v>
      </c>
      <c r="F358" t="s">
        <v>28</v>
      </c>
      <c r="G358">
        <v>2094</v>
      </c>
    </row>
    <row r="359" spans="1:7" x14ac:dyDescent="0.2">
      <c r="A359" t="s">
        <v>848</v>
      </c>
      <c r="B359" t="s">
        <v>93</v>
      </c>
      <c r="C359" t="s">
        <v>94</v>
      </c>
      <c r="D359" t="s">
        <v>101</v>
      </c>
      <c r="E359" t="s">
        <v>102</v>
      </c>
      <c r="F359" t="s">
        <v>25</v>
      </c>
      <c r="G359">
        <v>231</v>
      </c>
    </row>
    <row r="360" spans="1:7" x14ac:dyDescent="0.2">
      <c r="A360" t="s">
        <v>848</v>
      </c>
      <c r="B360" t="s">
        <v>93</v>
      </c>
      <c r="C360" t="s">
        <v>94</v>
      </c>
      <c r="D360" t="s">
        <v>103</v>
      </c>
      <c r="E360" t="s">
        <v>104</v>
      </c>
      <c r="F360" t="s">
        <v>11</v>
      </c>
      <c r="G360">
        <v>40</v>
      </c>
    </row>
    <row r="361" spans="1:7" x14ac:dyDescent="0.2">
      <c r="A361" t="s">
        <v>848</v>
      </c>
      <c r="B361" t="s">
        <v>93</v>
      </c>
      <c r="C361" t="s">
        <v>94</v>
      </c>
      <c r="D361" t="s">
        <v>105</v>
      </c>
      <c r="E361" t="s">
        <v>106</v>
      </c>
      <c r="F361" t="s">
        <v>11</v>
      </c>
      <c r="G361">
        <v>1006</v>
      </c>
    </row>
    <row r="362" spans="1:7" x14ac:dyDescent="0.2">
      <c r="A362" t="s">
        <v>848</v>
      </c>
      <c r="B362" t="s">
        <v>93</v>
      </c>
      <c r="C362" t="s">
        <v>94</v>
      </c>
      <c r="D362" t="s">
        <v>107</v>
      </c>
      <c r="E362" t="s">
        <v>108</v>
      </c>
      <c r="F362" t="s">
        <v>11</v>
      </c>
      <c r="G362">
        <v>3</v>
      </c>
    </row>
    <row r="363" spans="1:7" x14ac:dyDescent="0.2">
      <c r="A363" t="s">
        <v>848</v>
      </c>
      <c r="B363" t="s">
        <v>93</v>
      </c>
      <c r="C363" t="s">
        <v>94</v>
      </c>
      <c r="D363" t="s">
        <v>45</v>
      </c>
      <c r="G363">
        <v>0</v>
      </c>
    </row>
    <row r="364" spans="1:7" x14ac:dyDescent="0.2">
      <c r="A364" t="s">
        <v>848</v>
      </c>
      <c r="B364" t="s">
        <v>93</v>
      </c>
      <c r="C364" t="s">
        <v>94</v>
      </c>
      <c r="D364" t="s">
        <v>46</v>
      </c>
      <c r="G364">
        <v>255</v>
      </c>
    </row>
    <row r="365" spans="1:7" x14ac:dyDescent="0.2">
      <c r="A365" t="s">
        <v>848</v>
      </c>
      <c r="B365" t="s">
        <v>109</v>
      </c>
      <c r="C365" t="s">
        <v>110</v>
      </c>
      <c r="D365" t="s">
        <v>8</v>
      </c>
      <c r="G365">
        <v>9603</v>
      </c>
    </row>
    <row r="366" spans="1:7" x14ac:dyDescent="0.2">
      <c r="A366" t="s">
        <v>848</v>
      </c>
      <c r="B366" t="s">
        <v>109</v>
      </c>
      <c r="C366" t="s">
        <v>110</v>
      </c>
      <c r="D366" t="s">
        <v>111</v>
      </c>
      <c r="E366" t="s">
        <v>112</v>
      </c>
      <c r="F366" t="s">
        <v>22</v>
      </c>
      <c r="G366">
        <v>6126</v>
      </c>
    </row>
    <row r="367" spans="1:7" x14ac:dyDescent="0.2">
      <c r="A367" t="s">
        <v>848</v>
      </c>
      <c r="B367" t="s">
        <v>109</v>
      </c>
      <c r="C367" t="s">
        <v>110</v>
      </c>
      <c r="D367" t="s">
        <v>113</v>
      </c>
      <c r="E367" t="s">
        <v>114</v>
      </c>
      <c r="F367" t="s">
        <v>28</v>
      </c>
      <c r="G367">
        <v>2196</v>
      </c>
    </row>
    <row r="368" spans="1:7" x14ac:dyDescent="0.2">
      <c r="A368" t="s">
        <v>848</v>
      </c>
      <c r="B368" t="s">
        <v>109</v>
      </c>
      <c r="C368" t="s">
        <v>110</v>
      </c>
      <c r="D368" t="s">
        <v>115</v>
      </c>
      <c r="E368" t="s">
        <v>116</v>
      </c>
      <c r="F368" t="s">
        <v>25</v>
      </c>
      <c r="G368">
        <v>366</v>
      </c>
    </row>
    <row r="369" spans="1:7" x14ac:dyDescent="0.2">
      <c r="A369" t="s">
        <v>848</v>
      </c>
      <c r="B369" t="s">
        <v>109</v>
      </c>
      <c r="C369" t="s">
        <v>110</v>
      </c>
      <c r="D369" t="s">
        <v>117</v>
      </c>
      <c r="E369" t="s">
        <v>118</v>
      </c>
      <c r="F369" t="s">
        <v>11</v>
      </c>
      <c r="G369">
        <v>224</v>
      </c>
    </row>
    <row r="370" spans="1:7" x14ac:dyDescent="0.2">
      <c r="A370" t="s">
        <v>848</v>
      </c>
      <c r="B370" t="s">
        <v>109</v>
      </c>
      <c r="C370" t="s">
        <v>110</v>
      </c>
      <c r="D370" t="s">
        <v>119</v>
      </c>
      <c r="E370" t="s">
        <v>120</v>
      </c>
      <c r="F370" t="s">
        <v>88</v>
      </c>
      <c r="G370">
        <v>294</v>
      </c>
    </row>
    <row r="371" spans="1:7" x14ac:dyDescent="0.2">
      <c r="A371" t="s">
        <v>848</v>
      </c>
      <c r="B371" t="s">
        <v>109</v>
      </c>
      <c r="C371" t="s">
        <v>110</v>
      </c>
      <c r="D371" t="s">
        <v>45</v>
      </c>
      <c r="G371">
        <v>2</v>
      </c>
    </row>
    <row r="372" spans="1:7" x14ac:dyDescent="0.2">
      <c r="A372" t="s">
        <v>848</v>
      </c>
      <c r="B372" t="s">
        <v>109</v>
      </c>
      <c r="C372" t="s">
        <v>110</v>
      </c>
      <c r="D372" t="s">
        <v>46</v>
      </c>
      <c r="G372">
        <v>395</v>
      </c>
    </row>
    <row r="373" spans="1:7" x14ac:dyDescent="0.2">
      <c r="A373" t="s">
        <v>848</v>
      </c>
      <c r="B373" t="s">
        <v>121</v>
      </c>
      <c r="C373" t="s">
        <v>122</v>
      </c>
      <c r="D373" t="s">
        <v>8</v>
      </c>
      <c r="G373">
        <v>9603</v>
      </c>
    </row>
    <row r="374" spans="1:7" x14ac:dyDescent="0.2">
      <c r="A374" t="s">
        <v>848</v>
      </c>
      <c r="B374" t="s">
        <v>121</v>
      </c>
      <c r="C374" t="s">
        <v>122</v>
      </c>
      <c r="D374" t="s">
        <v>123</v>
      </c>
      <c r="E374" t="s">
        <v>124</v>
      </c>
      <c r="F374" t="s">
        <v>22</v>
      </c>
      <c r="G374">
        <v>6346</v>
      </c>
    </row>
    <row r="375" spans="1:7" x14ac:dyDescent="0.2">
      <c r="A375" t="s">
        <v>848</v>
      </c>
      <c r="B375" t="s">
        <v>121</v>
      </c>
      <c r="C375" t="s">
        <v>122</v>
      </c>
      <c r="D375" t="s">
        <v>125</v>
      </c>
      <c r="E375" t="s">
        <v>126</v>
      </c>
      <c r="F375" t="s">
        <v>16</v>
      </c>
      <c r="G375">
        <v>505</v>
      </c>
    </row>
    <row r="376" spans="1:7" x14ac:dyDescent="0.2">
      <c r="A376" t="s">
        <v>848</v>
      </c>
      <c r="B376" t="s">
        <v>121</v>
      </c>
      <c r="C376" t="s">
        <v>122</v>
      </c>
      <c r="D376" t="s">
        <v>127</v>
      </c>
      <c r="E376" t="s">
        <v>128</v>
      </c>
      <c r="F376" t="s">
        <v>28</v>
      </c>
      <c r="G376">
        <v>2294</v>
      </c>
    </row>
    <row r="377" spans="1:7" x14ac:dyDescent="0.2">
      <c r="A377" t="s">
        <v>848</v>
      </c>
      <c r="B377" t="s">
        <v>121</v>
      </c>
      <c r="C377" t="s">
        <v>122</v>
      </c>
      <c r="D377" t="s">
        <v>45</v>
      </c>
      <c r="G377">
        <v>0</v>
      </c>
    </row>
    <row r="378" spans="1:7" x14ac:dyDescent="0.2">
      <c r="A378" t="s">
        <v>848</v>
      </c>
      <c r="B378" t="s">
        <v>121</v>
      </c>
      <c r="C378" t="s">
        <v>122</v>
      </c>
      <c r="D378" t="s">
        <v>46</v>
      </c>
      <c r="G378">
        <v>458</v>
      </c>
    </row>
    <row r="379" spans="1:7" x14ac:dyDescent="0.2">
      <c r="A379" t="s">
        <v>848</v>
      </c>
      <c r="B379" t="s">
        <v>129</v>
      </c>
      <c r="C379" t="s">
        <v>130</v>
      </c>
      <c r="D379" t="s">
        <v>8</v>
      </c>
      <c r="G379">
        <v>9603</v>
      </c>
    </row>
    <row r="380" spans="1:7" x14ac:dyDescent="0.2">
      <c r="A380" t="s">
        <v>848</v>
      </c>
      <c r="B380" t="s">
        <v>129</v>
      </c>
      <c r="C380" t="s">
        <v>130</v>
      </c>
      <c r="D380" t="s">
        <v>131</v>
      </c>
      <c r="E380" t="s">
        <v>132</v>
      </c>
      <c r="F380" t="s">
        <v>133</v>
      </c>
      <c r="G380">
        <v>346</v>
      </c>
    </row>
    <row r="381" spans="1:7" x14ac:dyDescent="0.2">
      <c r="A381" t="s">
        <v>848</v>
      </c>
      <c r="B381" t="s">
        <v>129</v>
      </c>
      <c r="C381" t="s">
        <v>130</v>
      </c>
      <c r="D381" t="s">
        <v>134</v>
      </c>
      <c r="E381" t="s">
        <v>135</v>
      </c>
      <c r="F381" t="s">
        <v>22</v>
      </c>
      <c r="G381">
        <v>6402</v>
      </c>
    </row>
    <row r="382" spans="1:7" x14ac:dyDescent="0.2">
      <c r="A382" t="s">
        <v>848</v>
      </c>
      <c r="B382" t="s">
        <v>129</v>
      </c>
      <c r="C382" t="s">
        <v>130</v>
      </c>
      <c r="D382" t="s">
        <v>136</v>
      </c>
      <c r="E382" t="s">
        <v>137</v>
      </c>
      <c r="F382" t="s">
        <v>28</v>
      </c>
      <c r="G382">
        <v>2374</v>
      </c>
    </row>
    <row r="383" spans="1:7" x14ac:dyDescent="0.2">
      <c r="A383" t="s">
        <v>848</v>
      </c>
      <c r="B383" t="s">
        <v>129</v>
      </c>
      <c r="C383" t="s">
        <v>130</v>
      </c>
      <c r="D383" t="s">
        <v>45</v>
      </c>
      <c r="G383">
        <v>0</v>
      </c>
    </row>
    <row r="384" spans="1:7" x14ac:dyDescent="0.2">
      <c r="A384" t="s">
        <v>848</v>
      </c>
      <c r="B384" t="s">
        <v>129</v>
      </c>
      <c r="C384" t="s">
        <v>130</v>
      </c>
      <c r="D384" t="s">
        <v>46</v>
      </c>
      <c r="G384">
        <v>481</v>
      </c>
    </row>
    <row r="385" spans="1:7" x14ac:dyDescent="0.2">
      <c r="A385" t="s">
        <v>848</v>
      </c>
      <c r="B385" t="s">
        <v>210</v>
      </c>
      <c r="C385" t="s">
        <v>211</v>
      </c>
      <c r="D385" t="s">
        <v>8</v>
      </c>
      <c r="G385">
        <v>9603</v>
      </c>
    </row>
    <row r="386" spans="1:7" x14ac:dyDescent="0.2">
      <c r="A386" t="s">
        <v>848</v>
      </c>
      <c r="B386" t="s">
        <v>210</v>
      </c>
      <c r="C386" t="s">
        <v>211</v>
      </c>
      <c r="D386" t="s">
        <v>212</v>
      </c>
      <c r="E386" t="s">
        <v>213</v>
      </c>
      <c r="F386" t="s">
        <v>11</v>
      </c>
      <c r="G386">
        <v>691</v>
      </c>
    </row>
    <row r="387" spans="1:7" x14ac:dyDescent="0.2">
      <c r="A387" t="s">
        <v>848</v>
      </c>
      <c r="B387" t="s">
        <v>210</v>
      </c>
      <c r="C387" t="s">
        <v>211</v>
      </c>
      <c r="D387" t="s">
        <v>214</v>
      </c>
      <c r="E387" t="s">
        <v>215</v>
      </c>
      <c r="F387" t="s">
        <v>28</v>
      </c>
      <c r="G387">
        <v>1913</v>
      </c>
    </row>
    <row r="388" spans="1:7" x14ac:dyDescent="0.2">
      <c r="A388" t="s">
        <v>848</v>
      </c>
      <c r="B388" t="s">
        <v>210</v>
      </c>
      <c r="C388" t="s">
        <v>211</v>
      </c>
      <c r="D388" t="s">
        <v>216</v>
      </c>
      <c r="E388" t="s">
        <v>217</v>
      </c>
      <c r="F388" t="s">
        <v>22</v>
      </c>
      <c r="G388">
        <v>6660</v>
      </c>
    </row>
    <row r="389" spans="1:7" x14ac:dyDescent="0.2">
      <c r="A389" t="s">
        <v>848</v>
      </c>
      <c r="B389" t="s">
        <v>210</v>
      </c>
      <c r="C389" t="s">
        <v>211</v>
      </c>
      <c r="D389" t="s">
        <v>45</v>
      </c>
      <c r="G389">
        <v>0</v>
      </c>
    </row>
    <row r="390" spans="1:7" x14ac:dyDescent="0.2">
      <c r="A390" t="s">
        <v>848</v>
      </c>
      <c r="B390" t="s">
        <v>210</v>
      </c>
      <c r="C390" t="s">
        <v>211</v>
      </c>
      <c r="D390" t="s">
        <v>46</v>
      </c>
      <c r="G390">
        <v>339</v>
      </c>
    </row>
    <row r="391" spans="1:7" x14ac:dyDescent="0.2">
      <c r="A391" t="s">
        <v>848</v>
      </c>
      <c r="B391" t="s">
        <v>602</v>
      </c>
      <c r="C391" t="s">
        <v>603</v>
      </c>
      <c r="D391" t="s">
        <v>8</v>
      </c>
      <c r="G391">
        <v>9603</v>
      </c>
    </row>
    <row r="392" spans="1:7" x14ac:dyDescent="0.2">
      <c r="A392" t="s">
        <v>848</v>
      </c>
      <c r="B392" t="s">
        <v>602</v>
      </c>
      <c r="C392" t="s">
        <v>603</v>
      </c>
      <c r="D392" t="s">
        <v>604</v>
      </c>
      <c r="E392" t="s">
        <v>605</v>
      </c>
      <c r="F392" t="s">
        <v>28</v>
      </c>
      <c r="G392">
        <v>3261</v>
      </c>
    </row>
    <row r="393" spans="1:7" x14ac:dyDescent="0.2">
      <c r="A393" t="s">
        <v>848</v>
      </c>
      <c r="B393" t="s">
        <v>602</v>
      </c>
      <c r="C393" t="s">
        <v>603</v>
      </c>
      <c r="D393" t="s">
        <v>606</v>
      </c>
      <c r="E393" t="s">
        <v>607</v>
      </c>
      <c r="F393" t="s">
        <v>22</v>
      </c>
      <c r="G393">
        <v>6026</v>
      </c>
    </row>
    <row r="394" spans="1:7" x14ac:dyDescent="0.2">
      <c r="A394" t="s">
        <v>848</v>
      </c>
      <c r="B394" t="s">
        <v>602</v>
      </c>
      <c r="C394" t="s">
        <v>603</v>
      </c>
      <c r="D394" t="s">
        <v>45</v>
      </c>
      <c r="G394">
        <v>0</v>
      </c>
    </row>
    <row r="395" spans="1:7" x14ac:dyDescent="0.2">
      <c r="A395" t="s">
        <v>848</v>
      </c>
      <c r="B395" t="s">
        <v>602</v>
      </c>
      <c r="C395" t="s">
        <v>603</v>
      </c>
      <c r="D395" t="s">
        <v>46</v>
      </c>
      <c r="G395">
        <v>316</v>
      </c>
    </row>
    <row r="396" spans="1:7" x14ac:dyDescent="0.2">
      <c r="A396" t="s">
        <v>848</v>
      </c>
      <c r="B396" t="s">
        <v>692</v>
      </c>
      <c r="C396" t="s">
        <v>693</v>
      </c>
      <c r="D396" t="s">
        <v>8</v>
      </c>
      <c r="G396">
        <v>9603</v>
      </c>
    </row>
    <row r="397" spans="1:7" x14ac:dyDescent="0.2">
      <c r="A397" t="s">
        <v>848</v>
      </c>
      <c r="B397" t="s">
        <v>692</v>
      </c>
      <c r="C397" t="s">
        <v>693</v>
      </c>
      <c r="D397" t="s">
        <v>694</v>
      </c>
      <c r="E397" t="s">
        <v>695</v>
      </c>
      <c r="G397">
        <v>6804</v>
      </c>
    </row>
    <row r="398" spans="1:7" x14ac:dyDescent="0.2">
      <c r="A398" t="s">
        <v>848</v>
      </c>
      <c r="B398" t="s">
        <v>692</v>
      </c>
      <c r="C398" t="s">
        <v>693</v>
      </c>
      <c r="D398" t="s">
        <v>696</v>
      </c>
      <c r="E398" t="s">
        <v>697</v>
      </c>
      <c r="G398">
        <v>1676</v>
      </c>
    </row>
    <row r="399" spans="1:7" x14ac:dyDescent="0.2">
      <c r="A399" t="s">
        <v>848</v>
      </c>
      <c r="B399" t="s">
        <v>692</v>
      </c>
      <c r="C399" t="s">
        <v>693</v>
      </c>
      <c r="D399" t="s">
        <v>45</v>
      </c>
      <c r="G399">
        <v>0</v>
      </c>
    </row>
    <row r="400" spans="1:7" x14ac:dyDescent="0.2">
      <c r="A400" t="s">
        <v>848</v>
      </c>
      <c r="B400" t="s">
        <v>692</v>
      </c>
      <c r="C400" t="s">
        <v>693</v>
      </c>
      <c r="D400" t="s">
        <v>46</v>
      </c>
      <c r="G400">
        <v>1123</v>
      </c>
    </row>
    <row r="401" spans="1:7" x14ac:dyDescent="0.2">
      <c r="A401" t="s">
        <v>848</v>
      </c>
      <c r="B401" t="s">
        <v>698</v>
      </c>
      <c r="C401" t="s">
        <v>699</v>
      </c>
      <c r="D401" t="s">
        <v>8</v>
      </c>
      <c r="G401">
        <v>9603</v>
      </c>
    </row>
    <row r="402" spans="1:7" x14ac:dyDescent="0.2">
      <c r="A402" t="s">
        <v>848</v>
      </c>
      <c r="B402" t="s">
        <v>698</v>
      </c>
      <c r="C402" t="s">
        <v>699</v>
      </c>
      <c r="D402" t="s">
        <v>694</v>
      </c>
      <c r="E402" t="s">
        <v>700</v>
      </c>
      <c r="G402">
        <v>6760</v>
      </c>
    </row>
    <row r="403" spans="1:7" x14ac:dyDescent="0.2">
      <c r="A403" t="s">
        <v>848</v>
      </c>
      <c r="B403" t="s">
        <v>698</v>
      </c>
      <c r="C403" t="s">
        <v>699</v>
      </c>
      <c r="D403" t="s">
        <v>696</v>
      </c>
      <c r="E403" t="s">
        <v>701</v>
      </c>
      <c r="G403">
        <v>1662</v>
      </c>
    </row>
    <row r="404" spans="1:7" x14ac:dyDescent="0.2">
      <c r="A404" t="s">
        <v>848</v>
      </c>
      <c r="B404" t="s">
        <v>698</v>
      </c>
      <c r="C404" t="s">
        <v>699</v>
      </c>
      <c r="D404" t="s">
        <v>45</v>
      </c>
      <c r="G404">
        <v>3</v>
      </c>
    </row>
    <row r="405" spans="1:7" x14ac:dyDescent="0.2">
      <c r="A405" t="s">
        <v>848</v>
      </c>
      <c r="B405" t="s">
        <v>698</v>
      </c>
      <c r="C405" t="s">
        <v>699</v>
      </c>
      <c r="D405" t="s">
        <v>46</v>
      </c>
      <c r="G405">
        <v>1178</v>
      </c>
    </row>
    <row r="406" spans="1:7" x14ac:dyDescent="0.2">
      <c r="A406" t="s">
        <v>848</v>
      </c>
      <c r="B406" t="s">
        <v>790</v>
      </c>
      <c r="C406" t="s">
        <v>791</v>
      </c>
      <c r="D406" t="s">
        <v>8</v>
      </c>
      <c r="G406">
        <v>9603</v>
      </c>
    </row>
    <row r="407" spans="1:7" x14ac:dyDescent="0.2">
      <c r="A407" t="s">
        <v>848</v>
      </c>
      <c r="B407" t="s">
        <v>790</v>
      </c>
      <c r="C407" t="s">
        <v>791</v>
      </c>
      <c r="D407" t="s">
        <v>694</v>
      </c>
      <c r="E407" t="s">
        <v>792</v>
      </c>
      <c r="G407">
        <v>6947</v>
      </c>
    </row>
    <row r="408" spans="1:7" x14ac:dyDescent="0.2">
      <c r="A408" t="s">
        <v>848</v>
      </c>
      <c r="B408" t="s">
        <v>790</v>
      </c>
      <c r="C408" t="s">
        <v>791</v>
      </c>
      <c r="D408" t="s">
        <v>696</v>
      </c>
      <c r="E408" t="s">
        <v>793</v>
      </c>
      <c r="G408">
        <v>1747</v>
      </c>
    </row>
    <row r="409" spans="1:7" x14ac:dyDescent="0.2">
      <c r="A409" t="s">
        <v>848</v>
      </c>
      <c r="B409" t="s">
        <v>790</v>
      </c>
      <c r="C409" t="s">
        <v>791</v>
      </c>
      <c r="D409" t="s">
        <v>45</v>
      </c>
      <c r="G409">
        <v>2</v>
      </c>
    </row>
    <row r="410" spans="1:7" x14ac:dyDescent="0.2">
      <c r="A410" t="s">
        <v>848</v>
      </c>
      <c r="B410" t="s">
        <v>790</v>
      </c>
      <c r="C410" t="s">
        <v>791</v>
      </c>
      <c r="D410" t="s">
        <v>46</v>
      </c>
      <c r="G410">
        <v>907</v>
      </c>
    </row>
    <row r="411" spans="1:7" x14ac:dyDescent="0.2">
      <c r="A411" t="s">
        <v>848</v>
      </c>
      <c r="B411" t="s">
        <v>834</v>
      </c>
      <c r="C411" t="s">
        <v>835</v>
      </c>
      <c r="D411" t="s">
        <v>8</v>
      </c>
      <c r="G411">
        <v>9603</v>
      </c>
    </row>
    <row r="412" spans="1:7" x14ac:dyDescent="0.2">
      <c r="A412" t="s">
        <v>848</v>
      </c>
      <c r="B412" t="s">
        <v>834</v>
      </c>
      <c r="C412" t="s">
        <v>835</v>
      </c>
      <c r="D412" t="s">
        <v>836</v>
      </c>
      <c r="E412" t="s">
        <v>837</v>
      </c>
      <c r="G412">
        <v>5934</v>
      </c>
    </row>
    <row r="413" spans="1:7" x14ac:dyDescent="0.2">
      <c r="A413" t="s">
        <v>848</v>
      </c>
      <c r="B413" t="s">
        <v>834</v>
      </c>
      <c r="C413" t="s">
        <v>835</v>
      </c>
      <c r="D413" t="s">
        <v>838</v>
      </c>
      <c r="E413" t="s">
        <v>839</v>
      </c>
      <c r="G413">
        <v>3171</v>
      </c>
    </row>
    <row r="414" spans="1:7" x14ac:dyDescent="0.2">
      <c r="A414" t="s">
        <v>848</v>
      </c>
      <c r="B414" t="s">
        <v>834</v>
      </c>
      <c r="C414" t="s">
        <v>835</v>
      </c>
      <c r="D414" t="s">
        <v>45</v>
      </c>
      <c r="G414">
        <v>0</v>
      </c>
    </row>
    <row r="415" spans="1:7" x14ac:dyDescent="0.2">
      <c r="A415" t="s">
        <v>848</v>
      </c>
      <c r="B415" t="s">
        <v>834</v>
      </c>
      <c r="C415" t="s">
        <v>835</v>
      </c>
      <c r="D415" t="s">
        <v>46</v>
      </c>
      <c r="G415">
        <v>498</v>
      </c>
    </row>
    <row r="416" spans="1:7" x14ac:dyDescent="0.2">
      <c r="A416" t="s">
        <v>848</v>
      </c>
      <c r="B416" t="s">
        <v>840</v>
      </c>
      <c r="C416" t="s">
        <v>841</v>
      </c>
      <c r="D416" t="s">
        <v>8</v>
      </c>
      <c r="G416">
        <v>9603</v>
      </c>
    </row>
    <row r="417" spans="1:7" x14ac:dyDescent="0.2">
      <c r="A417" t="s">
        <v>848</v>
      </c>
      <c r="B417" t="s">
        <v>840</v>
      </c>
      <c r="C417" t="s">
        <v>841</v>
      </c>
      <c r="D417" t="s">
        <v>836</v>
      </c>
      <c r="E417" t="s">
        <v>842</v>
      </c>
      <c r="G417">
        <v>8093</v>
      </c>
    </row>
    <row r="418" spans="1:7" x14ac:dyDescent="0.2">
      <c r="A418" t="s">
        <v>848</v>
      </c>
      <c r="B418" t="s">
        <v>840</v>
      </c>
      <c r="C418" t="s">
        <v>841</v>
      </c>
      <c r="D418" t="s">
        <v>838</v>
      </c>
      <c r="E418" t="s">
        <v>843</v>
      </c>
      <c r="G418">
        <v>1090</v>
      </c>
    </row>
    <row r="419" spans="1:7" x14ac:dyDescent="0.2">
      <c r="A419" t="s">
        <v>848</v>
      </c>
      <c r="B419" t="s">
        <v>840</v>
      </c>
      <c r="C419" t="s">
        <v>841</v>
      </c>
      <c r="D419" t="s">
        <v>45</v>
      </c>
      <c r="G419">
        <v>2</v>
      </c>
    </row>
    <row r="420" spans="1:7" x14ac:dyDescent="0.2">
      <c r="A420" t="s">
        <v>848</v>
      </c>
      <c r="B420" t="s">
        <v>840</v>
      </c>
      <c r="C420" t="s">
        <v>841</v>
      </c>
      <c r="D420" t="s">
        <v>46</v>
      </c>
      <c r="G420">
        <v>418</v>
      </c>
    </row>
    <row r="421" spans="1:7" x14ac:dyDescent="0.2">
      <c r="A421" t="s">
        <v>849</v>
      </c>
      <c r="B421" t="s">
        <v>6</v>
      </c>
      <c r="C421" t="s">
        <v>7</v>
      </c>
      <c r="D421" t="s">
        <v>8</v>
      </c>
      <c r="G421">
        <v>557</v>
      </c>
    </row>
    <row r="422" spans="1:7" x14ac:dyDescent="0.2">
      <c r="A422" t="s">
        <v>849</v>
      </c>
      <c r="B422" t="s">
        <v>6</v>
      </c>
      <c r="C422" t="s">
        <v>7</v>
      </c>
      <c r="D422" t="s">
        <v>9</v>
      </c>
      <c r="E422" t="s">
        <v>10</v>
      </c>
      <c r="F422" t="s">
        <v>11</v>
      </c>
      <c r="G422">
        <v>1</v>
      </c>
    </row>
    <row r="423" spans="1:7" x14ac:dyDescent="0.2">
      <c r="A423" t="s">
        <v>849</v>
      </c>
      <c r="B423" t="s">
        <v>6</v>
      </c>
      <c r="C423" t="s">
        <v>7</v>
      </c>
      <c r="D423" t="s">
        <v>12</v>
      </c>
      <c r="E423" t="s">
        <v>13</v>
      </c>
      <c r="F423" t="s">
        <v>11</v>
      </c>
      <c r="G423">
        <v>0</v>
      </c>
    </row>
    <row r="424" spans="1:7" x14ac:dyDescent="0.2">
      <c r="A424" t="s">
        <v>849</v>
      </c>
      <c r="B424" t="s">
        <v>6</v>
      </c>
      <c r="C424" t="s">
        <v>7</v>
      </c>
      <c r="D424" t="s">
        <v>14</v>
      </c>
      <c r="E424" t="s">
        <v>15</v>
      </c>
      <c r="F424" t="s">
        <v>16</v>
      </c>
      <c r="G424">
        <v>1</v>
      </c>
    </row>
    <row r="425" spans="1:7" x14ac:dyDescent="0.2">
      <c r="A425" t="s">
        <v>849</v>
      </c>
      <c r="B425" t="s">
        <v>6</v>
      </c>
      <c r="C425" t="s">
        <v>7</v>
      </c>
      <c r="D425" t="s">
        <v>17</v>
      </c>
      <c r="E425" t="s">
        <v>18</v>
      </c>
      <c r="F425" t="s">
        <v>19</v>
      </c>
      <c r="G425">
        <v>2</v>
      </c>
    </row>
    <row r="426" spans="1:7" x14ac:dyDescent="0.2">
      <c r="A426" t="s">
        <v>849</v>
      </c>
      <c r="B426" t="s">
        <v>6</v>
      </c>
      <c r="C426" t="s">
        <v>7</v>
      </c>
      <c r="D426" t="s">
        <v>20</v>
      </c>
      <c r="E426" t="s">
        <v>21</v>
      </c>
      <c r="F426" t="s">
        <v>22</v>
      </c>
      <c r="G426">
        <v>443</v>
      </c>
    </row>
    <row r="427" spans="1:7" x14ac:dyDescent="0.2">
      <c r="A427" t="s">
        <v>849</v>
      </c>
      <c r="B427" t="s">
        <v>6</v>
      </c>
      <c r="C427" t="s">
        <v>7</v>
      </c>
      <c r="D427" t="s">
        <v>23</v>
      </c>
      <c r="E427" t="s">
        <v>24</v>
      </c>
      <c r="F427" t="s">
        <v>25</v>
      </c>
      <c r="G427">
        <v>2</v>
      </c>
    </row>
    <row r="428" spans="1:7" x14ac:dyDescent="0.2">
      <c r="A428" t="s">
        <v>849</v>
      </c>
      <c r="B428" t="s">
        <v>6</v>
      </c>
      <c r="C428" t="s">
        <v>7</v>
      </c>
      <c r="D428" t="s">
        <v>26</v>
      </c>
      <c r="E428" t="s">
        <v>27</v>
      </c>
      <c r="F428" t="s">
        <v>28</v>
      </c>
      <c r="G428">
        <v>101</v>
      </c>
    </row>
    <row r="429" spans="1:7" x14ac:dyDescent="0.2">
      <c r="A429" t="s">
        <v>849</v>
      </c>
      <c r="B429" t="s">
        <v>6</v>
      </c>
      <c r="C429" t="s">
        <v>7</v>
      </c>
      <c r="D429" t="s">
        <v>29</v>
      </c>
      <c r="E429" t="s">
        <v>30</v>
      </c>
      <c r="F429" t="s">
        <v>11</v>
      </c>
      <c r="G429">
        <v>0</v>
      </c>
    </row>
    <row r="430" spans="1:7" x14ac:dyDescent="0.2">
      <c r="A430" t="s">
        <v>849</v>
      </c>
      <c r="B430" t="s">
        <v>6</v>
      </c>
      <c r="C430" t="s">
        <v>7</v>
      </c>
      <c r="D430" t="s">
        <v>31</v>
      </c>
      <c r="E430" t="s">
        <v>32</v>
      </c>
      <c r="F430" t="s">
        <v>11</v>
      </c>
      <c r="G430">
        <v>0</v>
      </c>
    </row>
    <row r="431" spans="1:7" x14ac:dyDescent="0.2">
      <c r="A431" t="s">
        <v>849</v>
      </c>
      <c r="B431" t="s">
        <v>6</v>
      </c>
      <c r="C431" t="s">
        <v>7</v>
      </c>
      <c r="D431" t="s">
        <v>33</v>
      </c>
      <c r="E431" t="s">
        <v>34</v>
      </c>
      <c r="F431" t="s">
        <v>11</v>
      </c>
      <c r="G431">
        <v>0</v>
      </c>
    </row>
    <row r="432" spans="1:7" x14ac:dyDescent="0.2">
      <c r="A432" t="s">
        <v>849</v>
      </c>
      <c r="B432" t="s">
        <v>6</v>
      </c>
      <c r="C432" t="s">
        <v>7</v>
      </c>
      <c r="D432" t="s">
        <v>35</v>
      </c>
      <c r="E432" t="s">
        <v>36</v>
      </c>
      <c r="F432" t="s">
        <v>11</v>
      </c>
      <c r="G432">
        <v>0</v>
      </c>
    </row>
    <row r="433" spans="1:7" x14ac:dyDescent="0.2">
      <c r="A433" t="s">
        <v>849</v>
      </c>
      <c r="B433" t="s">
        <v>6</v>
      </c>
      <c r="C433" t="s">
        <v>7</v>
      </c>
      <c r="D433" t="s">
        <v>37</v>
      </c>
      <c r="E433" t="s">
        <v>38</v>
      </c>
      <c r="F433" t="s">
        <v>11</v>
      </c>
      <c r="G433">
        <v>0</v>
      </c>
    </row>
    <row r="434" spans="1:7" x14ac:dyDescent="0.2">
      <c r="A434" t="s">
        <v>849</v>
      </c>
      <c r="B434" t="s">
        <v>6</v>
      </c>
      <c r="C434" t="s">
        <v>7</v>
      </c>
      <c r="D434" t="s">
        <v>39</v>
      </c>
      <c r="E434" t="s">
        <v>40</v>
      </c>
      <c r="F434" t="s">
        <v>11</v>
      </c>
      <c r="G434">
        <v>0</v>
      </c>
    </row>
    <row r="435" spans="1:7" x14ac:dyDescent="0.2">
      <c r="A435" t="s">
        <v>849</v>
      </c>
      <c r="B435" t="s">
        <v>6</v>
      </c>
      <c r="C435" t="s">
        <v>7</v>
      </c>
      <c r="D435" t="s">
        <v>41</v>
      </c>
      <c r="E435" t="s">
        <v>42</v>
      </c>
      <c r="F435" t="s">
        <v>11</v>
      </c>
      <c r="G435">
        <v>0</v>
      </c>
    </row>
    <row r="436" spans="1:7" x14ac:dyDescent="0.2">
      <c r="A436" t="s">
        <v>849</v>
      </c>
      <c r="B436" t="s">
        <v>6</v>
      </c>
      <c r="C436" t="s">
        <v>7</v>
      </c>
      <c r="D436" t="s">
        <v>43</v>
      </c>
      <c r="E436" t="s">
        <v>44</v>
      </c>
      <c r="F436" t="s">
        <v>11</v>
      </c>
      <c r="G436">
        <v>0</v>
      </c>
    </row>
    <row r="437" spans="1:7" x14ac:dyDescent="0.2">
      <c r="A437" t="s">
        <v>849</v>
      </c>
      <c r="B437" t="s">
        <v>6</v>
      </c>
      <c r="C437" t="s">
        <v>7</v>
      </c>
      <c r="D437" t="s">
        <v>45</v>
      </c>
      <c r="G437">
        <v>1</v>
      </c>
    </row>
    <row r="438" spans="1:7" x14ac:dyDescent="0.2">
      <c r="A438" t="s">
        <v>849</v>
      </c>
      <c r="B438" t="s">
        <v>6</v>
      </c>
      <c r="C438" t="s">
        <v>7</v>
      </c>
      <c r="D438" t="s">
        <v>46</v>
      </c>
      <c r="G438">
        <v>5</v>
      </c>
    </row>
    <row r="439" spans="1:7" x14ac:dyDescent="0.2">
      <c r="A439" t="s">
        <v>849</v>
      </c>
      <c r="B439" t="s">
        <v>47</v>
      </c>
      <c r="C439" t="s">
        <v>48</v>
      </c>
      <c r="D439" t="s">
        <v>8</v>
      </c>
      <c r="G439">
        <v>557</v>
      </c>
    </row>
    <row r="440" spans="1:7" x14ac:dyDescent="0.2">
      <c r="A440" t="s">
        <v>849</v>
      </c>
      <c r="B440" t="s">
        <v>47</v>
      </c>
      <c r="C440" t="s">
        <v>48</v>
      </c>
      <c r="D440" t="s">
        <v>49</v>
      </c>
      <c r="E440" t="s">
        <v>50</v>
      </c>
      <c r="F440" t="s">
        <v>51</v>
      </c>
      <c r="G440">
        <v>13</v>
      </c>
    </row>
    <row r="441" spans="1:7" x14ac:dyDescent="0.2">
      <c r="A441" t="s">
        <v>849</v>
      </c>
      <c r="B441" t="s">
        <v>47</v>
      </c>
      <c r="C441" t="s">
        <v>48</v>
      </c>
      <c r="D441" t="s">
        <v>52</v>
      </c>
      <c r="E441" t="s">
        <v>53</v>
      </c>
      <c r="F441" t="s">
        <v>22</v>
      </c>
      <c r="G441">
        <v>451</v>
      </c>
    </row>
    <row r="442" spans="1:7" x14ac:dyDescent="0.2">
      <c r="A442" t="s">
        <v>849</v>
      </c>
      <c r="B442" t="s">
        <v>47</v>
      </c>
      <c r="C442" t="s">
        <v>48</v>
      </c>
      <c r="D442" t="s">
        <v>54</v>
      </c>
      <c r="E442" t="s">
        <v>55</v>
      </c>
      <c r="F442" t="s">
        <v>28</v>
      </c>
      <c r="G442">
        <v>78</v>
      </c>
    </row>
    <row r="443" spans="1:7" x14ac:dyDescent="0.2">
      <c r="A443" t="s">
        <v>849</v>
      </c>
      <c r="B443" t="s">
        <v>47</v>
      </c>
      <c r="C443" t="s">
        <v>48</v>
      </c>
      <c r="D443" t="s">
        <v>56</v>
      </c>
      <c r="E443" t="s">
        <v>57</v>
      </c>
      <c r="F443" t="s">
        <v>11</v>
      </c>
      <c r="G443">
        <v>0</v>
      </c>
    </row>
    <row r="444" spans="1:7" x14ac:dyDescent="0.2">
      <c r="A444" t="s">
        <v>849</v>
      </c>
      <c r="B444" t="s">
        <v>47</v>
      </c>
      <c r="C444" t="s">
        <v>48</v>
      </c>
      <c r="D444" t="s">
        <v>45</v>
      </c>
      <c r="G444">
        <v>0</v>
      </c>
    </row>
    <row r="445" spans="1:7" x14ac:dyDescent="0.2">
      <c r="A445" t="s">
        <v>849</v>
      </c>
      <c r="B445" t="s">
        <v>47</v>
      </c>
      <c r="C445" t="s">
        <v>48</v>
      </c>
      <c r="D445" t="s">
        <v>46</v>
      </c>
      <c r="G445">
        <v>13</v>
      </c>
    </row>
    <row r="446" spans="1:7" x14ac:dyDescent="0.2">
      <c r="A446" t="s">
        <v>849</v>
      </c>
      <c r="B446" t="s">
        <v>76</v>
      </c>
      <c r="C446" t="s">
        <v>77</v>
      </c>
      <c r="D446" t="s">
        <v>8</v>
      </c>
      <c r="G446">
        <v>557</v>
      </c>
    </row>
    <row r="447" spans="1:7" x14ac:dyDescent="0.2">
      <c r="A447" t="s">
        <v>849</v>
      </c>
      <c r="B447" t="s">
        <v>76</v>
      </c>
      <c r="C447" t="s">
        <v>77</v>
      </c>
      <c r="D447" t="s">
        <v>78</v>
      </c>
      <c r="E447" t="s">
        <v>79</v>
      </c>
      <c r="F447" t="s">
        <v>22</v>
      </c>
      <c r="G447">
        <v>444</v>
      </c>
    </row>
    <row r="448" spans="1:7" x14ac:dyDescent="0.2">
      <c r="A448" t="s">
        <v>849</v>
      </c>
      <c r="B448" t="s">
        <v>76</v>
      </c>
      <c r="C448" t="s">
        <v>77</v>
      </c>
      <c r="D448" t="s">
        <v>80</v>
      </c>
      <c r="E448" t="s">
        <v>81</v>
      </c>
      <c r="F448" t="s">
        <v>28</v>
      </c>
      <c r="G448">
        <v>83</v>
      </c>
    </row>
    <row r="449" spans="1:7" x14ac:dyDescent="0.2">
      <c r="A449" t="s">
        <v>849</v>
      </c>
      <c r="B449" t="s">
        <v>76</v>
      </c>
      <c r="C449" t="s">
        <v>77</v>
      </c>
      <c r="D449" t="s">
        <v>45</v>
      </c>
      <c r="G449">
        <v>0</v>
      </c>
    </row>
    <row r="450" spans="1:7" x14ac:dyDescent="0.2">
      <c r="A450" t="s">
        <v>849</v>
      </c>
      <c r="B450" t="s">
        <v>76</v>
      </c>
      <c r="C450" t="s">
        <v>77</v>
      </c>
      <c r="D450" t="s">
        <v>46</v>
      </c>
      <c r="G450">
        <v>30</v>
      </c>
    </row>
    <row r="451" spans="1:7" x14ac:dyDescent="0.2">
      <c r="A451" t="s">
        <v>849</v>
      </c>
      <c r="B451" t="s">
        <v>93</v>
      </c>
      <c r="C451" t="s">
        <v>94</v>
      </c>
      <c r="D451" t="s">
        <v>8</v>
      </c>
      <c r="G451">
        <v>557</v>
      </c>
    </row>
    <row r="452" spans="1:7" x14ac:dyDescent="0.2">
      <c r="A452" t="s">
        <v>849</v>
      </c>
      <c r="B452" t="s">
        <v>93</v>
      </c>
      <c r="C452" t="s">
        <v>94</v>
      </c>
      <c r="D452" t="s">
        <v>95</v>
      </c>
      <c r="E452" t="s">
        <v>96</v>
      </c>
      <c r="F452" t="s">
        <v>22</v>
      </c>
      <c r="G452">
        <v>391</v>
      </c>
    </row>
    <row r="453" spans="1:7" x14ac:dyDescent="0.2">
      <c r="A453" t="s">
        <v>849</v>
      </c>
      <c r="B453" t="s">
        <v>93</v>
      </c>
      <c r="C453" t="s">
        <v>94</v>
      </c>
      <c r="D453" t="s">
        <v>97</v>
      </c>
      <c r="E453" t="s">
        <v>98</v>
      </c>
      <c r="F453" t="s">
        <v>51</v>
      </c>
      <c r="G453">
        <v>11</v>
      </c>
    </row>
    <row r="454" spans="1:7" x14ac:dyDescent="0.2">
      <c r="A454" t="s">
        <v>849</v>
      </c>
      <c r="B454" t="s">
        <v>93</v>
      </c>
      <c r="C454" t="s">
        <v>94</v>
      </c>
      <c r="D454" t="s">
        <v>99</v>
      </c>
      <c r="E454" t="s">
        <v>100</v>
      </c>
      <c r="F454" t="s">
        <v>28</v>
      </c>
      <c r="G454">
        <v>72</v>
      </c>
    </row>
    <row r="455" spans="1:7" x14ac:dyDescent="0.2">
      <c r="A455" t="s">
        <v>849</v>
      </c>
      <c r="B455" t="s">
        <v>93</v>
      </c>
      <c r="C455" t="s">
        <v>94</v>
      </c>
      <c r="D455" t="s">
        <v>101</v>
      </c>
      <c r="E455" t="s">
        <v>102</v>
      </c>
      <c r="F455" t="s">
        <v>25</v>
      </c>
      <c r="G455">
        <v>11</v>
      </c>
    </row>
    <row r="456" spans="1:7" x14ac:dyDescent="0.2">
      <c r="A456" t="s">
        <v>849</v>
      </c>
      <c r="B456" t="s">
        <v>93</v>
      </c>
      <c r="C456" t="s">
        <v>94</v>
      </c>
      <c r="D456" t="s">
        <v>103</v>
      </c>
      <c r="E456" t="s">
        <v>104</v>
      </c>
      <c r="F456" t="s">
        <v>11</v>
      </c>
      <c r="G456">
        <v>0</v>
      </c>
    </row>
    <row r="457" spans="1:7" x14ac:dyDescent="0.2">
      <c r="A457" t="s">
        <v>849</v>
      </c>
      <c r="B457" t="s">
        <v>93</v>
      </c>
      <c r="C457" t="s">
        <v>94</v>
      </c>
      <c r="D457" t="s">
        <v>105</v>
      </c>
      <c r="E457" t="s">
        <v>106</v>
      </c>
      <c r="F457" t="s">
        <v>11</v>
      </c>
      <c r="G457">
        <v>52</v>
      </c>
    </row>
    <row r="458" spans="1:7" x14ac:dyDescent="0.2">
      <c r="A458" t="s">
        <v>849</v>
      </c>
      <c r="B458" t="s">
        <v>93</v>
      </c>
      <c r="C458" t="s">
        <v>94</v>
      </c>
      <c r="D458" t="s">
        <v>107</v>
      </c>
      <c r="E458" t="s">
        <v>108</v>
      </c>
      <c r="F458" t="s">
        <v>11</v>
      </c>
      <c r="G458">
        <v>0</v>
      </c>
    </row>
    <row r="459" spans="1:7" x14ac:dyDescent="0.2">
      <c r="A459" t="s">
        <v>849</v>
      </c>
      <c r="B459" t="s">
        <v>93</v>
      </c>
      <c r="C459" t="s">
        <v>94</v>
      </c>
      <c r="D459" t="s">
        <v>45</v>
      </c>
      <c r="G459">
        <v>0</v>
      </c>
    </row>
    <row r="460" spans="1:7" x14ac:dyDescent="0.2">
      <c r="A460" t="s">
        <v>849</v>
      </c>
      <c r="B460" t="s">
        <v>93</v>
      </c>
      <c r="C460" t="s">
        <v>94</v>
      </c>
      <c r="D460" t="s">
        <v>46</v>
      </c>
      <c r="G460">
        <v>17</v>
      </c>
    </row>
    <row r="461" spans="1:7" x14ac:dyDescent="0.2">
      <c r="A461" t="s">
        <v>849</v>
      </c>
      <c r="B461" t="s">
        <v>109</v>
      </c>
      <c r="C461" t="s">
        <v>110</v>
      </c>
      <c r="D461" t="s">
        <v>8</v>
      </c>
      <c r="G461">
        <v>557</v>
      </c>
    </row>
    <row r="462" spans="1:7" x14ac:dyDescent="0.2">
      <c r="A462" t="s">
        <v>849</v>
      </c>
      <c r="B462" t="s">
        <v>109</v>
      </c>
      <c r="C462" t="s">
        <v>110</v>
      </c>
      <c r="D462" t="s">
        <v>111</v>
      </c>
      <c r="E462" t="s">
        <v>112</v>
      </c>
      <c r="F462" t="s">
        <v>22</v>
      </c>
      <c r="G462">
        <v>426</v>
      </c>
    </row>
    <row r="463" spans="1:7" x14ac:dyDescent="0.2">
      <c r="A463" t="s">
        <v>849</v>
      </c>
      <c r="B463" t="s">
        <v>109</v>
      </c>
      <c r="C463" t="s">
        <v>110</v>
      </c>
      <c r="D463" t="s">
        <v>113</v>
      </c>
      <c r="E463" t="s">
        <v>114</v>
      </c>
      <c r="F463" t="s">
        <v>28</v>
      </c>
      <c r="G463">
        <v>78</v>
      </c>
    </row>
    <row r="464" spans="1:7" x14ac:dyDescent="0.2">
      <c r="A464" t="s">
        <v>849</v>
      </c>
      <c r="B464" t="s">
        <v>109</v>
      </c>
      <c r="C464" t="s">
        <v>110</v>
      </c>
      <c r="D464" t="s">
        <v>115</v>
      </c>
      <c r="E464" t="s">
        <v>116</v>
      </c>
      <c r="F464" t="s">
        <v>25</v>
      </c>
      <c r="G464">
        <v>6</v>
      </c>
    </row>
    <row r="465" spans="1:7" x14ac:dyDescent="0.2">
      <c r="A465" t="s">
        <v>849</v>
      </c>
      <c r="B465" t="s">
        <v>109</v>
      </c>
      <c r="C465" t="s">
        <v>110</v>
      </c>
      <c r="D465" t="s">
        <v>117</v>
      </c>
      <c r="E465" t="s">
        <v>118</v>
      </c>
      <c r="F465" t="s">
        <v>11</v>
      </c>
      <c r="G465">
        <v>4</v>
      </c>
    </row>
    <row r="466" spans="1:7" x14ac:dyDescent="0.2">
      <c r="A466" t="s">
        <v>849</v>
      </c>
      <c r="B466" t="s">
        <v>109</v>
      </c>
      <c r="C466" t="s">
        <v>110</v>
      </c>
      <c r="D466" t="s">
        <v>119</v>
      </c>
      <c r="E466" t="s">
        <v>120</v>
      </c>
      <c r="F466" t="s">
        <v>88</v>
      </c>
      <c r="G466">
        <v>18</v>
      </c>
    </row>
    <row r="467" spans="1:7" x14ac:dyDescent="0.2">
      <c r="A467" t="s">
        <v>849</v>
      </c>
      <c r="B467" t="s">
        <v>109</v>
      </c>
      <c r="C467" t="s">
        <v>110</v>
      </c>
      <c r="D467" t="s">
        <v>45</v>
      </c>
      <c r="G467">
        <v>0</v>
      </c>
    </row>
    <row r="468" spans="1:7" x14ac:dyDescent="0.2">
      <c r="A468" t="s">
        <v>849</v>
      </c>
      <c r="B468" t="s">
        <v>109</v>
      </c>
      <c r="C468" t="s">
        <v>110</v>
      </c>
      <c r="D468" t="s">
        <v>46</v>
      </c>
      <c r="G468">
        <v>25</v>
      </c>
    </row>
    <row r="469" spans="1:7" x14ac:dyDescent="0.2">
      <c r="A469" t="s">
        <v>849</v>
      </c>
      <c r="B469" t="s">
        <v>121</v>
      </c>
      <c r="C469" t="s">
        <v>122</v>
      </c>
      <c r="D469" t="s">
        <v>8</v>
      </c>
      <c r="G469">
        <v>557</v>
      </c>
    </row>
    <row r="470" spans="1:7" x14ac:dyDescent="0.2">
      <c r="A470" t="s">
        <v>849</v>
      </c>
      <c r="B470" t="s">
        <v>121</v>
      </c>
      <c r="C470" t="s">
        <v>122</v>
      </c>
      <c r="D470" t="s">
        <v>123</v>
      </c>
      <c r="E470" t="s">
        <v>124</v>
      </c>
      <c r="F470" t="s">
        <v>22</v>
      </c>
      <c r="G470">
        <v>414</v>
      </c>
    </row>
    <row r="471" spans="1:7" x14ac:dyDescent="0.2">
      <c r="A471" t="s">
        <v>849</v>
      </c>
      <c r="B471" t="s">
        <v>121</v>
      </c>
      <c r="C471" t="s">
        <v>122</v>
      </c>
      <c r="D471" t="s">
        <v>125</v>
      </c>
      <c r="E471" t="s">
        <v>126</v>
      </c>
      <c r="F471" t="s">
        <v>16</v>
      </c>
      <c r="G471">
        <v>24</v>
      </c>
    </row>
    <row r="472" spans="1:7" x14ac:dyDescent="0.2">
      <c r="A472" t="s">
        <v>849</v>
      </c>
      <c r="B472" t="s">
        <v>121</v>
      </c>
      <c r="C472" t="s">
        <v>122</v>
      </c>
      <c r="D472" t="s">
        <v>127</v>
      </c>
      <c r="E472" t="s">
        <v>128</v>
      </c>
      <c r="F472" t="s">
        <v>28</v>
      </c>
      <c r="G472">
        <v>77</v>
      </c>
    </row>
    <row r="473" spans="1:7" x14ac:dyDescent="0.2">
      <c r="A473" t="s">
        <v>849</v>
      </c>
      <c r="B473" t="s">
        <v>121</v>
      </c>
      <c r="C473" t="s">
        <v>122</v>
      </c>
      <c r="D473" t="s">
        <v>45</v>
      </c>
      <c r="G473">
        <v>0</v>
      </c>
    </row>
    <row r="474" spans="1:7" x14ac:dyDescent="0.2">
      <c r="A474" t="s">
        <v>849</v>
      </c>
      <c r="B474" t="s">
        <v>121</v>
      </c>
      <c r="C474" t="s">
        <v>122</v>
      </c>
      <c r="D474" t="s">
        <v>46</v>
      </c>
      <c r="G474">
        <v>42</v>
      </c>
    </row>
    <row r="475" spans="1:7" x14ac:dyDescent="0.2">
      <c r="A475" t="s">
        <v>849</v>
      </c>
      <c r="B475" t="s">
        <v>129</v>
      </c>
      <c r="C475" t="s">
        <v>130</v>
      </c>
      <c r="D475" t="s">
        <v>8</v>
      </c>
      <c r="G475">
        <v>557</v>
      </c>
    </row>
    <row r="476" spans="1:7" x14ac:dyDescent="0.2">
      <c r="A476" t="s">
        <v>849</v>
      </c>
      <c r="B476" t="s">
        <v>129</v>
      </c>
      <c r="C476" t="s">
        <v>130</v>
      </c>
      <c r="D476" t="s">
        <v>131</v>
      </c>
      <c r="E476" t="s">
        <v>132</v>
      </c>
      <c r="F476" t="s">
        <v>133</v>
      </c>
      <c r="G476">
        <v>15</v>
      </c>
    </row>
    <row r="477" spans="1:7" x14ac:dyDescent="0.2">
      <c r="A477" t="s">
        <v>849</v>
      </c>
      <c r="B477" t="s">
        <v>129</v>
      </c>
      <c r="C477" t="s">
        <v>130</v>
      </c>
      <c r="D477" t="s">
        <v>134</v>
      </c>
      <c r="E477" t="s">
        <v>135</v>
      </c>
      <c r="F477" t="s">
        <v>22</v>
      </c>
      <c r="G477">
        <v>419</v>
      </c>
    </row>
    <row r="478" spans="1:7" x14ac:dyDescent="0.2">
      <c r="A478" t="s">
        <v>849</v>
      </c>
      <c r="B478" t="s">
        <v>129</v>
      </c>
      <c r="C478" t="s">
        <v>130</v>
      </c>
      <c r="D478" t="s">
        <v>136</v>
      </c>
      <c r="E478" t="s">
        <v>137</v>
      </c>
      <c r="F478" t="s">
        <v>28</v>
      </c>
      <c r="G478">
        <v>81</v>
      </c>
    </row>
    <row r="479" spans="1:7" x14ac:dyDescent="0.2">
      <c r="A479" t="s">
        <v>849</v>
      </c>
      <c r="B479" t="s">
        <v>129</v>
      </c>
      <c r="C479" t="s">
        <v>130</v>
      </c>
      <c r="D479" t="s">
        <v>45</v>
      </c>
      <c r="G479">
        <v>0</v>
      </c>
    </row>
    <row r="480" spans="1:7" x14ac:dyDescent="0.2">
      <c r="A480" t="s">
        <v>849</v>
      </c>
      <c r="B480" t="s">
        <v>129</v>
      </c>
      <c r="C480" t="s">
        <v>130</v>
      </c>
      <c r="D480" t="s">
        <v>46</v>
      </c>
      <c r="G480">
        <v>42</v>
      </c>
    </row>
    <row r="481" spans="1:7" x14ac:dyDescent="0.2">
      <c r="A481" t="s">
        <v>849</v>
      </c>
      <c r="B481" t="s">
        <v>608</v>
      </c>
      <c r="C481" t="s">
        <v>609</v>
      </c>
      <c r="D481" t="s">
        <v>8</v>
      </c>
      <c r="G481">
        <v>557</v>
      </c>
    </row>
    <row r="482" spans="1:7" x14ac:dyDescent="0.2">
      <c r="A482" t="s">
        <v>849</v>
      </c>
      <c r="B482" t="s">
        <v>608</v>
      </c>
      <c r="C482" t="s">
        <v>609</v>
      </c>
      <c r="D482" t="s">
        <v>610</v>
      </c>
      <c r="E482" t="s">
        <v>611</v>
      </c>
      <c r="F482" t="s">
        <v>22</v>
      </c>
      <c r="G482">
        <v>460</v>
      </c>
    </row>
    <row r="483" spans="1:7" x14ac:dyDescent="0.2">
      <c r="A483" t="s">
        <v>849</v>
      </c>
      <c r="B483" t="s">
        <v>608</v>
      </c>
      <c r="C483" t="s">
        <v>609</v>
      </c>
      <c r="D483" t="s">
        <v>45</v>
      </c>
      <c r="G483">
        <v>0</v>
      </c>
    </row>
    <row r="484" spans="1:7" x14ac:dyDescent="0.2">
      <c r="A484" t="s">
        <v>849</v>
      </c>
      <c r="B484" t="s">
        <v>608</v>
      </c>
      <c r="C484" t="s">
        <v>609</v>
      </c>
      <c r="D484" t="s">
        <v>46</v>
      </c>
      <c r="G484">
        <v>97</v>
      </c>
    </row>
    <row r="485" spans="1:7" x14ac:dyDescent="0.2">
      <c r="A485" t="s">
        <v>849</v>
      </c>
      <c r="B485" t="s">
        <v>678</v>
      </c>
      <c r="C485" t="s">
        <v>679</v>
      </c>
      <c r="D485" t="s">
        <v>8</v>
      </c>
      <c r="G485">
        <v>557</v>
      </c>
    </row>
    <row r="486" spans="1:7" x14ac:dyDescent="0.2">
      <c r="A486" t="s">
        <v>849</v>
      </c>
      <c r="B486" t="s">
        <v>678</v>
      </c>
      <c r="C486" t="s">
        <v>679</v>
      </c>
      <c r="D486" t="s">
        <v>680</v>
      </c>
      <c r="E486" t="s">
        <v>681</v>
      </c>
      <c r="F486" t="s">
        <v>22</v>
      </c>
      <c r="G486">
        <v>387</v>
      </c>
    </row>
    <row r="487" spans="1:7" x14ac:dyDescent="0.2">
      <c r="A487" t="s">
        <v>849</v>
      </c>
      <c r="B487" t="s">
        <v>678</v>
      </c>
      <c r="C487" t="s">
        <v>679</v>
      </c>
      <c r="D487" t="s">
        <v>682</v>
      </c>
      <c r="E487" t="s">
        <v>683</v>
      </c>
      <c r="F487" t="s">
        <v>11</v>
      </c>
      <c r="G487">
        <v>87</v>
      </c>
    </row>
    <row r="488" spans="1:7" x14ac:dyDescent="0.2">
      <c r="A488" t="s">
        <v>849</v>
      </c>
      <c r="B488" t="s">
        <v>678</v>
      </c>
      <c r="C488" t="s">
        <v>679</v>
      </c>
      <c r="D488" t="s">
        <v>45</v>
      </c>
      <c r="G488">
        <v>0</v>
      </c>
    </row>
    <row r="489" spans="1:7" x14ac:dyDescent="0.2">
      <c r="A489" t="s">
        <v>849</v>
      </c>
      <c r="B489" t="s">
        <v>678</v>
      </c>
      <c r="C489" t="s">
        <v>679</v>
      </c>
      <c r="D489" t="s">
        <v>46</v>
      </c>
      <c r="G489">
        <v>83</v>
      </c>
    </row>
    <row r="490" spans="1:7" x14ac:dyDescent="0.2">
      <c r="A490" t="s">
        <v>849</v>
      </c>
      <c r="B490" t="s">
        <v>692</v>
      </c>
      <c r="C490" t="s">
        <v>693</v>
      </c>
      <c r="D490" t="s">
        <v>8</v>
      </c>
      <c r="G490">
        <v>557</v>
      </c>
    </row>
    <row r="491" spans="1:7" x14ac:dyDescent="0.2">
      <c r="A491" t="s">
        <v>849</v>
      </c>
      <c r="B491" t="s">
        <v>692</v>
      </c>
      <c r="C491" t="s">
        <v>693</v>
      </c>
      <c r="D491" t="s">
        <v>694</v>
      </c>
      <c r="E491" t="s">
        <v>695</v>
      </c>
      <c r="G491">
        <v>369</v>
      </c>
    </row>
    <row r="492" spans="1:7" x14ac:dyDescent="0.2">
      <c r="A492" t="s">
        <v>849</v>
      </c>
      <c r="B492" t="s">
        <v>692</v>
      </c>
      <c r="C492" t="s">
        <v>693</v>
      </c>
      <c r="D492" t="s">
        <v>696</v>
      </c>
      <c r="E492" t="s">
        <v>697</v>
      </c>
      <c r="G492">
        <v>78</v>
      </c>
    </row>
    <row r="493" spans="1:7" x14ac:dyDescent="0.2">
      <c r="A493" t="s">
        <v>849</v>
      </c>
      <c r="B493" t="s">
        <v>692</v>
      </c>
      <c r="C493" t="s">
        <v>693</v>
      </c>
      <c r="D493" t="s">
        <v>45</v>
      </c>
      <c r="G493">
        <v>0</v>
      </c>
    </row>
    <row r="494" spans="1:7" x14ac:dyDescent="0.2">
      <c r="A494" t="s">
        <v>849</v>
      </c>
      <c r="B494" t="s">
        <v>692</v>
      </c>
      <c r="C494" t="s">
        <v>693</v>
      </c>
      <c r="D494" t="s">
        <v>46</v>
      </c>
      <c r="G494">
        <v>110</v>
      </c>
    </row>
    <row r="495" spans="1:7" x14ac:dyDescent="0.2">
      <c r="A495" t="s">
        <v>849</v>
      </c>
      <c r="B495" t="s">
        <v>698</v>
      </c>
      <c r="C495" t="s">
        <v>699</v>
      </c>
      <c r="D495" t="s">
        <v>8</v>
      </c>
      <c r="G495">
        <v>557</v>
      </c>
    </row>
    <row r="496" spans="1:7" x14ac:dyDescent="0.2">
      <c r="A496" t="s">
        <v>849</v>
      </c>
      <c r="B496" t="s">
        <v>698</v>
      </c>
      <c r="C496" t="s">
        <v>699</v>
      </c>
      <c r="D496" t="s">
        <v>694</v>
      </c>
      <c r="E496" t="s">
        <v>700</v>
      </c>
      <c r="G496">
        <v>362</v>
      </c>
    </row>
    <row r="497" spans="1:7" x14ac:dyDescent="0.2">
      <c r="A497" t="s">
        <v>849</v>
      </c>
      <c r="B497" t="s">
        <v>698</v>
      </c>
      <c r="C497" t="s">
        <v>699</v>
      </c>
      <c r="D497" t="s">
        <v>696</v>
      </c>
      <c r="E497" t="s">
        <v>701</v>
      </c>
      <c r="G497">
        <v>75</v>
      </c>
    </row>
    <row r="498" spans="1:7" x14ac:dyDescent="0.2">
      <c r="A498" t="s">
        <v>849</v>
      </c>
      <c r="B498" t="s">
        <v>698</v>
      </c>
      <c r="C498" t="s">
        <v>699</v>
      </c>
      <c r="D498" t="s">
        <v>45</v>
      </c>
      <c r="G498">
        <v>0</v>
      </c>
    </row>
    <row r="499" spans="1:7" x14ac:dyDescent="0.2">
      <c r="A499" t="s">
        <v>849</v>
      </c>
      <c r="B499" t="s">
        <v>698</v>
      </c>
      <c r="C499" t="s">
        <v>699</v>
      </c>
      <c r="D499" t="s">
        <v>46</v>
      </c>
      <c r="G499">
        <v>120</v>
      </c>
    </row>
    <row r="500" spans="1:7" x14ac:dyDescent="0.2">
      <c r="A500" t="s">
        <v>849</v>
      </c>
      <c r="B500" t="s">
        <v>794</v>
      </c>
      <c r="C500" t="s">
        <v>795</v>
      </c>
      <c r="D500" t="s">
        <v>8</v>
      </c>
      <c r="G500">
        <v>557</v>
      </c>
    </row>
    <row r="501" spans="1:7" x14ac:dyDescent="0.2">
      <c r="A501" t="s">
        <v>849</v>
      </c>
      <c r="B501" t="s">
        <v>794</v>
      </c>
      <c r="C501" t="s">
        <v>795</v>
      </c>
      <c r="D501" t="s">
        <v>694</v>
      </c>
      <c r="E501" t="s">
        <v>796</v>
      </c>
      <c r="G501">
        <v>363</v>
      </c>
    </row>
    <row r="502" spans="1:7" x14ac:dyDescent="0.2">
      <c r="A502" t="s">
        <v>849</v>
      </c>
      <c r="B502" t="s">
        <v>794</v>
      </c>
      <c r="C502" t="s">
        <v>795</v>
      </c>
      <c r="D502" t="s">
        <v>696</v>
      </c>
      <c r="E502" t="s">
        <v>797</v>
      </c>
      <c r="G502">
        <v>81</v>
      </c>
    </row>
    <row r="503" spans="1:7" x14ac:dyDescent="0.2">
      <c r="A503" t="s">
        <v>849</v>
      </c>
      <c r="B503" t="s">
        <v>794</v>
      </c>
      <c r="C503" t="s">
        <v>795</v>
      </c>
      <c r="D503" t="s">
        <v>45</v>
      </c>
      <c r="G503">
        <v>0</v>
      </c>
    </row>
    <row r="504" spans="1:7" x14ac:dyDescent="0.2">
      <c r="A504" t="s">
        <v>849</v>
      </c>
      <c r="B504" t="s">
        <v>794</v>
      </c>
      <c r="C504" t="s">
        <v>795</v>
      </c>
      <c r="D504" t="s">
        <v>46</v>
      </c>
      <c r="G504">
        <v>113</v>
      </c>
    </row>
    <row r="505" spans="1:7" x14ac:dyDescent="0.2">
      <c r="A505" t="s">
        <v>849</v>
      </c>
      <c r="B505" t="s">
        <v>798</v>
      </c>
      <c r="C505" t="s">
        <v>799</v>
      </c>
      <c r="D505" t="s">
        <v>8</v>
      </c>
      <c r="G505">
        <v>557</v>
      </c>
    </row>
    <row r="506" spans="1:7" x14ac:dyDescent="0.2">
      <c r="A506" t="s">
        <v>849</v>
      </c>
      <c r="B506" t="s">
        <v>798</v>
      </c>
      <c r="C506" t="s">
        <v>799</v>
      </c>
      <c r="D506" t="s">
        <v>694</v>
      </c>
      <c r="E506" t="s">
        <v>800</v>
      </c>
      <c r="G506">
        <v>373</v>
      </c>
    </row>
    <row r="507" spans="1:7" x14ac:dyDescent="0.2">
      <c r="A507" t="s">
        <v>849</v>
      </c>
      <c r="B507" t="s">
        <v>798</v>
      </c>
      <c r="C507" t="s">
        <v>799</v>
      </c>
      <c r="D507" t="s">
        <v>696</v>
      </c>
      <c r="E507" t="s">
        <v>801</v>
      </c>
      <c r="G507">
        <v>72</v>
      </c>
    </row>
    <row r="508" spans="1:7" x14ac:dyDescent="0.2">
      <c r="A508" t="s">
        <v>849</v>
      </c>
      <c r="B508" t="s">
        <v>798</v>
      </c>
      <c r="C508" t="s">
        <v>799</v>
      </c>
      <c r="D508" t="s">
        <v>45</v>
      </c>
      <c r="G508">
        <v>0</v>
      </c>
    </row>
    <row r="509" spans="1:7" x14ac:dyDescent="0.2">
      <c r="A509" t="s">
        <v>849</v>
      </c>
      <c r="B509" t="s">
        <v>798</v>
      </c>
      <c r="C509" t="s">
        <v>799</v>
      </c>
      <c r="D509" t="s">
        <v>46</v>
      </c>
      <c r="G509">
        <v>112</v>
      </c>
    </row>
    <row r="510" spans="1:7" x14ac:dyDescent="0.2">
      <c r="A510" t="s">
        <v>849</v>
      </c>
      <c r="B510" t="s">
        <v>834</v>
      </c>
      <c r="C510" t="s">
        <v>835</v>
      </c>
      <c r="D510" t="s">
        <v>8</v>
      </c>
      <c r="G510">
        <v>557</v>
      </c>
    </row>
    <row r="511" spans="1:7" x14ac:dyDescent="0.2">
      <c r="A511" t="s">
        <v>849</v>
      </c>
      <c r="B511" t="s">
        <v>834</v>
      </c>
      <c r="C511" t="s">
        <v>835</v>
      </c>
      <c r="D511" t="s">
        <v>836</v>
      </c>
      <c r="E511" t="s">
        <v>837</v>
      </c>
      <c r="G511">
        <v>306</v>
      </c>
    </row>
    <row r="512" spans="1:7" x14ac:dyDescent="0.2">
      <c r="A512" t="s">
        <v>849</v>
      </c>
      <c r="B512" t="s">
        <v>834</v>
      </c>
      <c r="C512" t="s">
        <v>835</v>
      </c>
      <c r="D512" t="s">
        <v>838</v>
      </c>
      <c r="E512" t="s">
        <v>839</v>
      </c>
      <c r="G512">
        <v>195</v>
      </c>
    </row>
    <row r="513" spans="1:7" x14ac:dyDescent="0.2">
      <c r="A513" t="s">
        <v>849</v>
      </c>
      <c r="B513" t="s">
        <v>834</v>
      </c>
      <c r="C513" t="s">
        <v>835</v>
      </c>
      <c r="D513" t="s">
        <v>45</v>
      </c>
      <c r="G513">
        <v>0</v>
      </c>
    </row>
    <row r="514" spans="1:7" x14ac:dyDescent="0.2">
      <c r="A514" t="s">
        <v>849</v>
      </c>
      <c r="B514" t="s">
        <v>834</v>
      </c>
      <c r="C514" t="s">
        <v>835</v>
      </c>
      <c r="D514" t="s">
        <v>46</v>
      </c>
      <c r="G514">
        <v>56</v>
      </c>
    </row>
    <row r="515" spans="1:7" x14ac:dyDescent="0.2">
      <c r="A515" t="s">
        <v>849</v>
      </c>
      <c r="B515" t="s">
        <v>840</v>
      </c>
      <c r="C515" t="s">
        <v>841</v>
      </c>
      <c r="D515" t="s">
        <v>8</v>
      </c>
      <c r="G515">
        <v>557</v>
      </c>
    </row>
    <row r="516" spans="1:7" x14ac:dyDescent="0.2">
      <c r="A516" t="s">
        <v>849</v>
      </c>
      <c r="B516" t="s">
        <v>840</v>
      </c>
      <c r="C516" t="s">
        <v>841</v>
      </c>
      <c r="D516" t="s">
        <v>836</v>
      </c>
      <c r="E516" t="s">
        <v>842</v>
      </c>
      <c r="G516">
        <v>456</v>
      </c>
    </row>
    <row r="517" spans="1:7" x14ac:dyDescent="0.2">
      <c r="A517" t="s">
        <v>849</v>
      </c>
      <c r="B517" t="s">
        <v>840</v>
      </c>
      <c r="C517" t="s">
        <v>841</v>
      </c>
      <c r="D517" t="s">
        <v>838</v>
      </c>
      <c r="E517" t="s">
        <v>843</v>
      </c>
      <c r="G517">
        <v>62</v>
      </c>
    </row>
    <row r="518" spans="1:7" x14ac:dyDescent="0.2">
      <c r="A518" t="s">
        <v>849</v>
      </c>
      <c r="B518" t="s">
        <v>840</v>
      </c>
      <c r="C518" t="s">
        <v>841</v>
      </c>
      <c r="D518" t="s">
        <v>45</v>
      </c>
      <c r="G518">
        <v>0</v>
      </c>
    </row>
    <row r="519" spans="1:7" x14ac:dyDescent="0.2">
      <c r="A519" t="s">
        <v>849</v>
      </c>
      <c r="B519" t="s">
        <v>840</v>
      </c>
      <c r="C519" t="s">
        <v>841</v>
      </c>
      <c r="D519" t="s">
        <v>46</v>
      </c>
      <c r="G519">
        <v>39</v>
      </c>
    </row>
    <row r="520" spans="1:7" x14ac:dyDescent="0.2">
      <c r="A520" t="s">
        <v>850</v>
      </c>
      <c r="B520" t="s">
        <v>6</v>
      </c>
      <c r="C520" t="s">
        <v>7</v>
      </c>
      <c r="D520" t="s">
        <v>8</v>
      </c>
      <c r="G520">
        <v>172869</v>
      </c>
    </row>
    <row r="521" spans="1:7" x14ac:dyDescent="0.2">
      <c r="A521" t="s">
        <v>850</v>
      </c>
      <c r="B521" t="s">
        <v>6</v>
      </c>
      <c r="C521" t="s">
        <v>7</v>
      </c>
      <c r="D521" t="s">
        <v>9</v>
      </c>
      <c r="E521" t="s">
        <v>10</v>
      </c>
      <c r="F521" t="s">
        <v>11</v>
      </c>
      <c r="G521">
        <v>291</v>
      </c>
    </row>
    <row r="522" spans="1:7" x14ac:dyDescent="0.2">
      <c r="A522" t="s">
        <v>850</v>
      </c>
      <c r="B522" t="s">
        <v>6</v>
      </c>
      <c r="C522" t="s">
        <v>7</v>
      </c>
      <c r="D522" t="s">
        <v>12</v>
      </c>
      <c r="E522" t="s">
        <v>13</v>
      </c>
      <c r="F522" t="s">
        <v>11</v>
      </c>
      <c r="G522">
        <v>365</v>
      </c>
    </row>
    <row r="523" spans="1:7" x14ac:dyDescent="0.2">
      <c r="A523" t="s">
        <v>850</v>
      </c>
      <c r="B523" t="s">
        <v>6</v>
      </c>
      <c r="C523" t="s">
        <v>7</v>
      </c>
      <c r="D523" t="s">
        <v>14</v>
      </c>
      <c r="E523" t="s">
        <v>15</v>
      </c>
      <c r="F523" t="s">
        <v>16</v>
      </c>
      <c r="G523">
        <v>1208</v>
      </c>
    </row>
    <row r="524" spans="1:7" x14ac:dyDescent="0.2">
      <c r="A524" t="s">
        <v>850</v>
      </c>
      <c r="B524" t="s">
        <v>6</v>
      </c>
      <c r="C524" t="s">
        <v>7</v>
      </c>
      <c r="D524" t="s">
        <v>17</v>
      </c>
      <c r="E524" t="s">
        <v>18</v>
      </c>
      <c r="F524" t="s">
        <v>19</v>
      </c>
      <c r="G524">
        <v>890</v>
      </c>
    </row>
    <row r="525" spans="1:7" x14ac:dyDescent="0.2">
      <c r="A525" t="s">
        <v>850</v>
      </c>
      <c r="B525" t="s">
        <v>6</v>
      </c>
      <c r="C525" t="s">
        <v>7</v>
      </c>
      <c r="D525" t="s">
        <v>20</v>
      </c>
      <c r="E525" t="s">
        <v>21</v>
      </c>
      <c r="F525" t="s">
        <v>22</v>
      </c>
      <c r="G525">
        <v>101293</v>
      </c>
    </row>
    <row r="526" spans="1:7" x14ac:dyDescent="0.2">
      <c r="A526" t="s">
        <v>850</v>
      </c>
      <c r="B526" t="s">
        <v>6</v>
      </c>
      <c r="C526" t="s">
        <v>7</v>
      </c>
      <c r="D526" t="s">
        <v>23</v>
      </c>
      <c r="E526" t="s">
        <v>24</v>
      </c>
      <c r="F526" t="s">
        <v>25</v>
      </c>
      <c r="G526">
        <v>2137</v>
      </c>
    </row>
    <row r="527" spans="1:7" x14ac:dyDescent="0.2">
      <c r="A527" t="s">
        <v>850</v>
      </c>
      <c r="B527" t="s">
        <v>6</v>
      </c>
      <c r="C527" t="s">
        <v>7</v>
      </c>
      <c r="D527" t="s">
        <v>26</v>
      </c>
      <c r="E527" t="s">
        <v>27</v>
      </c>
      <c r="F527" t="s">
        <v>28</v>
      </c>
      <c r="G527">
        <v>59895</v>
      </c>
    </row>
    <row r="528" spans="1:7" x14ac:dyDescent="0.2">
      <c r="A528" t="s">
        <v>850</v>
      </c>
      <c r="B528" t="s">
        <v>6</v>
      </c>
      <c r="C528" t="s">
        <v>7</v>
      </c>
      <c r="D528" t="s">
        <v>29</v>
      </c>
      <c r="E528" t="s">
        <v>30</v>
      </c>
      <c r="F528" t="s">
        <v>11</v>
      </c>
      <c r="G528">
        <v>413</v>
      </c>
    </row>
    <row r="529" spans="1:7" x14ac:dyDescent="0.2">
      <c r="A529" t="s">
        <v>850</v>
      </c>
      <c r="B529" t="s">
        <v>6</v>
      </c>
      <c r="C529" t="s">
        <v>7</v>
      </c>
      <c r="D529" t="s">
        <v>31</v>
      </c>
      <c r="E529" t="s">
        <v>32</v>
      </c>
      <c r="F529" t="s">
        <v>11</v>
      </c>
      <c r="G529">
        <v>1</v>
      </c>
    </row>
    <row r="530" spans="1:7" x14ac:dyDescent="0.2">
      <c r="A530" t="s">
        <v>850</v>
      </c>
      <c r="B530" t="s">
        <v>6</v>
      </c>
      <c r="C530" t="s">
        <v>7</v>
      </c>
      <c r="D530" t="s">
        <v>33</v>
      </c>
      <c r="E530" t="s">
        <v>34</v>
      </c>
      <c r="F530" t="s">
        <v>11</v>
      </c>
      <c r="G530">
        <v>58</v>
      </c>
    </row>
    <row r="531" spans="1:7" x14ac:dyDescent="0.2">
      <c r="A531" t="s">
        <v>850</v>
      </c>
      <c r="B531" t="s">
        <v>6</v>
      </c>
      <c r="C531" t="s">
        <v>7</v>
      </c>
      <c r="D531" t="s">
        <v>35</v>
      </c>
      <c r="E531" t="s">
        <v>36</v>
      </c>
      <c r="F531" t="s">
        <v>11</v>
      </c>
      <c r="G531">
        <v>18</v>
      </c>
    </row>
    <row r="532" spans="1:7" x14ac:dyDescent="0.2">
      <c r="A532" t="s">
        <v>850</v>
      </c>
      <c r="B532" t="s">
        <v>6</v>
      </c>
      <c r="C532" t="s">
        <v>7</v>
      </c>
      <c r="D532" t="s">
        <v>37</v>
      </c>
      <c r="E532" t="s">
        <v>38</v>
      </c>
      <c r="F532" t="s">
        <v>11</v>
      </c>
      <c r="G532">
        <v>0</v>
      </c>
    </row>
    <row r="533" spans="1:7" x14ac:dyDescent="0.2">
      <c r="A533" t="s">
        <v>850</v>
      </c>
      <c r="B533" t="s">
        <v>6</v>
      </c>
      <c r="C533" t="s">
        <v>7</v>
      </c>
      <c r="D533" t="s">
        <v>39</v>
      </c>
      <c r="E533" t="s">
        <v>40</v>
      </c>
      <c r="F533" t="s">
        <v>11</v>
      </c>
      <c r="G533">
        <v>1</v>
      </c>
    </row>
    <row r="534" spans="1:7" x14ac:dyDescent="0.2">
      <c r="A534" t="s">
        <v>850</v>
      </c>
      <c r="B534" t="s">
        <v>6</v>
      </c>
      <c r="C534" t="s">
        <v>7</v>
      </c>
      <c r="D534" t="s">
        <v>41</v>
      </c>
      <c r="E534" t="s">
        <v>42</v>
      </c>
      <c r="F534" t="s">
        <v>11</v>
      </c>
      <c r="G534">
        <v>0</v>
      </c>
    </row>
    <row r="535" spans="1:7" x14ac:dyDescent="0.2">
      <c r="A535" t="s">
        <v>850</v>
      </c>
      <c r="B535" t="s">
        <v>6</v>
      </c>
      <c r="C535" t="s">
        <v>7</v>
      </c>
      <c r="D535" t="s">
        <v>43</v>
      </c>
      <c r="E535" t="s">
        <v>44</v>
      </c>
      <c r="F535" t="s">
        <v>11</v>
      </c>
      <c r="G535">
        <v>0</v>
      </c>
    </row>
    <row r="536" spans="1:7" x14ac:dyDescent="0.2">
      <c r="A536" t="s">
        <v>850</v>
      </c>
      <c r="B536" t="s">
        <v>6</v>
      </c>
      <c r="C536" t="s">
        <v>7</v>
      </c>
      <c r="D536" t="s">
        <v>45</v>
      </c>
      <c r="G536">
        <v>51</v>
      </c>
    </row>
    <row r="537" spans="1:7" x14ac:dyDescent="0.2">
      <c r="A537" t="s">
        <v>850</v>
      </c>
      <c r="B537" t="s">
        <v>6</v>
      </c>
      <c r="C537" t="s">
        <v>7</v>
      </c>
      <c r="D537" t="s">
        <v>46</v>
      </c>
      <c r="G537">
        <v>2202</v>
      </c>
    </row>
    <row r="538" spans="1:7" x14ac:dyDescent="0.2">
      <c r="A538" t="s">
        <v>850</v>
      </c>
      <c r="B538" t="s">
        <v>47</v>
      </c>
      <c r="C538" t="s">
        <v>48</v>
      </c>
      <c r="D538" t="s">
        <v>8</v>
      </c>
      <c r="G538">
        <v>172869</v>
      </c>
    </row>
    <row r="539" spans="1:7" x14ac:dyDescent="0.2">
      <c r="A539" t="s">
        <v>850</v>
      </c>
      <c r="B539" t="s">
        <v>47</v>
      </c>
      <c r="C539" t="s">
        <v>48</v>
      </c>
      <c r="D539" t="s">
        <v>49</v>
      </c>
      <c r="E539" t="s">
        <v>50</v>
      </c>
      <c r="F539" t="s">
        <v>51</v>
      </c>
      <c r="G539">
        <v>12055</v>
      </c>
    </row>
    <row r="540" spans="1:7" x14ac:dyDescent="0.2">
      <c r="A540" t="s">
        <v>850</v>
      </c>
      <c r="B540" t="s">
        <v>47</v>
      </c>
      <c r="C540" t="s">
        <v>48</v>
      </c>
      <c r="D540" t="s">
        <v>52</v>
      </c>
      <c r="E540" t="s">
        <v>53</v>
      </c>
      <c r="F540" t="s">
        <v>22</v>
      </c>
      <c r="G540">
        <v>108083</v>
      </c>
    </row>
    <row r="541" spans="1:7" x14ac:dyDescent="0.2">
      <c r="A541" t="s">
        <v>850</v>
      </c>
      <c r="B541" t="s">
        <v>47</v>
      </c>
      <c r="C541" t="s">
        <v>48</v>
      </c>
      <c r="D541" t="s">
        <v>54</v>
      </c>
      <c r="E541" t="s">
        <v>55</v>
      </c>
      <c r="F541" t="s">
        <v>28</v>
      </c>
      <c r="G541">
        <v>45688</v>
      </c>
    </row>
    <row r="542" spans="1:7" x14ac:dyDescent="0.2">
      <c r="A542" t="s">
        <v>850</v>
      </c>
      <c r="B542" t="s">
        <v>47</v>
      </c>
      <c r="C542" t="s">
        <v>48</v>
      </c>
      <c r="D542" t="s">
        <v>56</v>
      </c>
      <c r="E542" t="s">
        <v>57</v>
      </c>
      <c r="F542" t="s">
        <v>11</v>
      </c>
      <c r="G542">
        <v>44</v>
      </c>
    </row>
    <row r="543" spans="1:7" x14ac:dyDescent="0.2">
      <c r="A543" t="s">
        <v>850</v>
      </c>
      <c r="B543" t="s">
        <v>47</v>
      </c>
      <c r="C543" t="s">
        <v>48</v>
      </c>
      <c r="D543" t="s">
        <v>45</v>
      </c>
      <c r="G543">
        <v>27</v>
      </c>
    </row>
    <row r="544" spans="1:7" x14ac:dyDescent="0.2">
      <c r="A544" t="s">
        <v>850</v>
      </c>
      <c r="B544" t="s">
        <v>47</v>
      </c>
      <c r="C544" t="s">
        <v>48</v>
      </c>
      <c r="D544" t="s">
        <v>46</v>
      </c>
      <c r="G544">
        <v>5970</v>
      </c>
    </row>
    <row r="545" spans="1:7" x14ac:dyDescent="0.2">
      <c r="A545" t="s">
        <v>850</v>
      </c>
      <c r="B545" t="s">
        <v>58</v>
      </c>
      <c r="C545" t="s">
        <v>59</v>
      </c>
      <c r="D545" t="s">
        <v>8</v>
      </c>
      <c r="G545">
        <v>108668</v>
      </c>
    </row>
    <row r="546" spans="1:7" x14ac:dyDescent="0.2">
      <c r="A546" t="s">
        <v>850</v>
      </c>
      <c r="B546" t="s">
        <v>58</v>
      </c>
      <c r="C546" t="s">
        <v>59</v>
      </c>
      <c r="D546" t="s">
        <v>60</v>
      </c>
      <c r="E546" t="s">
        <v>61</v>
      </c>
      <c r="F546" t="s">
        <v>28</v>
      </c>
      <c r="G546">
        <v>26654</v>
      </c>
    </row>
    <row r="547" spans="1:7" x14ac:dyDescent="0.2">
      <c r="A547" t="s">
        <v>850</v>
      </c>
      <c r="B547" t="s">
        <v>58</v>
      </c>
      <c r="C547" t="s">
        <v>59</v>
      </c>
      <c r="D547" t="s">
        <v>62</v>
      </c>
      <c r="E547" t="s">
        <v>63</v>
      </c>
      <c r="F547" t="s">
        <v>25</v>
      </c>
      <c r="G547">
        <v>5902</v>
      </c>
    </row>
    <row r="548" spans="1:7" x14ac:dyDescent="0.2">
      <c r="A548" t="s">
        <v>850</v>
      </c>
      <c r="B548" t="s">
        <v>58</v>
      </c>
      <c r="C548" t="s">
        <v>59</v>
      </c>
      <c r="D548" t="s">
        <v>64</v>
      </c>
      <c r="E548" t="s">
        <v>65</v>
      </c>
      <c r="F548" t="s">
        <v>22</v>
      </c>
      <c r="G548">
        <v>70522</v>
      </c>
    </row>
    <row r="549" spans="1:7" x14ac:dyDescent="0.2">
      <c r="A549" t="s">
        <v>850</v>
      </c>
      <c r="B549" t="s">
        <v>58</v>
      </c>
      <c r="C549" t="s">
        <v>59</v>
      </c>
      <c r="D549" t="s">
        <v>45</v>
      </c>
      <c r="G549">
        <v>13</v>
      </c>
    </row>
    <row r="550" spans="1:7" x14ac:dyDescent="0.2">
      <c r="A550" t="s">
        <v>850</v>
      </c>
      <c r="B550" t="s">
        <v>58</v>
      </c>
      <c r="C550" t="s">
        <v>59</v>
      </c>
      <c r="D550" t="s">
        <v>46</v>
      </c>
      <c r="G550">
        <v>5577</v>
      </c>
    </row>
    <row r="551" spans="1:7" x14ac:dyDescent="0.2">
      <c r="A551" t="s">
        <v>850</v>
      </c>
      <c r="B551" t="s">
        <v>66</v>
      </c>
      <c r="C551" t="s">
        <v>67</v>
      </c>
      <c r="D551" t="s">
        <v>8</v>
      </c>
      <c r="G551">
        <v>64201</v>
      </c>
    </row>
    <row r="552" spans="1:7" x14ac:dyDescent="0.2">
      <c r="A552" t="s">
        <v>850</v>
      </c>
      <c r="B552" t="s">
        <v>66</v>
      </c>
      <c r="C552" t="s">
        <v>67</v>
      </c>
      <c r="D552" t="s">
        <v>68</v>
      </c>
      <c r="E552" t="s">
        <v>69</v>
      </c>
      <c r="F552" t="s">
        <v>28</v>
      </c>
      <c r="G552">
        <v>19167</v>
      </c>
    </row>
    <row r="553" spans="1:7" x14ac:dyDescent="0.2">
      <c r="A553" t="s">
        <v>850</v>
      </c>
      <c r="B553" t="s">
        <v>66</v>
      </c>
      <c r="C553" t="s">
        <v>67</v>
      </c>
      <c r="D553" t="s">
        <v>70</v>
      </c>
      <c r="E553" t="s">
        <v>71</v>
      </c>
      <c r="F553" t="s">
        <v>16</v>
      </c>
      <c r="G553">
        <v>3183</v>
      </c>
    </row>
    <row r="554" spans="1:7" x14ac:dyDescent="0.2">
      <c r="A554" t="s">
        <v>850</v>
      </c>
      <c r="B554" t="s">
        <v>66</v>
      </c>
      <c r="C554" t="s">
        <v>67</v>
      </c>
      <c r="D554" t="s">
        <v>72</v>
      </c>
      <c r="E554" t="s">
        <v>73</v>
      </c>
      <c r="F554" t="s">
        <v>22</v>
      </c>
      <c r="G554">
        <v>36741</v>
      </c>
    </row>
    <row r="555" spans="1:7" x14ac:dyDescent="0.2">
      <c r="A555" t="s">
        <v>850</v>
      </c>
      <c r="B555" t="s">
        <v>66</v>
      </c>
      <c r="C555" t="s">
        <v>67</v>
      </c>
      <c r="D555" t="s">
        <v>74</v>
      </c>
      <c r="E555" t="s">
        <v>75</v>
      </c>
      <c r="F555" t="s">
        <v>11</v>
      </c>
      <c r="G555">
        <v>1825</v>
      </c>
    </row>
    <row r="556" spans="1:7" x14ac:dyDescent="0.2">
      <c r="A556" t="s">
        <v>850</v>
      </c>
      <c r="B556" t="s">
        <v>66</v>
      </c>
      <c r="C556" t="s">
        <v>67</v>
      </c>
      <c r="D556" t="s">
        <v>45</v>
      </c>
      <c r="G556">
        <v>20</v>
      </c>
    </row>
    <row r="557" spans="1:7" x14ac:dyDescent="0.2">
      <c r="A557" t="s">
        <v>850</v>
      </c>
      <c r="B557" t="s">
        <v>66</v>
      </c>
      <c r="C557" t="s">
        <v>67</v>
      </c>
      <c r="D557" t="s">
        <v>46</v>
      </c>
      <c r="G557">
        <v>3265</v>
      </c>
    </row>
    <row r="558" spans="1:7" x14ac:dyDescent="0.2">
      <c r="A558" t="s">
        <v>850</v>
      </c>
      <c r="B558" t="s">
        <v>93</v>
      </c>
      <c r="C558" t="s">
        <v>94</v>
      </c>
      <c r="D558" t="s">
        <v>8</v>
      </c>
      <c r="G558">
        <v>172869</v>
      </c>
    </row>
    <row r="559" spans="1:7" x14ac:dyDescent="0.2">
      <c r="A559" t="s">
        <v>850</v>
      </c>
      <c r="B559" t="s">
        <v>93</v>
      </c>
      <c r="C559" t="s">
        <v>94</v>
      </c>
      <c r="D559" t="s">
        <v>95</v>
      </c>
      <c r="E559" t="s">
        <v>96</v>
      </c>
      <c r="F559" t="s">
        <v>22</v>
      </c>
      <c r="G559">
        <v>95679</v>
      </c>
    </row>
    <row r="560" spans="1:7" x14ac:dyDescent="0.2">
      <c r="A560" t="s">
        <v>850</v>
      </c>
      <c r="B560" t="s">
        <v>93</v>
      </c>
      <c r="C560" t="s">
        <v>94</v>
      </c>
      <c r="D560" t="s">
        <v>97</v>
      </c>
      <c r="E560" t="s">
        <v>98</v>
      </c>
      <c r="F560" t="s">
        <v>51</v>
      </c>
      <c r="G560">
        <v>3767</v>
      </c>
    </row>
    <row r="561" spans="1:7" x14ac:dyDescent="0.2">
      <c r="A561" t="s">
        <v>850</v>
      </c>
      <c r="B561" t="s">
        <v>93</v>
      </c>
      <c r="C561" t="s">
        <v>94</v>
      </c>
      <c r="D561" t="s">
        <v>99</v>
      </c>
      <c r="E561" t="s">
        <v>100</v>
      </c>
      <c r="F561" t="s">
        <v>28</v>
      </c>
      <c r="G561">
        <v>40181</v>
      </c>
    </row>
    <row r="562" spans="1:7" x14ac:dyDescent="0.2">
      <c r="A562" t="s">
        <v>850</v>
      </c>
      <c r="B562" t="s">
        <v>93</v>
      </c>
      <c r="C562" t="s">
        <v>94</v>
      </c>
      <c r="D562" t="s">
        <v>101</v>
      </c>
      <c r="E562" t="s">
        <v>102</v>
      </c>
      <c r="F562" t="s">
        <v>25</v>
      </c>
      <c r="G562">
        <v>4802</v>
      </c>
    </row>
    <row r="563" spans="1:7" x14ac:dyDescent="0.2">
      <c r="A563" t="s">
        <v>850</v>
      </c>
      <c r="B563" t="s">
        <v>93</v>
      </c>
      <c r="C563" t="s">
        <v>94</v>
      </c>
      <c r="D563" t="s">
        <v>103</v>
      </c>
      <c r="E563" t="s">
        <v>104</v>
      </c>
      <c r="F563" t="s">
        <v>11</v>
      </c>
      <c r="G563">
        <v>1439</v>
      </c>
    </row>
    <row r="564" spans="1:7" x14ac:dyDescent="0.2">
      <c r="A564" t="s">
        <v>850</v>
      </c>
      <c r="B564" t="s">
        <v>93</v>
      </c>
      <c r="C564" t="s">
        <v>94</v>
      </c>
      <c r="D564" t="s">
        <v>105</v>
      </c>
      <c r="E564" t="s">
        <v>106</v>
      </c>
      <c r="F564" t="s">
        <v>11</v>
      </c>
      <c r="G564">
        <v>20103</v>
      </c>
    </row>
    <row r="565" spans="1:7" x14ac:dyDescent="0.2">
      <c r="A565" t="s">
        <v>850</v>
      </c>
      <c r="B565" t="s">
        <v>93</v>
      </c>
      <c r="C565" t="s">
        <v>94</v>
      </c>
      <c r="D565" t="s">
        <v>107</v>
      </c>
      <c r="E565" t="s">
        <v>108</v>
      </c>
      <c r="F565" t="s">
        <v>11</v>
      </c>
      <c r="G565">
        <v>49</v>
      </c>
    </row>
    <row r="566" spans="1:7" x14ac:dyDescent="0.2">
      <c r="A566" t="s">
        <v>850</v>
      </c>
      <c r="B566" t="s">
        <v>93</v>
      </c>
      <c r="C566" t="s">
        <v>94</v>
      </c>
      <c r="D566" t="s">
        <v>45</v>
      </c>
      <c r="G566">
        <v>44</v>
      </c>
    </row>
    <row r="567" spans="1:7" x14ac:dyDescent="0.2">
      <c r="A567" t="s">
        <v>850</v>
      </c>
      <c r="B567" t="s">
        <v>93</v>
      </c>
      <c r="C567" t="s">
        <v>94</v>
      </c>
      <c r="D567" t="s">
        <v>46</v>
      </c>
      <c r="G567">
        <v>6250</v>
      </c>
    </row>
    <row r="568" spans="1:7" x14ac:dyDescent="0.2">
      <c r="A568" t="s">
        <v>850</v>
      </c>
      <c r="B568" t="s">
        <v>109</v>
      </c>
      <c r="C568" t="s">
        <v>110</v>
      </c>
      <c r="D568" t="s">
        <v>8</v>
      </c>
      <c r="G568">
        <v>172869</v>
      </c>
    </row>
    <row r="569" spans="1:7" x14ac:dyDescent="0.2">
      <c r="A569" t="s">
        <v>850</v>
      </c>
      <c r="B569" t="s">
        <v>109</v>
      </c>
      <c r="C569" t="s">
        <v>110</v>
      </c>
      <c r="D569" t="s">
        <v>111</v>
      </c>
      <c r="E569" t="s">
        <v>112</v>
      </c>
      <c r="F569" t="s">
        <v>22</v>
      </c>
      <c r="G569">
        <v>96989</v>
      </c>
    </row>
    <row r="570" spans="1:7" x14ac:dyDescent="0.2">
      <c r="A570" t="s">
        <v>850</v>
      </c>
      <c r="B570" t="s">
        <v>109</v>
      </c>
      <c r="C570" t="s">
        <v>110</v>
      </c>
      <c r="D570" t="s">
        <v>113</v>
      </c>
      <c r="E570" t="s">
        <v>114</v>
      </c>
      <c r="F570" t="s">
        <v>28</v>
      </c>
      <c r="G570">
        <v>37809</v>
      </c>
    </row>
    <row r="571" spans="1:7" x14ac:dyDescent="0.2">
      <c r="A571" t="s">
        <v>850</v>
      </c>
      <c r="B571" t="s">
        <v>109</v>
      </c>
      <c r="C571" t="s">
        <v>110</v>
      </c>
      <c r="D571" t="s">
        <v>115</v>
      </c>
      <c r="E571" t="s">
        <v>116</v>
      </c>
      <c r="F571" t="s">
        <v>25</v>
      </c>
      <c r="G571">
        <v>6150</v>
      </c>
    </row>
    <row r="572" spans="1:7" x14ac:dyDescent="0.2">
      <c r="A572" t="s">
        <v>850</v>
      </c>
      <c r="B572" t="s">
        <v>109</v>
      </c>
      <c r="C572" t="s">
        <v>110</v>
      </c>
      <c r="D572" t="s">
        <v>117</v>
      </c>
      <c r="E572" t="s">
        <v>118</v>
      </c>
      <c r="F572" t="s">
        <v>11</v>
      </c>
      <c r="G572">
        <v>7617</v>
      </c>
    </row>
    <row r="573" spans="1:7" x14ac:dyDescent="0.2">
      <c r="A573" t="s">
        <v>850</v>
      </c>
      <c r="B573" t="s">
        <v>109</v>
      </c>
      <c r="C573" t="s">
        <v>110</v>
      </c>
      <c r="D573" t="s">
        <v>119</v>
      </c>
      <c r="E573" t="s">
        <v>120</v>
      </c>
      <c r="F573" t="s">
        <v>88</v>
      </c>
      <c r="G573">
        <v>13799</v>
      </c>
    </row>
    <row r="574" spans="1:7" x14ac:dyDescent="0.2">
      <c r="A574" t="s">
        <v>850</v>
      </c>
      <c r="B574" t="s">
        <v>109</v>
      </c>
      <c r="C574" t="s">
        <v>110</v>
      </c>
      <c r="D574" t="s">
        <v>45</v>
      </c>
      <c r="G574">
        <v>58</v>
      </c>
    </row>
    <row r="575" spans="1:7" x14ac:dyDescent="0.2">
      <c r="A575" t="s">
        <v>850</v>
      </c>
      <c r="B575" t="s">
        <v>109</v>
      </c>
      <c r="C575" t="s">
        <v>110</v>
      </c>
      <c r="D575" t="s">
        <v>46</v>
      </c>
      <c r="G575">
        <v>10447</v>
      </c>
    </row>
    <row r="576" spans="1:7" x14ac:dyDescent="0.2">
      <c r="A576" t="s">
        <v>850</v>
      </c>
      <c r="B576" t="s">
        <v>121</v>
      </c>
      <c r="C576" t="s">
        <v>122</v>
      </c>
      <c r="D576" t="s">
        <v>8</v>
      </c>
      <c r="G576">
        <v>172869</v>
      </c>
    </row>
    <row r="577" spans="1:7" x14ac:dyDescent="0.2">
      <c r="A577" t="s">
        <v>850</v>
      </c>
      <c r="B577" t="s">
        <v>121</v>
      </c>
      <c r="C577" t="s">
        <v>122</v>
      </c>
      <c r="D577" t="s">
        <v>123</v>
      </c>
      <c r="E577" t="s">
        <v>124</v>
      </c>
      <c r="F577" t="s">
        <v>22</v>
      </c>
      <c r="G577">
        <v>105079</v>
      </c>
    </row>
    <row r="578" spans="1:7" x14ac:dyDescent="0.2">
      <c r="A578" t="s">
        <v>850</v>
      </c>
      <c r="B578" t="s">
        <v>121</v>
      </c>
      <c r="C578" t="s">
        <v>122</v>
      </c>
      <c r="D578" t="s">
        <v>125</v>
      </c>
      <c r="E578" t="s">
        <v>126</v>
      </c>
      <c r="F578" t="s">
        <v>16</v>
      </c>
      <c r="G578">
        <v>11876</v>
      </c>
    </row>
    <row r="579" spans="1:7" x14ac:dyDescent="0.2">
      <c r="A579" t="s">
        <v>850</v>
      </c>
      <c r="B579" t="s">
        <v>121</v>
      </c>
      <c r="C579" t="s">
        <v>122</v>
      </c>
      <c r="D579" t="s">
        <v>127</v>
      </c>
      <c r="E579" t="s">
        <v>128</v>
      </c>
      <c r="F579" t="s">
        <v>28</v>
      </c>
      <c r="G579">
        <v>43968</v>
      </c>
    </row>
    <row r="580" spans="1:7" x14ac:dyDescent="0.2">
      <c r="A580" t="s">
        <v>850</v>
      </c>
      <c r="B580" t="s">
        <v>121</v>
      </c>
      <c r="C580" t="s">
        <v>122</v>
      </c>
      <c r="D580" t="s">
        <v>45</v>
      </c>
      <c r="G580">
        <v>7</v>
      </c>
    </row>
    <row r="581" spans="1:7" x14ac:dyDescent="0.2">
      <c r="A581" t="s">
        <v>850</v>
      </c>
      <c r="B581" t="s">
        <v>121</v>
      </c>
      <c r="C581" t="s">
        <v>122</v>
      </c>
      <c r="D581" t="s">
        <v>46</v>
      </c>
      <c r="G581">
        <v>11939</v>
      </c>
    </row>
    <row r="582" spans="1:7" x14ac:dyDescent="0.2">
      <c r="A582" t="s">
        <v>850</v>
      </c>
      <c r="B582" t="s">
        <v>129</v>
      </c>
      <c r="C582" t="s">
        <v>130</v>
      </c>
      <c r="D582" t="s">
        <v>8</v>
      </c>
      <c r="G582">
        <v>172869</v>
      </c>
    </row>
    <row r="583" spans="1:7" x14ac:dyDescent="0.2">
      <c r="A583" t="s">
        <v>850</v>
      </c>
      <c r="B583" t="s">
        <v>129</v>
      </c>
      <c r="C583" t="s">
        <v>130</v>
      </c>
      <c r="D583" t="s">
        <v>131</v>
      </c>
      <c r="E583" t="s">
        <v>132</v>
      </c>
      <c r="F583" t="s">
        <v>133</v>
      </c>
      <c r="G583">
        <v>13177</v>
      </c>
    </row>
    <row r="584" spans="1:7" x14ac:dyDescent="0.2">
      <c r="A584" t="s">
        <v>850</v>
      </c>
      <c r="B584" t="s">
        <v>129</v>
      </c>
      <c r="C584" t="s">
        <v>130</v>
      </c>
      <c r="D584" t="s">
        <v>134</v>
      </c>
      <c r="E584" t="s">
        <v>135</v>
      </c>
      <c r="F584" t="s">
        <v>22</v>
      </c>
      <c r="G584">
        <v>106700</v>
      </c>
    </row>
    <row r="585" spans="1:7" x14ac:dyDescent="0.2">
      <c r="A585" t="s">
        <v>850</v>
      </c>
      <c r="B585" t="s">
        <v>129</v>
      </c>
      <c r="C585" t="s">
        <v>130</v>
      </c>
      <c r="D585" t="s">
        <v>136</v>
      </c>
      <c r="E585" t="s">
        <v>137</v>
      </c>
      <c r="F585" t="s">
        <v>28</v>
      </c>
      <c r="G585">
        <v>39407</v>
      </c>
    </row>
    <row r="586" spans="1:7" x14ac:dyDescent="0.2">
      <c r="A586" t="s">
        <v>850</v>
      </c>
      <c r="B586" t="s">
        <v>129</v>
      </c>
      <c r="C586" t="s">
        <v>130</v>
      </c>
      <c r="D586" t="s">
        <v>45</v>
      </c>
      <c r="G586">
        <v>16</v>
      </c>
    </row>
    <row r="587" spans="1:7" x14ac:dyDescent="0.2">
      <c r="A587" t="s">
        <v>850</v>
      </c>
      <c r="B587" t="s">
        <v>129</v>
      </c>
      <c r="C587" t="s">
        <v>130</v>
      </c>
      <c r="D587" t="s">
        <v>46</v>
      </c>
      <c r="G587">
        <v>13569</v>
      </c>
    </row>
    <row r="588" spans="1:7" x14ac:dyDescent="0.2">
      <c r="A588" t="s">
        <v>850</v>
      </c>
      <c r="B588" t="s">
        <v>150</v>
      </c>
      <c r="C588" t="s">
        <v>151</v>
      </c>
      <c r="D588" t="s">
        <v>8</v>
      </c>
      <c r="G588">
        <v>12027</v>
      </c>
    </row>
    <row r="589" spans="1:7" x14ac:dyDescent="0.2">
      <c r="A589" t="s">
        <v>850</v>
      </c>
      <c r="B589" t="s">
        <v>150</v>
      </c>
      <c r="C589" t="s">
        <v>151</v>
      </c>
      <c r="D589" t="s">
        <v>152</v>
      </c>
      <c r="E589" t="s">
        <v>153</v>
      </c>
      <c r="F589" t="s">
        <v>22</v>
      </c>
      <c r="G589">
        <v>9099</v>
      </c>
    </row>
    <row r="590" spans="1:7" x14ac:dyDescent="0.2">
      <c r="A590" t="s">
        <v>850</v>
      </c>
      <c r="B590" t="s">
        <v>150</v>
      </c>
      <c r="C590" t="s">
        <v>151</v>
      </c>
      <c r="D590" t="s">
        <v>45</v>
      </c>
      <c r="G590">
        <v>0</v>
      </c>
    </row>
    <row r="591" spans="1:7" x14ac:dyDescent="0.2">
      <c r="A591" t="s">
        <v>850</v>
      </c>
      <c r="B591" t="s">
        <v>150</v>
      </c>
      <c r="C591" t="s">
        <v>151</v>
      </c>
      <c r="D591" t="s">
        <v>46</v>
      </c>
      <c r="G591">
        <v>2928</v>
      </c>
    </row>
    <row r="592" spans="1:7" x14ac:dyDescent="0.2">
      <c r="A592" t="s">
        <v>850</v>
      </c>
      <c r="B592" t="s">
        <v>154</v>
      </c>
      <c r="C592" t="s">
        <v>155</v>
      </c>
      <c r="D592" t="s">
        <v>8</v>
      </c>
      <c r="G592">
        <v>43893</v>
      </c>
    </row>
    <row r="593" spans="1:7" x14ac:dyDescent="0.2">
      <c r="A593" t="s">
        <v>850</v>
      </c>
      <c r="B593" t="s">
        <v>154</v>
      </c>
      <c r="C593" t="s">
        <v>155</v>
      </c>
      <c r="D593" t="s">
        <v>156</v>
      </c>
      <c r="E593" t="s">
        <v>157</v>
      </c>
      <c r="F593" t="s">
        <v>22</v>
      </c>
      <c r="G593">
        <v>22256</v>
      </c>
    </row>
    <row r="594" spans="1:7" x14ac:dyDescent="0.2">
      <c r="A594" t="s">
        <v>850</v>
      </c>
      <c r="B594" t="s">
        <v>154</v>
      </c>
      <c r="C594" t="s">
        <v>155</v>
      </c>
      <c r="D594" t="s">
        <v>158</v>
      </c>
      <c r="E594" t="s">
        <v>159</v>
      </c>
      <c r="F594" t="s">
        <v>28</v>
      </c>
      <c r="G594">
        <v>10471</v>
      </c>
    </row>
    <row r="595" spans="1:7" x14ac:dyDescent="0.2">
      <c r="A595" t="s">
        <v>850</v>
      </c>
      <c r="B595" t="s">
        <v>154</v>
      </c>
      <c r="C595" t="s">
        <v>155</v>
      </c>
      <c r="D595" t="s">
        <v>160</v>
      </c>
      <c r="E595" t="s">
        <v>161</v>
      </c>
      <c r="F595" t="s">
        <v>16</v>
      </c>
      <c r="G595">
        <v>1573</v>
      </c>
    </row>
    <row r="596" spans="1:7" x14ac:dyDescent="0.2">
      <c r="A596" t="s">
        <v>850</v>
      </c>
      <c r="B596" t="s">
        <v>154</v>
      </c>
      <c r="C596" t="s">
        <v>155</v>
      </c>
      <c r="D596" t="s">
        <v>162</v>
      </c>
      <c r="E596" t="s">
        <v>163</v>
      </c>
      <c r="F596" t="s">
        <v>11</v>
      </c>
      <c r="G596">
        <v>6967</v>
      </c>
    </row>
    <row r="597" spans="1:7" x14ac:dyDescent="0.2">
      <c r="A597" t="s">
        <v>850</v>
      </c>
      <c r="B597" t="s">
        <v>154</v>
      </c>
      <c r="C597" t="s">
        <v>155</v>
      </c>
      <c r="D597" t="s">
        <v>45</v>
      </c>
      <c r="G597">
        <v>18</v>
      </c>
    </row>
    <row r="598" spans="1:7" x14ac:dyDescent="0.2">
      <c r="A598" t="s">
        <v>850</v>
      </c>
      <c r="B598" t="s">
        <v>154</v>
      </c>
      <c r="C598" t="s">
        <v>155</v>
      </c>
      <c r="D598" t="s">
        <v>46</v>
      </c>
      <c r="G598">
        <v>2608</v>
      </c>
    </row>
    <row r="599" spans="1:7" x14ac:dyDescent="0.2">
      <c r="A599" t="s">
        <v>850</v>
      </c>
      <c r="B599" t="s">
        <v>284</v>
      </c>
      <c r="C599" t="s">
        <v>285</v>
      </c>
      <c r="D599" t="s">
        <v>8</v>
      </c>
      <c r="G599">
        <v>6196</v>
      </c>
    </row>
    <row r="600" spans="1:7" x14ac:dyDescent="0.2">
      <c r="A600" t="s">
        <v>850</v>
      </c>
      <c r="B600" t="s">
        <v>284</v>
      </c>
      <c r="C600" t="s">
        <v>285</v>
      </c>
      <c r="D600" t="s">
        <v>286</v>
      </c>
      <c r="E600" t="s">
        <v>287</v>
      </c>
      <c r="F600" t="s">
        <v>22</v>
      </c>
      <c r="G600">
        <v>4345</v>
      </c>
    </row>
    <row r="601" spans="1:7" x14ac:dyDescent="0.2">
      <c r="A601" t="s">
        <v>850</v>
      </c>
      <c r="B601" t="s">
        <v>284</v>
      </c>
      <c r="C601" t="s">
        <v>285</v>
      </c>
      <c r="D601" t="s">
        <v>45</v>
      </c>
      <c r="G601">
        <v>0</v>
      </c>
    </row>
    <row r="602" spans="1:7" x14ac:dyDescent="0.2">
      <c r="A602" t="s">
        <v>850</v>
      </c>
      <c r="B602" t="s">
        <v>284</v>
      </c>
      <c r="C602" t="s">
        <v>285</v>
      </c>
      <c r="D602" t="s">
        <v>46</v>
      </c>
      <c r="G602">
        <v>1851</v>
      </c>
    </row>
    <row r="603" spans="1:7" x14ac:dyDescent="0.2">
      <c r="A603" t="s">
        <v>850</v>
      </c>
      <c r="B603" t="s">
        <v>288</v>
      </c>
      <c r="C603" t="s">
        <v>289</v>
      </c>
      <c r="D603" t="s">
        <v>8</v>
      </c>
      <c r="G603">
        <v>2545</v>
      </c>
    </row>
    <row r="604" spans="1:7" x14ac:dyDescent="0.2">
      <c r="A604" t="s">
        <v>850</v>
      </c>
      <c r="B604" t="s">
        <v>288</v>
      </c>
      <c r="C604" t="s">
        <v>289</v>
      </c>
      <c r="D604" t="s">
        <v>290</v>
      </c>
      <c r="E604" t="s">
        <v>291</v>
      </c>
      <c r="F604" t="s">
        <v>22</v>
      </c>
      <c r="G604">
        <v>1814</v>
      </c>
    </row>
    <row r="605" spans="1:7" x14ac:dyDescent="0.2">
      <c r="A605" t="s">
        <v>850</v>
      </c>
      <c r="B605" t="s">
        <v>288</v>
      </c>
      <c r="C605" t="s">
        <v>289</v>
      </c>
      <c r="D605" t="s">
        <v>292</v>
      </c>
      <c r="E605" t="s">
        <v>293</v>
      </c>
      <c r="F605" t="s">
        <v>28</v>
      </c>
      <c r="G605">
        <v>556</v>
      </c>
    </row>
    <row r="606" spans="1:7" x14ac:dyDescent="0.2">
      <c r="A606" t="s">
        <v>850</v>
      </c>
      <c r="B606" t="s">
        <v>288</v>
      </c>
      <c r="C606" t="s">
        <v>289</v>
      </c>
      <c r="D606" t="s">
        <v>45</v>
      </c>
      <c r="G606">
        <v>0</v>
      </c>
    </row>
    <row r="607" spans="1:7" x14ac:dyDescent="0.2">
      <c r="A607" t="s">
        <v>850</v>
      </c>
      <c r="B607" t="s">
        <v>288</v>
      </c>
      <c r="C607" t="s">
        <v>289</v>
      </c>
      <c r="D607" t="s">
        <v>46</v>
      </c>
      <c r="G607">
        <v>175</v>
      </c>
    </row>
    <row r="608" spans="1:7" x14ac:dyDescent="0.2">
      <c r="A608" t="s">
        <v>850</v>
      </c>
      <c r="B608" t="s">
        <v>294</v>
      </c>
      <c r="C608" t="s">
        <v>295</v>
      </c>
      <c r="D608" t="s">
        <v>8</v>
      </c>
      <c r="G608">
        <v>18803</v>
      </c>
    </row>
    <row r="609" spans="1:7" x14ac:dyDescent="0.2">
      <c r="A609" t="s">
        <v>850</v>
      </c>
      <c r="B609" t="s">
        <v>294</v>
      </c>
      <c r="C609" t="s">
        <v>295</v>
      </c>
      <c r="D609" t="s">
        <v>296</v>
      </c>
      <c r="E609" t="s">
        <v>297</v>
      </c>
      <c r="F609" t="s">
        <v>28</v>
      </c>
      <c r="G609">
        <v>4854</v>
      </c>
    </row>
    <row r="610" spans="1:7" x14ac:dyDescent="0.2">
      <c r="A610" t="s">
        <v>850</v>
      </c>
      <c r="B610" t="s">
        <v>294</v>
      </c>
      <c r="C610" t="s">
        <v>295</v>
      </c>
      <c r="D610" t="s">
        <v>298</v>
      </c>
      <c r="E610" t="s">
        <v>299</v>
      </c>
      <c r="F610" t="s">
        <v>22</v>
      </c>
      <c r="G610">
        <v>12391</v>
      </c>
    </row>
    <row r="611" spans="1:7" x14ac:dyDescent="0.2">
      <c r="A611" t="s">
        <v>850</v>
      </c>
      <c r="B611" t="s">
        <v>294</v>
      </c>
      <c r="C611" t="s">
        <v>295</v>
      </c>
      <c r="D611" t="s">
        <v>45</v>
      </c>
      <c r="G611">
        <v>2</v>
      </c>
    </row>
    <row r="612" spans="1:7" x14ac:dyDescent="0.2">
      <c r="A612" t="s">
        <v>850</v>
      </c>
      <c r="B612" t="s">
        <v>294</v>
      </c>
      <c r="C612" t="s">
        <v>295</v>
      </c>
      <c r="D612" t="s">
        <v>46</v>
      </c>
      <c r="G612">
        <v>1556</v>
      </c>
    </row>
    <row r="613" spans="1:7" x14ac:dyDescent="0.2">
      <c r="A613" t="s">
        <v>850</v>
      </c>
      <c r="B613" t="s">
        <v>300</v>
      </c>
      <c r="C613" t="s">
        <v>301</v>
      </c>
      <c r="D613" t="s">
        <v>8</v>
      </c>
      <c r="G613">
        <v>18512</v>
      </c>
    </row>
    <row r="614" spans="1:7" x14ac:dyDescent="0.2">
      <c r="A614" t="s">
        <v>850</v>
      </c>
      <c r="B614" t="s">
        <v>300</v>
      </c>
      <c r="C614" t="s">
        <v>301</v>
      </c>
      <c r="D614" t="s">
        <v>302</v>
      </c>
      <c r="E614" t="s">
        <v>303</v>
      </c>
      <c r="F614" t="s">
        <v>22</v>
      </c>
      <c r="G614">
        <v>12947</v>
      </c>
    </row>
    <row r="615" spans="1:7" x14ac:dyDescent="0.2">
      <c r="A615" t="s">
        <v>850</v>
      </c>
      <c r="B615" t="s">
        <v>300</v>
      </c>
      <c r="C615" t="s">
        <v>301</v>
      </c>
      <c r="D615" t="s">
        <v>45</v>
      </c>
      <c r="G615">
        <v>0</v>
      </c>
    </row>
    <row r="616" spans="1:7" x14ac:dyDescent="0.2">
      <c r="A616" t="s">
        <v>850</v>
      </c>
      <c r="B616" t="s">
        <v>300</v>
      </c>
      <c r="C616" t="s">
        <v>301</v>
      </c>
      <c r="D616" t="s">
        <v>46</v>
      </c>
      <c r="G616">
        <v>5565</v>
      </c>
    </row>
    <row r="617" spans="1:7" x14ac:dyDescent="0.2">
      <c r="A617" t="s">
        <v>850</v>
      </c>
      <c r="B617" t="s">
        <v>304</v>
      </c>
      <c r="C617" t="s">
        <v>305</v>
      </c>
      <c r="D617" t="s">
        <v>8</v>
      </c>
      <c r="G617">
        <v>22237</v>
      </c>
    </row>
    <row r="618" spans="1:7" x14ac:dyDescent="0.2">
      <c r="A618" t="s">
        <v>850</v>
      </c>
      <c r="B618" t="s">
        <v>304</v>
      </c>
      <c r="C618" t="s">
        <v>305</v>
      </c>
      <c r="D618" t="s">
        <v>306</v>
      </c>
      <c r="E618" t="s">
        <v>307</v>
      </c>
      <c r="F618" t="s">
        <v>133</v>
      </c>
      <c r="G618">
        <v>4783</v>
      </c>
    </row>
    <row r="619" spans="1:7" x14ac:dyDescent="0.2">
      <c r="A619" t="s">
        <v>850</v>
      </c>
      <c r="B619" t="s">
        <v>304</v>
      </c>
      <c r="C619" t="s">
        <v>305</v>
      </c>
      <c r="D619" t="s">
        <v>308</v>
      </c>
      <c r="E619" t="s">
        <v>309</v>
      </c>
      <c r="F619" t="s">
        <v>22</v>
      </c>
      <c r="G619">
        <v>14904</v>
      </c>
    </row>
    <row r="620" spans="1:7" x14ac:dyDescent="0.2">
      <c r="A620" t="s">
        <v>850</v>
      </c>
      <c r="B620" t="s">
        <v>304</v>
      </c>
      <c r="C620" t="s">
        <v>305</v>
      </c>
      <c r="D620" t="s">
        <v>45</v>
      </c>
      <c r="G620">
        <v>2</v>
      </c>
    </row>
    <row r="621" spans="1:7" x14ac:dyDescent="0.2">
      <c r="A621" t="s">
        <v>850</v>
      </c>
      <c r="B621" t="s">
        <v>304</v>
      </c>
      <c r="C621" t="s">
        <v>305</v>
      </c>
      <c r="D621" t="s">
        <v>46</v>
      </c>
      <c r="G621">
        <v>2548</v>
      </c>
    </row>
    <row r="622" spans="1:7" x14ac:dyDescent="0.2">
      <c r="A622" t="s">
        <v>850</v>
      </c>
      <c r="B622" t="s">
        <v>310</v>
      </c>
      <c r="C622" t="s">
        <v>311</v>
      </c>
      <c r="D622" t="s">
        <v>8</v>
      </c>
      <c r="G622">
        <v>19205</v>
      </c>
    </row>
    <row r="623" spans="1:7" x14ac:dyDescent="0.2">
      <c r="A623" t="s">
        <v>850</v>
      </c>
      <c r="B623" t="s">
        <v>310</v>
      </c>
      <c r="C623" t="s">
        <v>311</v>
      </c>
      <c r="D623" t="s">
        <v>312</v>
      </c>
      <c r="E623" t="s">
        <v>313</v>
      </c>
      <c r="F623" t="s">
        <v>22</v>
      </c>
      <c r="G623">
        <v>11510</v>
      </c>
    </row>
    <row r="624" spans="1:7" x14ac:dyDescent="0.2">
      <c r="A624" t="s">
        <v>850</v>
      </c>
      <c r="B624" t="s">
        <v>310</v>
      </c>
      <c r="C624" t="s">
        <v>311</v>
      </c>
      <c r="D624" t="s">
        <v>314</v>
      </c>
      <c r="E624" t="s">
        <v>315</v>
      </c>
      <c r="F624" t="s">
        <v>28</v>
      </c>
      <c r="G624">
        <v>6123</v>
      </c>
    </row>
    <row r="625" spans="1:7" x14ac:dyDescent="0.2">
      <c r="A625" t="s">
        <v>850</v>
      </c>
      <c r="B625" t="s">
        <v>310</v>
      </c>
      <c r="C625" t="s">
        <v>311</v>
      </c>
      <c r="D625" t="s">
        <v>45</v>
      </c>
      <c r="G625">
        <v>1</v>
      </c>
    </row>
    <row r="626" spans="1:7" x14ac:dyDescent="0.2">
      <c r="A626" t="s">
        <v>850</v>
      </c>
      <c r="B626" t="s">
        <v>310</v>
      </c>
      <c r="C626" t="s">
        <v>311</v>
      </c>
      <c r="D626" t="s">
        <v>46</v>
      </c>
      <c r="G626">
        <v>1571</v>
      </c>
    </row>
    <row r="627" spans="1:7" x14ac:dyDescent="0.2">
      <c r="A627" t="s">
        <v>850</v>
      </c>
      <c r="B627" t="s">
        <v>316</v>
      </c>
      <c r="C627" t="s">
        <v>317</v>
      </c>
      <c r="D627" t="s">
        <v>8</v>
      </c>
      <c r="G627">
        <v>21575</v>
      </c>
    </row>
    <row r="628" spans="1:7" x14ac:dyDescent="0.2">
      <c r="A628" t="s">
        <v>850</v>
      </c>
      <c r="B628" t="s">
        <v>316</v>
      </c>
      <c r="C628" t="s">
        <v>317</v>
      </c>
      <c r="D628" t="s">
        <v>318</v>
      </c>
      <c r="E628" t="s">
        <v>319</v>
      </c>
      <c r="F628" t="s">
        <v>22</v>
      </c>
      <c r="G628">
        <v>14694</v>
      </c>
    </row>
    <row r="629" spans="1:7" x14ac:dyDescent="0.2">
      <c r="A629" t="s">
        <v>850</v>
      </c>
      <c r="B629" t="s">
        <v>316</v>
      </c>
      <c r="C629" t="s">
        <v>317</v>
      </c>
      <c r="D629" t="s">
        <v>320</v>
      </c>
      <c r="E629" t="s">
        <v>321</v>
      </c>
      <c r="F629" t="s">
        <v>25</v>
      </c>
      <c r="G629">
        <v>3926</v>
      </c>
    </row>
    <row r="630" spans="1:7" x14ac:dyDescent="0.2">
      <c r="A630" t="s">
        <v>850</v>
      </c>
      <c r="B630" t="s">
        <v>316</v>
      </c>
      <c r="C630" t="s">
        <v>317</v>
      </c>
      <c r="D630" t="s">
        <v>45</v>
      </c>
      <c r="G630">
        <v>2</v>
      </c>
    </row>
    <row r="631" spans="1:7" x14ac:dyDescent="0.2">
      <c r="A631" t="s">
        <v>850</v>
      </c>
      <c r="B631" t="s">
        <v>316</v>
      </c>
      <c r="C631" t="s">
        <v>317</v>
      </c>
      <c r="D631" t="s">
        <v>46</v>
      </c>
      <c r="G631">
        <v>2953</v>
      </c>
    </row>
    <row r="632" spans="1:7" x14ac:dyDescent="0.2">
      <c r="A632" t="s">
        <v>850</v>
      </c>
      <c r="B632" t="s">
        <v>322</v>
      </c>
      <c r="C632" t="s">
        <v>323</v>
      </c>
      <c r="D632" t="s">
        <v>8</v>
      </c>
      <c r="G632">
        <v>22396</v>
      </c>
    </row>
    <row r="633" spans="1:7" x14ac:dyDescent="0.2">
      <c r="A633" t="s">
        <v>850</v>
      </c>
      <c r="B633" t="s">
        <v>322</v>
      </c>
      <c r="C633" t="s">
        <v>323</v>
      </c>
      <c r="D633" t="s">
        <v>324</v>
      </c>
      <c r="E633" t="s">
        <v>325</v>
      </c>
      <c r="F633" t="s">
        <v>22</v>
      </c>
      <c r="G633">
        <v>14816</v>
      </c>
    </row>
    <row r="634" spans="1:7" x14ac:dyDescent="0.2">
      <c r="A634" t="s">
        <v>850</v>
      </c>
      <c r="B634" t="s">
        <v>322</v>
      </c>
      <c r="C634" t="s">
        <v>323</v>
      </c>
      <c r="D634" t="s">
        <v>326</v>
      </c>
      <c r="E634" t="s">
        <v>327</v>
      </c>
      <c r="F634" t="s">
        <v>28</v>
      </c>
      <c r="G634">
        <v>5607</v>
      </c>
    </row>
    <row r="635" spans="1:7" x14ac:dyDescent="0.2">
      <c r="A635" t="s">
        <v>850</v>
      </c>
      <c r="B635" t="s">
        <v>322</v>
      </c>
      <c r="C635" t="s">
        <v>323</v>
      </c>
      <c r="D635" t="s">
        <v>45</v>
      </c>
      <c r="G635">
        <v>3</v>
      </c>
    </row>
    <row r="636" spans="1:7" x14ac:dyDescent="0.2">
      <c r="A636" t="s">
        <v>850</v>
      </c>
      <c r="B636" t="s">
        <v>322</v>
      </c>
      <c r="C636" t="s">
        <v>323</v>
      </c>
      <c r="D636" t="s">
        <v>46</v>
      </c>
      <c r="G636">
        <v>1970</v>
      </c>
    </row>
    <row r="637" spans="1:7" x14ac:dyDescent="0.2">
      <c r="A637" t="s">
        <v>850</v>
      </c>
      <c r="B637" t="s">
        <v>328</v>
      </c>
      <c r="C637" t="s">
        <v>329</v>
      </c>
      <c r="D637" t="s">
        <v>8</v>
      </c>
      <c r="G637">
        <v>22252</v>
      </c>
    </row>
    <row r="638" spans="1:7" x14ac:dyDescent="0.2">
      <c r="A638" t="s">
        <v>850</v>
      </c>
      <c r="B638" t="s">
        <v>328</v>
      </c>
      <c r="C638" t="s">
        <v>329</v>
      </c>
      <c r="D638" t="s">
        <v>330</v>
      </c>
      <c r="E638" t="s">
        <v>331</v>
      </c>
      <c r="F638" t="s">
        <v>22</v>
      </c>
      <c r="G638">
        <v>13620</v>
      </c>
    </row>
    <row r="639" spans="1:7" x14ac:dyDescent="0.2">
      <c r="A639" t="s">
        <v>850</v>
      </c>
      <c r="B639" t="s">
        <v>328</v>
      </c>
      <c r="C639" t="s">
        <v>329</v>
      </c>
      <c r="D639" t="s">
        <v>332</v>
      </c>
      <c r="E639" t="s">
        <v>333</v>
      </c>
      <c r="F639" t="s">
        <v>28</v>
      </c>
      <c r="G639">
        <v>5232</v>
      </c>
    </row>
    <row r="640" spans="1:7" x14ac:dyDescent="0.2">
      <c r="A640" t="s">
        <v>850</v>
      </c>
      <c r="B640" t="s">
        <v>328</v>
      </c>
      <c r="C640" t="s">
        <v>329</v>
      </c>
      <c r="D640" t="s">
        <v>334</v>
      </c>
      <c r="E640" t="s">
        <v>335</v>
      </c>
      <c r="F640" t="s">
        <v>16</v>
      </c>
      <c r="G640">
        <v>1560</v>
      </c>
    </row>
    <row r="641" spans="1:7" x14ac:dyDescent="0.2">
      <c r="A641" t="s">
        <v>850</v>
      </c>
      <c r="B641" t="s">
        <v>328</v>
      </c>
      <c r="C641" t="s">
        <v>329</v>
      </c>
      <c r="D641" t="s">
        <v>45</v>
      </c>
      <c r="G641">
        <v>2</v>
      </c>
    </row>
    <row r="642" spans="1:7" x14ac:dyDescent="0.2">
      <c r="A642" t="s">
        <v>850</v>
      </c>
      <c r="B642" t="s">
        <v>328</v>
      </c>
      <c r="C642" t="s">
        <v>329</v>
      </c>
      <c r="D642" t="s">
        <v>46</v>
      </c>
      <c r="G642">
        <v>1838</v>
      </c>
    </row>
    <row r="643" spans="1:7" x14ac:dyDescent="0.2">
      <c r="A643" t="s">
        <v>850</v>
      </c>
      <c r="B643" t="s">
        <v>336</v>
      </c>
      <c r="C643" t="s">
        <v>337</v>
      </c>
      <c r="D643" t="s">
        <v>8</v>
      </c>
      <c r="G643">
        <v>19148</v>
      </c>
    </row>
    <row r="644" spans="1:7" x14ac:dyDescent="0.2">
      <c r="A644" t="s">
        <v>850</v>
      </c>
      <c r="B644" t="s">
        <v>336</v>
      </c>
      <c r="C644" t="s">
        <v>337</v>
      </c>
      <c r="D644" t="s">
        <v>338</v>
      </c>
      <c r="E644" t="s">
        <v>339</v>
      </c>
      <c r="F644" t="s">
        <v>22</v>
      </c>
      <c r="G644">
        <v>11381</v>
      </c>
    </row>
    <row r="645" spans="1:7" x14ac:dyDescent="0.2">
      <c r="A645" t="s">
        <v>850</v>
      </c>
      <c r="B645" t="s">
        <v>336</v>
      </c>
      <c r="C645" t="s">
        <v>337</v>
      </c>
      <c r="D645" t="s">
        <v>340</v>
      </c>
      <c r="E645" t="s">
        <v>341</v>
      </c>
      <c r="F645" t="s">
        <v>28</v>
      </c>
      <c r="G645">
        <v>5848</v>
      </c>
    </row>
    <row r="646" spans="1:7" x14ac:dyDescent="0.2">
      <c r="A646" t="s">
        <v>850</v>
      </c>
      <c r="B646" t="s">
        <v>336</v>
      </c>
      <c r="C646" t="s">
        <v>337</v>
      </c>
      <c r="D646" t="s">
        <v>45</v>
      </c>
      <c r="G646">
        <v>0</v>
      </c>
    </row>
    <row r="647" spans="1:7" x14ac:dyDescent="0.2">
      <c r="A647" t="s">
        <v>850</v>
      </c>
      <c r="B647" t="s">
        <v>336</v>
      </c>
      <c r="C647" t="s">
        <v>337</v>
      </c>
      <c r="D647" t="s">
        <v>46</v>
      </c>
      <c r="G647">
        <v>1919</v>
      </c>
    </row>
    <row r="648" spans="1:7" x14ac:dyDescent="0.2">
      <c r="A648" t="s">
        <v>850</v>
      </c>
      <c r="B648" t="s">
        <v>648</v>
      </c>
      <c r="C648" t="s">
        <v>649</v>
      </c>
      <c r="D648" t="s">
        <v>8</v>
      </c>
      <c r="G648">
        <v>80196</v>
      </c>
    </row>
    <row r="649" spans="1:7" x14ac:dyDescent="0.2">
      <c r="A649" t="s">
        <v>850</v>
      </c>
      <c r="B649" t="s">
        <v>648</v>
      </c>
      <c r="C649" t="s">
        <v>649</v>
      </c>
      <c r="D649" t="s">
        <v>650</v>
      </c>
      <c r="E649" t="s">
        <v>651</v>
      </c>
      <c r="F649" t="s">
        <v>22</v>
      </c>
      <c r="G649">
        <v>50229</v>
      </c>
    </row>
    <row r="650" spans="1:7" x14ac:dyDescent="0.2">
      <c r="A650" t="s">
        <v>850</v>
      </c>
      <c r="B650" t="s">
        <v>648</v>
      </c>
      <c r="C650" t="s">
        <v>649</v>
      </c>
      <c r="D650" t="s">
        <v>652</v>
      </c>
      <c r="E650" t="s">
        <v>653</v>
      </c>
      <c r="F650" t="s">
        <v>133</v>
      </c>
      <c r="G650">
        <v>21551</v>
      </c>
    </row>
    <row r="651" spans="1:7" x14ac:dyDescent="0.2">
      <c r="A651" t="s">
        <v>850</v>
      </c>
      <c r="B651" t="s">
        <v>648</v>
      </c>
      <c r="C651" t="s">
        <v>649</v>
      </c>
      <c r="D651" t="s">
        <v>45</v>
      </c>
      <c r="G651">
        <v>7</v>
      </c>
    </row>
    <row r="652" spans="1:7" x14ac:dyDescent="0.2">
      <c r="A652" t="s">
        <v>850</v>
      </c>
      <c r="B652" t="s">
        <v>648</v>
      </c>
      <c r="C652" t="s">
        <v>649</v>
      </c>
      <c r="D652" t="s">
        <v>46</v>
      </c>
      <c r="G652">
        <v>8409</v>
      </c>
    </row>
    <row r="653" spans="1:7" x14ac:dyDescent="0.2">
      <c r="A653" t="s">
        <v>850</v>
      </c>
      <c r="B653" t="s">
        <v>692</v>
      </c>
      <c r="C653" t="s">
        <v>693</v>
      </c>
      <c r="D653" t="s">
        <v>8</v>
      </c>
      <c r="G653">
        <v>172869</v>
      </c>
    </row>
    <row r="654" spans="1:7" x14ac:dyDescent="0.2">
      <c r="A654" t="s">
        <v>850</v>
      </c>
      <c r="B654" t="s">
        <v>692</v>
      </c>
      <c r="C654" t="s">
        <v>693</v>
      </c>
      <c r="D654" t="s">
        <v>694</v>
      </c>
      <c r="E654" t="s">
        <v>695</v>
      </c>
      <c r="G654">
        <v>109605</v>
      </c>
    </row>
    <row r="655" spans="1:7" x14ac:dyDescent="0.2">
      <c r="A655" t="s">
        <v>850</v>
      </c>
      <c r="B655" t="s">
        <v>692</v>
      </c>
      <c r="C655" t="s">
        <v>693</v>
      </c>
      <c r="D655" t="s">
        <v>696</v>
      </c>
      <c r="E655" t="s">
        <v>697</v>
      </c>
      <c r="G655">
        <v>30660</v>
      </c>
    </row>
    <row r="656" spans="1:7" x14ac:dyDescent="0.2">
      <c r="A656" t="s">
        <v>850</v>
      </c>
      <c r="B656" t="s">
        <v>692</v>
      </c>
      <c r="C656" t="s">
        <v>693</v>
      </c>
      <c r="D656" t="s">
        <v>45</v>
      </c>
      <c r="G656">
        <v>18</v>
      </c>
    </row>
    <row r="657" spans="1:7" x14ac:dyDescent="0.2">
      <c r="A657" t="s">
        <v>850</v>
      </c>
      <c r="B657" t="s">
        <v>692</v>
      </c>
      <c r="C657" t="s">
        <v>693</v>
      </c>
      <c r="D657" t="s">
        <v>46</v>
      </c>
      <c r="G657">
        <v>32586</v>
      </c>
    </row>
    <row r="658" spans="1:7" x14ac:dyDescent="0.2">
      <c r="A658" t="s">
        <v>850</v>
      </c>
      <c r="B658" t="s">
        <v>698</v>
      </c>
      <c r="C658" t="s">
        <v>699</v>
      </c>
      <c r="D658" t="s">
        <v>8</v>
      </c>
      <c r="G658">
        <v>172869</v>
      </c>
    </row>
    <row r="659" spans="1:7" x14ac:dyDescent="0.2">
      <c r="A659" t="s">
        <v>850</v>
      </c>
      <c r="B659" t="s">
        <v>698</v>
      </c>
      <c r="C659" t="s">
        <v>699</v>
      </c>
      <c r="D659" t="s">
        <v>694</v>
      </c>
      <c r="E659" t="s">
        <v>700</v>
      </c>
      <c r="G659">
        <v>107897</v>
      </c>
    </row>
    <row r="660" spans="1:7" x14ac:dyDescent="0.2">
      <c r="A660" t="s">
        <v>850</v>
      </c>
      <c r="B660" t="s">
        <v>698</v>
      </c>
      <c r="C660" t="s">
        <v>699</v>
      </c>
      <c r="D660" t="s">
        <v>696</v>
      </c>
      <c r="E660" t="s">
        <v>701</v>
      </c>
      <c r="G660">
        <v>30019</v>
      </c>
    </row>
    <row r="661" spans="1:7" x14ac:dyDescent="0.2">
      <c r="A661" t="s">
        <v>850</v>
      </c>
      <c r="B661" t="s">
        <v>698</v>
      </c>
      <c r="C661" t="s">
        <v>699</v>
      </c>
      <c r="D661" t="s">
        <v>45</v>
      </c>
      <c r="G661">
        <v>18</v>
      </c>
    </row>
    <row r="662" spans="1:7" x14ac:dyDescent="0.2">
      <c r="A662" t="s">
        <v>850</v>
      </c>
      <c r="B662" t="s">
        <v>698</v>
      </c>
      <c r="C662" t="s">
        <v>699</v>
      </c>
      <c r="D662" t="s">
        <v>46</v>
      </c>
      <c r="G662">
        <v>34935</v>
      </c>
    </row>
    <row r="663" spans="1:7" x14ac:dyDescent="0.2">
      <c r="A663" t="s">
        <v>850</v>
      </c>
      <c r="B663" t="s">
        <v>710</v>
      </c>
      <c r="C663" t="s">
        <v>711</v>
      </c>
      <c r="D663" t="s">
        <v>8</v>
      </c>
      <c r="G663">
        <v>172869</v>
      </c>
    </row>
    <row r="664" spans="1:7" x14ac:dyDescent="0.2">
      <c r="A664" t="s">
        <v>850</v>
      </c>
      <c r="B664" t="s">
        <v>710</v>
      </c>
      <c r="C664" t="s">
        <v>711</v>
      </c>
      <c r="D664" t="s">
        <v>694</v>
      </c>
      <c r="E664" t="s">
        <v>712</v>
      </c>
      <c r="G664">
        <v>106069</v>
      </c>
    </row>
    <row r="665" spans="1:7" x14ac:dyDescent="0.2">
      <c r="A665" t="s">
        <v>850</v>
      </c>
      <c r="B665" t="s">
        <v>710</v>
      </c>
      <c r="C665" t="s">
        <v>711</v>
      </c>
      <c r="D665" t="s">
        <v>696</v>
      </c>
      <c r="E665" t="s">
        <v>713</v>
      </c>
      <c r="G665">
        <v>31318</v>
      </c>
    </row>
    <row r="666" spans="1:7" x14ac:dyDescent="0.2">
      <c r="A666" t="s">
        <v>850</v>
      </c>
      <c r="B666" t="s">
        <v>710</v>
      </c>
      <c r="C666" t="s">
        <v>711</v>
      </c>
      <c r="D666" t="s">
        <v>45</v>
      </c>
      <c r="G666">
        <v>14</v>
      </c>
    </row>
    <row r="667" spans="1:7" x14ac:dyDescent="0.2">
      <c r="A667" t="s">
        <v>850</v>
      </c>
      <c r="B667" t="s">
        <v>710</v>
      </c>
      <c r="C667" t="s">
        <v>711</v>
      </c>
      <c r="D667" t="s">
        <v>46</v>
      </c>
      <c r="G667">
        <v>35468</v>
      </c>
    </row>
    <row r="668" spans="1:7" x14ac:dyDescent="0.2">
      <c r="A668" t="s">
        <v>850</v>
      </c>
      <c r="B668" t="s">
        <v>714</v>
      </c>
      <c r="C668" t="s">
        <v>715</v>
      </c>
      <c r="D668" t="s">
        <v>8</v>
      </c>
      <c r="G668">
        <v>172869</v>
      </c>
    </row>
    <row r="669" spans="1:7" x14ac:dyDescent="0.2">
      <c r="A669" t="s">
        <v>850</v>
      </c>
      <c r="B669" t="s">
        <v>714</v>
      </c>
      <c r="C669" t="s">
        <v>715</v>
      </c>
      <c r="D669" t="s">
        <v>694</v>
      </c>
      <c r="E669" t="s">
        <v>716</v>
      </c>
      <c r="G669">
        <v>103741</v>
      </c>
    </row>
    <row r="670" spans="1:7" x14ac:dyDescent="0.2">
      <c r="A670" t="s">
        <v>850</v>
      </c>
      <c r="B670" t="s">
        <v>714</v>
      </c>
      <c r="C670" t="s">
        <v>715</v>
      </c>
      <c r="D670" t="s">
        <v>696</v>
      </c>
      <c r="E670" t="s">
        <v>717</v>
      </c>
      <c r="G670">
        <v>32847</v>
      </c>
    </row>
    <row r="671" spans="1:7" x14ac:dyDescent="0.2">
      <c r="A671" t="s">
        <v>850</v>
      </c>
      <c r="B671" t="s">
        <v>714</v>
      </c>
      <c r="C671" t="s">
        <v>715</v>
      </c>
      <c r="D671" t="s">
        <v>45</v>
      </c>
      <c r="G671">
        <v>24</v>
      </c>
    </row>
    <row r="672" spans="1:7" x14ac:dyDescent="0.2">
      <c r="A672" t="s">
        <v>850</v>
      </c>
      <c r="B672" t="s">
        <v>714</v>
      </c>
      <c r="C672" t="s">
        <v>715</v>
      </c>
      <c r="D672" t="s">
        <v>46</v>
      </c>
      <c r="G672">
        <v>36257</v>
      </c>
    </row>
    <row r="673" spans="1:7" x14ac:dyDescent="0.2">
      <c r="A673" t="s">
        <v>850</v>
      </c>
      <c r="B673" t="s">
        <v>718</v>
      </c>
      <c r="C673" t="s">
        <v>719</v>
      </c>
      <c r="D673" t="s">
        <v>8</v>
      </c>
      <c r="G673">
        <v>172869</v>
      </c>
    </row>
    <row r="674" spans="1:7" x14ac:dyDescent="0.2">
      <c r="A674" t="s">
        <v>850</v>
      </c>
      <c r="B674" t="s">
        <v>718</v>
      </c>
      <c r="C674" t="s">
        <v>719</v>
      </c>
      <c r="D674" t="s">
        <v>694</v>
      </c>
      <c r="E674" t="s">
        <v>720</v>
      </c>
      <c r="G674">
        <v>105960</v>
      </c>
    </row>
    <row r="675" spans="1:7" x14ac:dyDescent="0.2">
      <c r="A675" t="s">
        <v>850</v>
      </c>
      <c r="B675" t="s">
        <v>718</v>
      </c>
      <c r="C675" t="s">
        <v>719</v>
      </c>
      <c r="D675" t="s">
        <v>696</v>
      </c>
      <c r="E675" t="s">
        <v>721</v>
      </c>
      <c r="G675">
        <v>31396</v>
      </c>
    </row>
    <row r="676" spans="1:7" x14ac:dyDescent="0.2">
      <c r="A676" t="s">
        <v>850</v>
      </c>
      <c r="B676" t="s">
        <v>718</v>
      </c>
      <c r="C676" t="s">
        <v>719</v>
      </c>
      <c r="D676" t="s">
        <v>45</v>
      </c>
      <c r="G676">
        <v>20</v>
      </c>
    </row>
    <row r="677" spans="1:7" x14ac:dyDescent="0.2">
      <c r="A677" t="s">
        <v>850</v>
      </c>
      <c r="B677" t="s">
        <v>718</v>
      </c>
      <c r="C677" t="s">
        <v>719</v>
      </c>
      <c r="D677" t="s">
        <v>46</v>
      </c>
      <c r="G677">
        <v>35493</v>
      </c>
    </row>
    <row r="678" spans="1:7" x14ac:dyDescent="0.2">
      <c r="A678" t="s">
        <v>850</v>
      </c>
      <c r="B678" t="s">
        <v>722</v>
      </c>
      <c r="C678" t="s">
        <v>723</v>
      </c>
      <c r="D678" t="s">
        <v>8</v>
      </c>
      <c r="G678">
        <v>172869</v>
      </c>
    </row>
    <row r="679" spans="1:7" x14ac:dyDescent="0.2">
      <c r="A679" t="s">
        <v>850</v>
      </c>
      <c r="B679" t="s">
        <v>722</v>
      </c>
      <c r="C679" t="s">
        <v>723</v>
      </c>
      <c r="D679" t="s">
        <v>694</v>
      </c>
      <c r="E679" t="s">
        <v>724</v>
      </c>
      <c r="G679">
        <v>108555</v>
      </c>
    </row>
    <row r="680" spans="1:7" x14ac:dyDescent="0.2">
      <c r="A680" t="s">
        <v>850</v>
      </c>
      <c r="B680" t="s">
        <v>722</v>
      </c>
      <c r="C680" t="s">
        <v>723</v>
      </c>
      <c r="D680" t="s">
        <v>696</v>
      </c>
      <c r="E680" t="s">
        <v>725</v>
      </c>
      <c r="G680">
        <v>28637</v>
      </c>
    </row>
    <row r="681" spans="1:7" x14ac:dyDescent="0.2">
      <c r="A681" t="s">
        <v>850</v>
      </c>
      <c r="B681" t="s">
        <v>722</v>
      </c>
      <c r="C681" t="s">
        <v>723</v>
      </c>
      <c r="D681" t="s">
        <v>45</v>
      </c>
      <c r="G681">
        <v>15</v>
      </c>
    </row>
    <row r="682" spans="1:7" x14ac:dyDescent="0.2">
      <c r="A682" t="s">
        <v>850</v>
      </c>
      <c r="B682" t="s">
        <v>722</v>
      </c>
      <c r="C682" t="s">
        <v>723</v>
      </c>
      <c r="D682" t="s">
        <v>46</v>
      </c>
      <c r="G682">
        <v>35662</v>
      </c>
    </row>
    <row r="683" spans="1:7" x14ac:dyDescent="0.2">
      <c r="A683" t="s">
        <v>850</v>
      </c>
      <c r="B683" t="s">
        <v>726</v>
      </c>
      <c r="C683" t="s">
        <v>727</v>
      </c>
      <c r="D683" t="s">
        <v>8</v>
      </c>
      <c r="G683">
        <v>172869</v>
      </c>
    </row>
    <row r="684" spans="1:7" x14ac:dyDescent="0.2">
      <c r="A684" t="s">
        <v>850</v>
      </c>
      <c r="B684" t="s">
        <v>726</v>
      </c>
      <c r="C684" t="s">
        <v>727</v>
      </c>
      <c r="D684" t="s">
        <v>694</v>
      </c>
      <c r="E684" t="s">
        <v>728</v>
      </c>
      <c r="G684">
        <v>108613</v>
      </c>
    </row>
    <row r="685" spans="1:7" x14ac:dyDescent="0.2">
      <c r="A685" t="s">
        <v>850</v>
      </c>
      <c r="B685" t="s">
        <v>726</v>
      </c>
      <c r="C685" t="s">
        <v>727</v>
      </c>
      <c r="D685" t="s">
        <v>696</v>
      </c>
      <c r="E685" t="s">
        <v>729</v>
      </c>
      <c r="G685">
        <v>27131</v>
      </c>
    </row>
    <row r="686" spans="1:7" x14ac:dyDescent="0.2">
      <c r="A686" t="s">
        <v>850</v>
      </c>
      <c r="B686" t="s">
        <v>726</v>
      </c>
      <c r="C686" t="s">
        <v>727</v>
      </c>
      <c r="D686" t="s">
        <v>45</v>
      </c>
      <c r="G686">
        <v>37</v>
      </c>
    </row>
    <row r="687" spans="1:7" x14ac:dyDescent="0.2">
      <c r="A687" t="s">
        <v>850</v>
      </c>
      <c r="B687" t="s">
        <v>726</v>
      </c>
      <c r="C687" t="s">
        <v>727</v>
      </c>
      <c r="D687" t="s">
        <v>46</v>
      </c>
      <c r="G687">
        <v>37088</v>
      </c>
    </row>
    <row r="688" spans="1:7" x14ac:dyDescent="0.2">
      <c r="A688" t="s">
        <v>850</v>
      </c>
      <c r="B688" t="s">
        <v>806</v>
      </c>
      <c r="C688" t="s">
        <v>807</v>
      </c>
      <c r="D688" t="s">
        <v>8</v>
      </c>
      <c r="G688">
        <v>172869</v>
      </c>
    </row>
    <row r="689" spans="1:7" x14ac:dyDescent="0.2">
      <c r="A689" t="s">
        <v>850</v>
      </c>
      <c r="B689" t="s">
        <v>806</v>
      </c>
      <c r="C689" t="s">
        <v>807</v>
      </c>
      <c r="D689" t="s">
        <v>694</v>
      </c>
      <c r="E689" t="s">
        <v>808</v>
      </c>
      <c r="G689">
        <v>107339</v>
      </c>
    </row>
    <row r="690" spans="1:7" x14ac:dyDescent="0.2">
      <c r="A690" t="s">
        <v>850</v>
      </c>
      <c r="B690" t="s">
        <v>806</v>
      </c>
      <c r="C690" t="s">
        <v>807</v>
      </c>
      <c r="D690" t="s">
        <v>696</v>
      </c>
      <c r="E690" t="s">
        <v>809</v>
      </c>
      <c r="G690">
        <v>29058</v>
      </c>
    </row>
    <row r="691" spans="1:7" x14ac:dyDescent="0.2">
      <c r="A691" t="s">
        <v>850</v>
      </c>
      <c r="B691" t="s">
        <v>806</v>
      </c>
      <c r="C691" t="s">
        <v>807</v>
      </c>
      <c r="D691" t="s">
        <v>45</v>
      </c>
      <c r="G691">
        <v>25</v>
      </c>
    </row>
    <row r="692" spans="1:7" x14ac:dyDescent="0.2">
      <c r="A692" t="s">
        <v>850</v>
      </c>
      <c r="B692" t="s">
        <v>806</v>
      </c>
      <c r="C692" t="s">
        <v>807</v>
      </c>
      <c r="D692" t="s">
        <v>46</v>
      </c>
      <c r="G692">
        <v>36447</v>
      </c>
    </row>
    <row r="693" spans="1:7" x14ac:dyDescent="0.2">
      <c r="A693" t="s">
        <v>850</v>
      </c>
      <c r="B693" t="s">
        <v>834</v>
      </c>
      <c r="C693" t="s">
        <v>835</v>
      </c>
      <c r="D693" t="s">
        <v>8</v>
      </c>
      <c r="G693">
        <v>172869</v>
      </c>
    </row>
    <row r="694" spans="1:7" x14ac:dyDescent="0.2">
      <c r="A694" t="s">
        <v>850</v>
      </c>
      <c r="B694" t="s">
        <v>834</v>
      </c>
      <c r="C694" t="s">
        <v>835</v>
      </c>
      <c r="D694" t="s">
        <v>836</v>
      </c>
      <c r="E694" t="s">
        <v>837</v>
      </c>
      <c r="G694">
        <v>114521</v>
      </c>
    </row>
    <row r="695" spans="1:7" x14ac:dyDescent="0.2">
      <c r="A695" t="s">
        <v>850</v>
      </c>
      <c r="B695" t="s">
        <v>834</v>
      </c>
      <c r="C695" t="s">
        <v>835</v>
      </c>
      <c r="D695" t="s">
        <v>838</v>
      </c>
      <c r="E695" t="s">
        <v>839</v>
      </c>
      <c r="G695">
        <v>43736</v>
      </c>
    </row>
    <row r="696" spans="1:7" x14ac:dyDescent="0.2">
      <c r="A696" t="s">
        <v>850</v>
      </c>
      <c r="B696" t="s">
        <v>834</v>
      </c>
      <c r="C696" t="s">
        <v>835</v>
      </c>
      <c r="D696" t="s">
        <v>45</v>
      </c>
      <c r="G696">
        <v>29</v>
      </c>
    </row>
    <row r="697" spans="1:7" x14ac:dyDescent="0.2">
      <c r="A697" t="s">
        <v>850</v>
      </c>
      <c r="B697" t="s">
        <v>834</v>
      </c>
      <c r="C697" t="s">
        <v>835</v>
      </c>
      <c r="D697" t="s">
        <v>46</v>
      </c>
      <c r="G697">
        <v>14583</v>
      </c>
    </row>
    <row r="698" spans="1:7" x14ac:dyDescent="0.2">
      <c r="A698" t="s">
        <v>850</v>
      </c>
      <c r="B698" t="s">
        <v>840</v>
      </c>
      <c r="C698" t="s">
        <v>841</v>
      </c>
      <c r="D698" t="s">
        <v>8</v>
      </c>
      <c r="G698">
        <v>172869</v>
      </c>
    </row>
    <row r="699" spans="1:7" x14ac:dyDescent="0.2">
      <c r="A699" t="s">
        <v>850</v>
      </c>
      <c r="B699" t="s">
        <v>840</v>
      </c>
      <c r="C699" t="s">
        <v>841</v>
      </c>
      <c r="D699" t="s">
        <v>836</v>
      </c>
      <c r="E699" t="s">
        <v>842</v>
      </c>
      <c r="G699">
        <v>128688</v>
      </c>
    </row>
    <row r="700" spans="1:7" x14ac:dyDescent="0.2">
      <c r="A700" t="s">
        <v>850</v>
      </c>
      <c r="B700" t="s">
        <v>840</v>
      </c>
      <c r="C700" t="s">
        <v>841</v>
      </c>
      <c r="D700" t="s">
        <v>838</v>
      </c>
      <c r="E700" t="s">
        <v>843</v>
      </c>
      <c r="G700">
        <v>29342</v>
      </c>
    </row>
    <row r="701" spans="1:7" x14ac:dyDescent="0.2">
      <c r="A701" t="s">
        <v>850</v>
      </c>
      <c r="B701" t="s">
        <v>840</v>
      </c>
      <c r="C701" t="s">
        <v>841</v>
      </c>
      <c r="D701" t="s">
        <v>45</v>
      </c>
      <c r="G701">
        <v>28</v>
      </c>
    </row>
    <row r="702" spans="1:7" x14ac:dyDescent="0.2">
      <c r="A702" t="s">
        <v>850</v>
      </c>
      <c r="B702" t="s">
        <v>840</v>
      </c>
      <c r="C702" t="s">
        <v>841</v>
      </c>
      <c r="D702" t="s">
        <v>46</v>
      </c>
      <c r="G702">
        <v>14811</v>
      </c>
    </row>
    <row r="703" spans="1:7" x14ac:dyDescent="0.2">
      <c r="A703" t="s">
        <v>851</v>
      </c>
      <c r="B703" t="s">
        <v>6</v>
      </c>
      <c r="C703" t="s">
        <v>7</v>
      </c>
      <c r="D703" t="s">
        <v>8</v>
      </c>
      <c r="G703">
        <v>9067</v>
      </c>
    </row>
    <row r="704" spans="1:7" x14ac:dyDescent="0.2">
      <c r="A704" t="s">
        <v>851</v>
      </c>
      <c r="B704" t="s">
        <v>6</v>
      </c>
      <c r="C704" t="s">
        <v>7</v>
      </c>
      <c r="D704" t="s">
        <v>9</v>
      </c>
      <c r="E704" t="s">
        <v>10</v>
      </c>
      <c r="F704" t="s">
        <v>11</v>
      </c>
      <c r="G704">
        <v>7</v>
      </c>
    </row>
    <row r="705" spans="1:7" x14ac:dyDescent="0.2">
      <c r="A705" t="s">
        <v>851</v>
      </c>
      <c r="B705" t="s">
        <v>6</v>
      </c>
      <c r="C705" t="s">
        <v>7</v>
      </c>
      <c r="D705" t="s">
        <v>12</v>
      </c>
      <c r="E705" t="s">
        <v>13</v>
      </c>
      <c r="F705" t="s">
        <v>11</v>
      </c>
      <c r="G705">
        <v>8</v>
      </c>
    </row>
    <row r="706" spans="1:7" x14ac:dyDescent="0.2">
      <c r="A706" t="s">
        <v>851</v>
      </c>
      <c r="B706" t="s">
        <v>6</v>
      </c>
      <c r="C706" t="s">
        <v>7</v>
      </c>
      <c r="D706" t="s">
        <v>14</v>
      </c>
      <c r="E706" t="s">
        <v>15</v>
      </c>
      <c r="F706" t="s">
        <v>16</v>
      </c>
      <c r="G706">
        <v>53</v>
      </c>
    </row>
    <row r="707" spans="1:7" x14ac:dyDescent="0.2">
      <c r="A707" t="s">
        <v>851</v>
      </c>
      <c r="B707" t="s">
        <v>6</v>
      </c>
      <c r="C707" t="s">
        <v>7</v>
      </c>
      <c r="D707" t="s">
        <v>17</v>
      </c>
      <c r="E707" t="s">
        <v>18</v>
      </c>
      <c r="F707" t="s">
        <v>19</v>
      </c>
      <c r="G707">
        <v>16</v>
      </c>
    </row>
    <row r="708" spans="1:7" x14ac:dyDescent="0.2">
      <c r="A708" t="s">
        <v>851</v>
      </c>
      <c r="B708" t="s">
        <v>6</v>
      </c>
      <c r="C708" t="s">
        <v>7</v>
      </c>
      <c r="D708" t="s">
        <v>20</v>
      </c>
      <c r="E708" t="s">
        <v>21</v>
      </c>
      <c r="F708" t="s">
        <v>22</v>
      </c>
      <c r="G708">
        <v>7815</v>
      </c>
    </row>
    <row r="709" spans="1:7" x14ac:dyDescent="0.2">
      <c r="A709" t="s">
        <v>851</v>
      </c>
      <c r="B709" t="s">
        <v>6</v>
      </c>
      <c r="C709" t="s">
        <v>7</v>
      </c>
      <c r="D709" t="s">
        <v>23</v>
      </c>
      <c r="E709" t="s">
        <v>24</v>
      </c>
      <c r="F709" t="s">
        <v>25</v>
      </c>
      <c r="G709">
        <v>45</v>
      </c>
    </row>
    <row r="710" spans="1:7" x14ac:dyDescent="0.2">
      <c r="A710" t="s">
        <v>851</v>
      </c>
      <c r="B710" t="s">
        <v>6</v>
      </c>
      <c r="C710" t="s">
        <v>7</v>
      </c>
      <c r="D710" t="s">
        <v>26</v>
      </c>
      <c r="E710" t="s">
        <v>27</v>
      </c>
      <c r="F710" t="s">
        <v>28</v>
      </c>
      <c r="G710">
        <v>1009</v>
      </c>
    </row>
    <row r="711" spans="1:7" x14ac:dyDescent="0.2">
      <c r="A711" t="s">
        <v>851</v>
      </c>
      <c r="B711" t="s">
        <v>6</v>
      </c>
      <c r="C711" t="s">
        <v>7</v>
      </c>
      <c r="D711" t="s">
        <v>29</v>
      </c>
      <c r="E711" t="s">
        <v>30</v>
      </c>
      <c r="F711" t="s">
        <v>11</v>
      </c>
      <c r="G711">
        <v>14</v>
      </c>
    </row>
    <row r="712" spans="1:7" x14ac:dyDescent="0.2">
      <c r="A712" t="s">
        <v>851</v>
      </c>
      <c r="B712" t="s">
        <v>6</v>
      </c>
      <c r="C712" t="s">
        <v>7</v>
      </c>
      <c r="D712" t="s">
        <v>31</v>
      </c>
      <c r="E712" t="s">
        <v>32</v>
      </c>
      <c r="F712" t="s">
        <v>11</v>
      </c>
      <c r="G712">
        <v>0</v>
      </c>
    </row>
    <row r="713" spans="1:7" x14ac:dyDescent="0.2">
      <c r="A713" t="s">
        <v>851</v>
      </c>
      <c r="B713" t="s">
        <v>6</v>
      </c>
      <c r="C713" t="s">
        <v>7</v>
      </c>
      <c r="D713" t="s">
        <v>33</v>
      </c>
      <c r="E713" t="s">
        <v>34</v>
      </c>
      <c r="F713" t="s">
        <v>11</v>
      </c>
      <c r="G713">
        <v>1</v>
      </c>
    </row>
    <row r="714" spans="1:7" x14ac:dyDescent="0.2">
      <c r="A714" t="s">
        <v>851</v>
      </c>
      <c r="B714" t="s">
        <v>6</v>
      </c>
      <c r="C714" t="s">
        <v>7</v>
      </c>
      <c r="D714" t="s">
        <v>35</v>
      </c>
      <c r="E714" t="s">
        <v>36</v>
      </c>
      <c r="F714" t="s">
        <v>11</v>
      </c>
      <c r="G714">
        <v>0</v>
      </c>
    </row>
    <row r="715" spans="1:7" x14ac:dyDescent="0.2">
      <c r="A715" t="s">
        <v>851</v>
      </c>
      <c r="B715" t="s">
        <v>6</v>
      </c>
      <c r="C715" t="s">
        <v>7</v>
      </c>
      <c r="D715" t="s">
        <v>37</v>
      </c>
      <c r="E715" t="s">
        <v>38</v>
      </c>
      <c r="F715" t="s">
        <v>11</v>
      </c>
      <c r="G715">
        <v>0</v>
      </c>
    </row>
    <row r="716" spans="1:7" x14ac:dyDescent="0.2">
      <c r="A716" t="s">
        <v>851</v>
      </c>
      <c r="B716" t="s">
        <v>6</v>
      </c>
      <c r="C716" t="s">
        <v>7</v>
      </c>
      <c r="D716" t="s">
        <v>39</v>
      </c>
      <c r="E716" t="s">
        <v>40</v>
      </c>
      <c r="F716" t="s">
        <v>11</v>
      </c>
      <c r="G716">
        <v>0</v>
      </c>
    </row>
    <row r="717" spans="1:7" x14ac:dyDescent="0.2">
      <c r="A717" t="s">
        <v>851</v>
      </c>
      <c r="B717" t="s">
        <v>6</v>
      </c>
      <c r="C717" t="s">
        <v>7</v>
      </c>
      <c r="D717" t="s">
        <v>41</v>
      </c>
      <c r="E717" t="s">
        <v>42</v>
      </c>
      <c r="F717" t="s">
        <v>11</v>
      </c>
      <c r="G717">
        <v>0</v>
      </c>
    </row>
    <row r="718" spans="1:7" x14ac:dyDescent="0.2">
      <c r="A718" t="s">
        <v>851</v>
      </c>
      <c r="B718" t="s">
        <v>6</v>
      </c>
      <c r="C718" t="s">
        <v>7</v>
      </c>
      <c r="D718" t="s">
        <v>43</v>
      </c>
      <c r="E718" t="s">
        <v>44</v>
      </c>
      <c r="F718" t="s">
        <v>11</v>
      </c>
      <c r="G718">
        <v>0</v>
      </c>
    </row>
    <row r="719" spans="1:7" x14ac:dyDescent="0.2">
      <c r="A719" t="s">
        <v>851</v>
      </c>
      <c r="B719" t="s">
        <v>6</v>
      </c>
      <c r="C719" t="s">
        <v>7</v>
      </c>
      <c r="D719" t="s">
        <v>45</v>
      </c>
      <c r="G719">
        <v>2</v>
      </c>
    </row>
    <row r="720" spans="1:7" x14ac:dyDescent="0.2">
      <c r="A720" t="s">
        <v>851</v>
      </c>
      <c r="B720" t="s">
        <v>6</v>
      </c>
      <c r="C720" t="s">
        <v>7</v>
      </c>
      <c r="D720" t="s">
        <v>46</v>
      </c>
      <c r="G720">
        <v>38</v>
      </c>
    </row>
    <row r="721" spans="1:7" x14ac:dyDescent="0.2">
      <c r="A721" t="s">
        <v>851</v>
      </c>
      <c r="B721" t="s">
        <v>47</v>
      </c>
      <c r="C721" t="s">
        <v>48</v>
      </c>
      <c r="D721" t="s">
        <v>8</v>
      </c>
      <c r="G721">
        <v>9067</v>
      </c>
    </row>
    <row r="722" spans="1:7" x14ac:dyDescent="0.2">
      <c r="A722" t="s">
        <v>851</v>
      </c>
      <c r="B722" t="s">
        <v>47</v>
      </c>
      <c r="C722" t="s">
        <v>48</v>
      </c>
      <c r="D722" t="s">
        <v>49</v>
      </c>
      <c r="E722" t="s">
        <v>50</v>
      </c>
      <c r="F722" t="s">
        <v>51</v>
      </c>
      <c r="G722">
        <v>594</v>
      </c>
    </row>
    <row r="723" spans="1:7" x14ac:dyDescent="0.2">
      <c r="A723" t="s">
        <v>851</v>
      </c>
      <c r="B723" t="s">
        <v>47</v>
      </c>
      <c r="C723" t="s">
        <v>48</v>
      </c>
      <c r="D723" t="s">
        <v>52</v>
      </c>
      <c r="E723" t="s">
        <v>53</v>
      </c>
      <c r="F723" t="s">
        <v>22</v>
      </c>
      <c r="G723">
        <v>7450</v>
      </c>
    </row>
    <row r="724" spans="1:7" x14ac:dyDescent="0.2">
      <c r="A724" t="s">
        <v>851</v>
      </c>
      <c r="B724" t="s">
        <v>47</v>
      </c>
      <c r="C724" t="s">
        <v>48</v>
      </c>
      <c r="D724" t="s">
        <v>54</v>
      </c>
      <c r="E724" t="s">
        <v>55</v>
      </c>
      <c r="F724" t="s">
        <v>28</v>
      </c>
      <c r="G724">
        <v>790</v>
      </c>
    </row>
    <row r="725" spans="1:7" x14ac:dyDescent="0.2">
      <c r="A725" t="s">
        <v>851</v>
      </c>
      <c r="B725" t="s">
        <v>47</v>
      </c>
      <c r="C725" t="s">
        <v>48</v>
      </c>
      <c r="D725" t="s">
        <v>56</v>
      </c>
      <c r="E725" t="s">
        <v>57</v>
      </c>
      <c r="F725" t="s">
        <v>11</v>
      </c>
      <c r="G725">
        <v>7</v>
      </c>
    </row>
    <row r="726" spans="1:7" x14ac:dyDescent="0.2">
      <c r="A726" t="s">
        <v>851</v>
      </c>
      <c r="B726" t="s">
        <v>47</v>
      </c>
      <c r="C726" t="s">
        <v>48</v>
      </c>
      <c r="D726" t="s">
        <v>45</v>
      </c>
      <c r="G726">
        <v>1</v>
      </c>
    </row>
    <row r="727" spans="1:7" x14ac:dyDescent="0.2">
      <c r="A727" t="s">
        <v>851</v>
      </c>
      <c r="B727" t="s">
        <v>47</v>
      </c>
      <c r="C727" t="s">
        <v>48</v>
      </c>
      <c r="D727" t="s">
        <v>46</v>
      </c>
      <c r="G727">
        <v>170</v>
      </c>
    </row>
    <row r="728" spans="1:7" x14ac:dyDescent="0.2">
      <c r="A728" t="s">
        <v>851</v>
      </c>
      <c r="B728" t="s">
        <v>76</v>
      </c>
      <c r="C728" t="s">
        <v>77</v>
      </c>
      <c r="D728" t="s">
        <v>8</v>
      </c>
      <c r="G728">
        <v>9067</v>
      </c>
    </row>
    <row r="729" spans="1:7" x14ac:dyDescent="0.2">
      <c r="A729" t="s">
        <v>851</v>
      </c>
      <c r="B729" t="s">
        <v>76</v>
      </c>
      <c r="C729" t="s">
        <v>77</v>
      </c>
      <c r="D729" t="s">
        <v>78</v>
      </c>
      <c r="E729" t="s">
        <v>79</v>
      </c>
      <c r="F729" t="s">
        <v>22</v>
      </c>
      <c r="G729">
        <v>7780</v>
      </c>
    </row>
    <row r="730" spans="1:7" x14ac:dyDescent="0.2">
      <c r="A730" t="s">
        <v>851</v>
      </c>
      <c r="B730" t="s">
        <v>76</v>
      </c>
      <c r="C730" t="s">
        <v>77</v>
      </c>
      <c r="D730" t="s">
        <v>80</v>
      </c>
      <c r="E730" t="s">
        <v>81</v>
      </c>
      <c r="F730" t="s">
        <v>28</v>
      </c>
      <c r="G730">
        <v>893</v>
      </c>
    </row>
    <row r="731" spans="1:7" x14ac:dyDescent="0.2">
      <c r="A731" t="s">
        <v>851</v>
      </c>
      <c r="B731" t="s">
        <v>76</v>
      </c>
      <c r="C731" t="s">
        <v>77</v>
      </c>
      <c r="D731" t="s">
        <v>45</v>
      </c>
      <c r="G731">
        <v>0</v>
      </c>
    </row>
    <row r="732" spans="1:7" x14ac:dyDescent="0.2">
      <c r="A732" t="s">
        <v>851</v>
      </c>
      <c r="B732" t="s">
        <v>76</v>
      </c>
      <c r="C732" t="s">
        <v>77</v>
      </c>
      <c r="D732" t="s">
        <v>46</v>
      </c>
      <c r="G732">
        <v>394</v>
      </c>
    </row>
    <row r="733" spans="1:7" x14ac:dyDescent="0.2">
      <c r="A733" t="s">
        <v>851</v>
      </c>
      <c r="B733" t="s">
        <v>93</v>
      </c>
      <c r="C733" t="s">
        <v>94</v>
      </c>
      <c r="D733" t="s">
        <v>8</v>
      </c>
      <c r="G733">
        <v>9067</v>
      </c>
    </row>
    <row r="734" spans="1:7" x14ac:dyDescent="0.2">
      <c r="A734" t="s">
        <v>851</v>
      </c>
      <c r="B734" t="s">
        <v>93</v>
      </c>
      <c r="C734" t="s">
        <v>94</v>
      </c>
      <c r="D734" t="s">
        <v>95</v>
      </c>
      <c r="E734" t="s">
        <v>96</v>
      </c>
      <c r="F734" t="s">
        <v>22</v>
      </c>
      <c r="G734">
        <v>5721</v>
      </c>
    </row>
    <row r="735" spans="1:7" x14ac:dyDescent="0.2">
      <c r="A735" t="s">
        <v>851</v>
      </c>
      <c r="B735" t="s">
        <v>93</v>
      </c>
      <c r="C735" t="s">
        <v>94</v>
      </c>
      <c r="D735" t="s">
        <v>97</v>
      </c>
      <c r="E735" t="s">
        <v>98</v>
      </c>
      <c r="F735" t="s">
        <v>51</v>
      </c>
      <c r="G735">
        <v>299</v>
      </c>
    </row>
    <row r="736" spans="1:7" x14ac:dyDescent="0.2">
      <c r="A736" t="s">
        <v>851</v>
      </c>
      <c r="B736" t="s">
        <v>93</v>
      </c>
      <c r="C736" t="s">
        <v>94</v>
      </c>
      <c r="D736" t="s">
        <v>99</v>
      </c>
      <c r="E736" t="s">
        <v>100</v>
      </c>
      <c r="F736" t="s">
        <v>28</v>
      </c>
      <c r="G736">
        <v>728</v>
      </c>
    </row>
    <row r="737" spans="1:7" x14ac:dyDescent="0.2">
      <c r="A737" t="s">
        <v>851</v>
      </c>
      <c r="B737" t="s">
        <v>93</v>
      </c>
      <c r="C737" t="s">
        <v>94</v>
      </c>
      <c r="D737" t="s">
        <v>101</v>
      </c>
      <c r="E737" t="s">
        <v>102</v>
      </c>
      <c r="F737" t="s">
        <v>25</v>
      </c>
      <c r="G737">
        <v>295</v>
      </c>
    </row>
    <row r="738" spans="1:7" x14ac:dyDescent="0.2">
      <c r="A738" t="s">
        <v>851</v>
      </c>
      <c r="B738" t="s">
        <v>93</v>
      </c>
      <c r="C738" t="s">
        <v>94</v>
      </c>
      <c r="D738" t="s">
        <v>103</v>
      </c>
      <c r="E738" t="s">
        <v>104</v>
      </c>
      <c r="F738" t="s">
        <v>11</v>
      </c>
      <c r="G738">
        <v>57</v>
      </c>
    </row>
    <row r="739" spans="1:7" x14ac:dyDescent="0.2">
      <c r="A739" t="s">
        <v>851</v>
      </c>
      <c r="B739" t="s">
        <v>93</v>
      </c>
      <c r="C739" t="s">
        <v>94</v>
      </c>
      <c r="D739" t="s">
        <v>105</v>
      </c>
      <c r="E739" t="s">
        <v>106</v>
      </c>
      <c r="F739" t="s">
        <v>11</v>
      </c>
      <c r="G739">
        <v>1664</v>
      </c>
    </row>
    <row r="740" spans="1:7" x14ac:dyDescent="0.2">
      <c r="A740" t="s">
        <v>851</v>
      </c>
      <c r="B740" t="s">
        <v>93</v>
      </c>
      <c r="C740" t="s">
        <v>94</v>
      </c>
      <c r="D740" t="s">
        <v>107</v>
      </c>
      <c r="E740" t="s">
        <v>108</v>
      </c>
      <c r="F740" t="s">
        <v>11</v>
      </c>
      <c r="G740">
        <v>5</v>
      </c>
    </row>
    <row r="741" spans="1:7" x14ac:dyDescent="0.2">
      <c r="A741" t="s">
        <v>851</v>
      </c>
      <c r="B741" t="s">
        <v>93</v>
      </c>
      <c r="C741" t="s">
        <v>94</v>
      </c>
      <c r="D741" t="s">
        <v>45</v>
      </c>
      <c r="G741">
        <v>0</v>
      </c>
    </row>
    <row r="742" spans="1:7" x14ac:dyDescent="0.2">
      <c r="A742" t="s">
        <v>851</v>
      </c>
      <c r="B742" t="s">
        <v>93</v>
      </c>
      <c r="C742" t="s">
        <v>94</v>
      </c>
      <c r="D742" t="s">
        <v>46</v>
      </c>
      <c r="G742">
        <v>261</v>
      </c>
    </row>
    <row r="743" spans="1:7" x14ac:dyDescent="0.2">
      <c r="A743" t="s">
        <v>851</v>
      </c>
      <c r="B743" t="s">
        <v>109</v>
      </c>
      <c r="C743" t="s">
        <v>110</v>
      </c>
      <c r="D743" t="s">
        <v>8</v>
      </c>
      <c r="G743">
        <v>9067</v>
      </c>
    </row>
    <row r="744" spans="1:7" x14ac:dyDescent="0.2">
      <c r="A744" t="s">
        <v>851</v>
      </c>
      <c r="B744" t="s">
        <v>109</v>
      </c>
      <c r="C744" t="s">
        <v>110</v>
      </c>
      <c r="D744" t="s">
        <v>111</v>
      </c>
      <c r="E744" t="s">
        <v>112</v>
      </c>
      <c r="F744" t="s">
        <v>22</v>
      </c>
      <c r="G744">
        <v>7178</v>
      </c>
    </row>
    <row r="745" spans="1:7" x14ac:dyDescent="0.2">
      <c r="A745" t="s">
        <v>851</v>
      </c>
      <c r="B745" t="s">
        <v>109</v>
      </c>
      <c r="C745" t="s">
        <v>110</v>
      </c>
      <c r="D745" t="s">
        <v>113</v>
      </c>
      <c r="E745" t="s">
        <v>114</v>
      </c>
      <c r="F745" t="s">
        <v>28</v>
      </c>
      <c r="G745">
        <v>768</v>
      </c>
    </row>
    <row r="746" spans="1:7" x14ac:dyDescent="0.2">
      <c r="A746" t="s">
        <v>851</v>
      </c>
      <c r="B746" t="s">
        <v>109</v>
      </c>
      <c r="C746" t="s">
        <v>110</v>
      </c>
      <c r="D746" t="s">
        <v>115</v>
      </c>
      <c r="E746" t="s">
        <v>116</v>
      </c>
      <c r="F746" t="s">
        <v>25</v>
      </c>
      <c r="G746">
        <v>304</v>
      </c>
    </row>
    <row r="747" spans="1:7" x14ac:dyDescent="0.2">
      <c r="A747" t="s">
        <v>851</v>
      </c>
      <c r="B747" t="s">
        <v>109</v>
      </c>
      <c r="C747" t="s">
        <v>110</v>
      </c>
      <c r="D747" t="s">
        <v>117</v>
      </c>
      <c r="E747" t="s">
        <v>118</v>
      </c>
      <c r="F747" t="s">
        <v>11</v>
      </c>
      <c r="G747">
        <v>292</v>
      </c>
    </row>
    <row r="748" spans="1:7" x14ac:dyDescent="0.2">
      <c r="A748" t="s">
        <v>851</v>
      </c>
      <c r="B748" t="s">
        <v>109</v>
      </c>
      <c r="C748" t="s">
        <v>110</v>
      </c>
      <c r="D748" t="s">
        <v>119</v>
      </c>
      <c r="E748" t="s">
        <v>120</v>
      </c>
      <c r="F748" t="s">
        <v>88</v>
      </c>
      <c r="G748">
        <v>266</v>
      </c>
    </row>
    <row r="749" spans="1:7" x14ac:dyDescent="0.2">
      <c r="A749" t="s">
        <v>851</v>
      </c>
      <c r="B749" t="s">
        <v>109</v>
      </c>
      <c r="C749" t="s">
        <v>110</v>
      </c>
      <c r="D749" t="s">
        <v>45</v>
      </c>
      <c r="G749">
        <v>1</v>
      </c>
    </row>
    <row r="750" spans="1:7" x14ac:dyDescent="0.2">
      <c r="A750" t="s">
        <v>851</v>
      </c>
      <c r="B750" t="s">
        <v>109</v>
      </c>
      <c r="C750" t="s">
        <v>110</v>
      </c>
      <c r="D750" t="s">
        <v>46</v>
      </c>
      <c r="G750">
        <v>258</v>
      </c>
    </row>
    <row r="751" spans="1:7" x14ac:dyDescent="0.2">
      <c r="A751" t="s">
        <v>851</v>
      </c>
      <c r="B751" t="s">
        <v>121</v>
      </c>
      <c r="C751" t="s">
        <v>122</v>
      </c>
      <c r="D751" t="s">
        <v>8</v>
      </c>
      <c r="G751">
        <v>9067</v>
      </c>
    </row>
    <row r="752" spans="1:7" x14ac:dyDescent="0.2">
      <c r="A752" t="s">
        <v>851</v>
      </c>
      <c r="B752" t="s">
        <v>121</v>
      </c>
      <c r="C752" t="s">
        <v>122</v>
      </c>
      <c r="D752" t="s">
        <v>123</v>
      </c>
      <c r="E752" t="s">
        <v>124</v>
      </c>
      <c r="F752" t="s">
        <v>22</v>
      </c>
      <c r="G752">
        <v>7315</v>
      </c>
    </row>
    <row r="753" spans="1:7" x14ac:dyDescent="0.2">
      <c r="A753" t="s">
        <v>851</v>
      </c>
      <c r="B753" t="s">
        <v>121</v>
      </c>
      <c r="C753" t="s">
        <v>122</v>
      </c>
      <c r="D753" t="s">
        <v>125</v>
      </c>
      <c r="E753" t="s">
        <v>126</v>
      </c>
      <c r="F753" t="s">
        <v>16</v>
      </c>
      <c r="G753">
        <v>619</v>
      </c>
    </row>
    <row r="754" spans="1:7" x14ac:dyDescent="0.2">
      <c r="A754" t="s">
        <v>851</v>
      </c>
      <c r="B754" t="s">
        <v>121</v>
      </c>
      <c r="C754" t="s">
        <v>122</v>
      </c>
      <c r="D754" t="s">
        <v>127</v>
      </c>
      <c r="E754" t="s">
        <v>128</v>
      </c>
      <c r="F754" t="s">
        <v>28</v>
      </c>
      <c r="G754">
        <v>793</v>
      </c>
    </row>
    <row r="755" spans="1:7" x14ac:dyDescent="0.2">
      <c r="A755" t="s">
        <v>851</v>
      </c>
      <c r="B755" t="s">
        <v>121</v>
      </c>
      <c r="C755" t="s">
        <v>122</v>
      </c>
      <c r="D755" t="s">
        <v>45</v>
      </c>
      <c r="G755">
        <v>0</v>
      </c>
    </row>
    <row r="756" spans="1:7" x14ac:dyDescent="0.2">
      <c r="A756" t="s">
        <v>851</v>
      </c>
      <c r="B756" t="s">
        <v>121</v>
      </c>
      <c r="C756" t="s">
        <v>122</v>
      </c>
      <c r="D756" t="s">
        <v>46</v>
      </c>
      <c r="G756">
        <v>340</v>
      </c>
    </row>
    <row r="757" spans="1:7" x14ac:dyDescent="0.2">
      <c r="A757" t="s">
        <v>851</v>
      </c>
      <c r="B757" t="s">
        <v>129</v>
      </c>
      <c r="C757" t="s">
        <v>130</v>
      </c>
      <c r="D757" t="s">
        <v>8</v>
      </c>
      <c r="G757">
        <v>9067</v>
      </c>
    </row>
    <row r="758" spans="1:7" x14ac:dyDescent="0.2">
      <c r="A758" t="s">
        <v>851</v>
      </c>
      <c r="B758" t="s">
        <v>129</v>
      </c>
      <c r="C758" t="s">
        <v>130</v>
      </c>
      <c r="D758" t="s">
        <v>131</v>
      </c>
      <c r="E758" t="s">
        <v>132</v>
      </c>
      <c r="F758" t="s">
        <v>133</v>
      </c>
      <c r="G758">
        <v>265</v>
      </c>
    </row>
    <row r="759" spans="1:7" x14ac:dyDescent="0.2">
      <c r="A759" t="s">
        <v>851</v>
      </c>
      <c r="B759" t="s">
        <v>129</v>
      </c>
      <c r="C759" t="s">
        <v>130</v>
      </c>
      <c r="D759" t="s">
        <v>134</v>
      </c>
      <c r="E759" t="s">
        <v>135</v>
      </c>
      <c r="F759" t="s">
        <v>22</v>
      </c>
      <c r="G759">
        <v>7660</v>
      </c>
    </row>
    <row r="760" spans="1:7" x14ac:dyDescent="0.2">
      <c r="A760" t="s">
        <v>851</v>
      </c>
      <c r="B760" t="s">
        <v>129</v>
      </c>
      <c r="C760" t="s">
        <v>130</v>
      </c>
      <c r="D760" t="s">
        <v>136</v>
      </c>
      <c r="E760" t="s">
        <v>137</v>
      </c>
      <c r="F760" t="s">
        <v>28</v>
      </c>
      <c r="G760">
        <v>808</v>
      </c>
    </row>
    <row r="761" spans="1:7" x14ac:dyDescent="0.2">
      <c r="A761" t="s">
        <v>851</v>
      </c>
      <c r="B761" t="s">
        <v>129</v>
      </c>
      <c r="C761" t="s">
        <v>130</v>
      </c>
      <c r="D761" t="s">
        <v>45</v>
      </c>
      <c r="G761">
        <v>0</v>
      </c>
    </row>
    <row r="762" spans="1:7" x14ac:dyDescent="0.2">
      <c r="A762" t="s">
        <v>851</v>
      </c>
      <c r="B762" t="s">
        <v>129</v>
      </c>
      <c r="C762" t="s">
        <v>130</v>
      </c>
      <c r="D762" t="s">
        <v>46</v>
      </c>
      <c r="G762">
        <v>334</v>
      </c>
    </row>
    <row r="763" spans="1:7" x14ac:dyDescent="0.2">
      <c r="A763" t="s">
        <v>851</v>
      </c>
      <c r="B763" t="s">
        <v>602</v>
      </c>
      <c r="C763" t="s">
        <v>603</v>
      </c>
      <c r="D763" t="s">
        <v>8</v>
      </c>
      <c r="G763">
        <v>6232</v>
      </c>
    </row>
    <row r="764" spans="1:7" x14ac:dyDescent="0.2">
      <c r="A764" t="s">
        <v>851</v>
      </c>
      <c r="B764" t="s">
        <v>602</v>
      </c>
      <c r="C764" t="s">
        <v>603</v>
      </c>
      <c r="D764" t="s">
        <v>604</v>
      </c>
      <c r="E764" t="s">
        <v>605</v>
      </c>
      <c r="F764" t="s">
        <v>28</v>
      </c>
      <c r="G764">
        <v>700</v>
      </c>
    </row>
    <row r="765" spans="1:7" x14ac:dyDescent="0.2">
      <c r="A765" t="s">
        <v>851</v>
      </c>
      <c r="B765" t="s">
        <v>602</v>
      </c>
      <c r="C765" t="s">
        <v>603</v>
      </c>
      <c r="D765" t="s">
        <v>606</v>
      </c>
      <c r="E765" t="s">
        <v>607</v>
      </c>
      <c r="F765" t="s">
        <v>22</v>
      </c>
      <c r="G765">
        <v>5261</v>
      </c>
    </row>
    <row r="766" spans="1:7" x14ac:dyDescent="0.2">
      <c r="A766" t="s">
        <v>851</v>
      </c>
      <c r="B766" t="s">
        <v>602</v>
      </c>
      <c r="C766" t="s">
        <v>603</v>
      </c>
      <c r="D766" t="s">
        <v>45</v>
      </c>
      <c r="G766">
        <v>0</v>
      </c>
    </row>
    <row r="767" spans="1:7" x14ac:dyDescent="0.2">
      <c r="A767" t="s">
        <v>851</v>
      </c>
      <c r="B767" t="s">
        <v>602</v>
      </c>
      <c r="C767" t="s">
        <v>603</v>
      </c>
      <c r="D767" t="s">
        <v>46</v>
      </c>
      <c r="G767">
        <v>271</v>
      </c>
    </row>
    <row r="768" spans="1:7" x14ac:dyDescent="0.2">
      <c r="A768" t="s">
        <v>851</v>
      </c>
      <c r="B768" t="s">
        <v>608</v>
      </c>
      <c r="C768" t="s">
        <v>609</v>
      </c>
      <c r="D768" t="s">
        <v>8</v>
      </c>
      <c r="G768">
        <v>2835</v>
      </c>
    </row>
    <row r="769" spans="1:7" x14ac:dyDescent="0.2">
      <c r="A769" t="s">
        <v>851</v>
      </c>
      <c r="B769" t="s">
        <v>608</v>
      </c>
      <c r="C769" t="s">
        <v>609</v>
      </c>
      <c r="D769" t="s">
        <v>610</v>
      </c>
      <c r="E769" t="s">
        <v>611</v>
      </c>
      <c r="F769" t="s">
        <v>22</v>
      </c>
      <c r="G769">
        <v>2595</v>
      </c>
    </row>
    <row r="770" spans="1:7" x14ac:dyDescent="0.2">
      <c r="A770" t="s">
        <v>851</v>
      </c>
      <c r="B770" t="s">
        <v>608</v>
      </c>
      <c r="C770" t="s">
        <v>609</v>
      </c>
      <c r="D770" t="s">
        <v>45</v>
      </c>
      <c r="G770">
        <v>0</v>
      </c>
    </row>
    <row r="771" spans="1:7" x14ac:dyDescent="0.2">
      <c r="A771" t="s">
        <v>851</v>
      </c>
      <c r="B771" t="s">
        <v>608</v>
      </c>
      <c r="C771" t="s">
        <v>609</v>
      </c>
      <c r="D771" t="s">
        <v>46</v>
      </c>
      <c r="G771">
        <v>240</v>
      </c>
    </row>
    <row r="772" spans="1:7" x14ac:dyDescent="0.2">
      <c r="A772" t="s">
        <v>851</v>
      </c>
      <c r="B772" t="s">
        <v>678</v>
      </c>
      <c r="C772" t="s">
        <v>679</v>
      </c>
      <c r="D772" t="s">
        <v>8</v>
      </c>
      <c r="G772">
        <v>9067</v>
      </c>
    </row>
    <row r="773" spans="1:7" x14ac:dyDescent="0.2">
      <c r="A773" t="s">
        <v>851</v>
      </c>
      <c r="B773" t="s">
        <v>678</v>
      </c>
      <c r="C773" t="s">
        <v>679</v>
      </c>
      <c r="D773" t="s">
        <v>680</v>
      </c>
      <c r="E773" t="s">
        <v>681</v>
      </c>
      <c r="F773" t="s">
        <v>22</v>
      </c>
      <c r="G773">
        <v>7376</v>
      </c>
    </row>
    <row r="774" spans="1:7" x14ac:dyDescent="0.2">
      <c r="A774" t="s">
        <v>851</v>
      </c>
      <c r="B774" t="s">
        <v>678</v>
      </c>
      <c r="C774" t="s">
        <v>679</v>
      </c>
      <c r="D774" t="s">
        <v>682</v>
      </c>
      <c r="E774" t="s">
        <v>683</v>
      </c>
      <c r="F774" t="s">
        <v>11</v>
      </c>
      <c r="G774">
        <v>1159</v>
      </c>
    </row>
    <row r="775" spans="1:7" x14ac:dyDescent="0.2">
      <c r="A775" t="s">
        <v>851</v>
      </c>
      <c r="B775" t="s">
        <v>678</v>
      </c>
      <c r="C775" t="s">
        <v>679</v>
      </c>
      <c r="D775" t="s">
        <v>45</v>
      </c>
      <c r="G775">
        <v>0</v>
      </c>
    </row>
    <row r="776" spans="1:7" x14ac:dyDescent="0.2">
      <c r="A776" t="s">
        <v>851</v>
      </c>
      <c r="B776" t="s">
        <v>678</v>
      </c>
      <c r="C776" t="s">
        <v>679</v>
      </c>
      <c r="D776" t="s">
        <v>46</v>
      </c>
      <c r="G776">
        <v>532</v>
      </c>
    </row>
    <row r="777" spans="1:7" x14ac:dyDescent="0.2">
      <c r="A777" t="s">
        <v>851</v>
      </c>
      <c r="B777" t="s">
        <v>692</v>
      </c>
      <c r="C777" t="s">
        <v>693</v>
      </c>
      <c r="D777" t="s">
        <v>8</v>
      </c>
      <c r="G777">
        <v>9067</v>
      </c>
    </row>
    <row r="778" spans="1:7" x14ac:dyDescent="0.2">
      <c r="A778" t="s">
        <v>851</v>
      </c>
      <c r="B778" t="s">
        <v>692</v>
      </c>
      <c r="C778" t="s">
        <v>693</v>
      </c>
      <c r="D778" t="s">
        <v>694</v>
      </c>
      <c r="E778" t="s">
        <v>695</v>
      </c>
      <c r="G778">
        <v>6300</v>
      </c>
    </row>
    <row r="779" spans="1:7" x14ac:dyDescent="0.2">
      <c r="A779" t="s">
        <v>851</v>
      </c>
      <c r="B779" t="s">
        <v>692</v>
      </c>
      <c r="C779" t="s">
        <v>693</v>
      </c>
      <c r="D779" t="s">
        <v>696</v>
      </c>
      <c r="E779" t="s">
        <v>697</v>
      </c>
      <c r="G779">
        <v>1357</v>
      </c>
    </row>
    <row r="780" spans="1:7" x14ac:dyDescent="0.2">
      <c r="A780" t="s">
        <v>851</v>
      </c>
      <c r="B780" t="s">
        <v>692</v>
      </c>
      <c r="C780" t="s">
        <v>693</v>
      </c>
      <c r="D780" t="s">
        <v>45</v>
      </c>
      <c r="G780">
        <v>3</v>
      </c>
    </row>
    <row r="781" spans="1:7" x14ac:dyDescent="0.2">
      <c r="A781" t="s">
        <v>851</v>
      </c>
      <c r="B781" t="s">
        <v>692</v>
      </c>
      <c r="C781" t="s">
        <v>693</v>
      </c>
      <c r="D781" t="s">
        <v>46</v>
      </c>
      <c r="G781">
        <v>1407</v>
      </c>
    </row>
    <row r="782" spans="1:7" x14ac:dyDescent="0.2">
      <c r="A782" t="s">
        <v>851</v>
      </c>
      <c r="B782" t="s">
        <v>698</v>
      </c>
      <c r="C782" t="s">
        <v>699</v>
      </c>
      <c r="D782" t="s">
        <v>8</v>
      </c>
      <c r="G782">
        <v>9067</v>
      </c>
    </row>
    <row r="783" spans="1:7" x14ac:dyDescent="0.2">
      <c r="A783" t="s">
        <v>851</v>
      </c>
      <c r="B783" t="s">
        <v>698</v>
      </c>
      <c r="C783" t="s">
        <v>699</v>
      </c>
      <c r="D783" t="s">
        <v>694</v>
      </c>
      <c r="E783" t="s">
        <v>700</v>
      </c>
      <c r="G783">
        <v>6271</v>
      </c>
    </row>
    <row r="784" spans="1:7" x14ac:dyDescent="0.2">
      <c r="A784" t="s">
        <v>851</v>
      </c>
      <c r="B784" t="s">
        <v>698</v>
      </c>
      <c r="C784" t="s">
        <v>699</v>
      </c>
      <c r="D784" t="s">
        <v>696</v>
      </c>
      <c r="E784" t="s">
        <v>701</v>
      </c>
      <c r="G784">
        <v>1348</v>
      </c>
    </row>
    <row r="785" spans="1:7" x14ac:dyDescent="0.2">
      <c r="A785" t="s">
        <v>851</v>
      </c>
      <c r="B785" t="s">
        <v>698</v>
      </c>
      <c r="C785" t="s">
        <v>699</v>
      </c>
      <c r="D785" t="s">
        <v>45</v>
      </c>
      <c r="G785">
        <v>3</v>
      </c>
    </row>
    <row r="786" spans="1:7" x14ac:dyDescent="0.2">
      <c r="A786" t="s">
        <v>851</v>
      </c>
      <c r="B786" t="s">
        <v>698</v>
      </c>
      <c r="C786" t="s">
        <v>699</v>
      </c>
      <c r="D786" t="s">
        <v>46</v>
      </c>
      <c r="G786">
        <v>1445</v>
      </c>
    </row>
    <row r="787" spans="1:7" x14ac:dyDescent="0.2">
      <c r="A787" t="s">
        <v>851</v>
      </c>
      <c r="B787" t="s">
        <v>794</v>
      </c>
      <c r="C787" t="s">
        <v>795</v>
      </c>
      <c r="D787" t="s">
        <v>8</v>
      </c>
      <c r="G787">
        <v>9067</v>
      </c>
    </row>
    <row r="788" spans="1:7" x14ac:dyDescent="0.2">
      <c r="A788" t="s">
        <v>851</v>
      </c>
      <c r="B788" t="s">
        <v>794</v>
      </c>
      <c r="C788" t="s">
        <v>795</v>
      </c>
      <c r="D788" t="s">
        <v>694</v>
      </c>
      <c r="E788" t="s">
        <v>796</v>
      </c>
      <c r="G788">
        <v>6334</v>
      </c>
    </row>
    <row r="789" spans="1:7" x14ac:dyDescent="0.2">
      <c r="A789" t="s">
        <v>851</v>
      </c>
      <c r="B789" t="s">
        <v>794</v>
      </c>
      <c r="C789" t="s">
        <v>795</v>
      </c>
      <c r="D789" t="s">
        <v>696</v>
      </c>
      <c r="E789" t="s">
        <v>797</v>
      </c>
      <c r="G789">
        <v>1392</v>
      </c>
    </row>
    <row r="790" spans="1:7" x14ac:dyDescent="0.2">
      <c r="A790" t="s">
        <v>851</v>
      </c>
      <c r="B790" t="s">
        <v>794</v>
      </c>
      <c r="C790" t="s">
        <v>795</v>
      </c>
      <c r="D790" t="s">
        <v>45</v>
      </c>
      <c r="G790">
        <v>5</v>
      </c>
    </row>
    <row r="791" spans="1:7" x14ac:dyDescent="0.2">
      <c r="A791" t="s">
        <v>851</v>
      </c>
      <c r="B791" t="s">
        <v>794</v>
      </c>
      <c r="C791" t="s">
        <v>795</v>
      </c>
      <c r="D791" t="s">
        <v>46</v>
      </c>
      <c r="G791">
        <v>1336</v>
      </c>
    </row>
    <row r="792" spans="1:7" x14ac:dyDescent="0.2">
      <c r="A792" t="s">
        <v>851</v>
      </c>
      <c r="B792" t="s">
        <v>798</v>
      </c>
      <c r="C792" t="s">
        <v>799</v>
      </c>
      <c r="D792" t="s">
        <v>8</v>
      </c>
      <c r="G792">
        <v>9067</v>
      </c>
    </row>
    <row r="793" spans="1:7" x14ac:dyDescent="0.2">
      <c r="A793" t="s">
        <v>851</v>
      </c>
      <c r="B793" t="s">
        <v>798</v>
      </c>
      <c r="C793" t="s">
        <v>799</v>
      </c>
      <c r="D793" t="s">
        <v>694</v>
      </c>
      <c r="E793" t="s">
        <v>800</v>
      </c>
      <c r="G793">
        <v>6418</v>
      </c>
    </row>
    <row r="794" spans="1:7" x14ac:dyDescent="0.2">
      <c r="A794" t="s">
        <v>851</v>
      </c>
      <c r="B794" t="s">
        <v>798</v>
      </c>
      <c r="C794" t="s">
        <v>799</v>
      </c>
      <c r="D794" t="s">
        <v>696</v>
      </c>
      <c r="E794" t="s">
        <v>801</v>
      </c>
      <c r="G794">
        <v>1303</v>
      </c>
    </row>
    <row r="795" spans="1:7" x14ac:dyDescent="0.2">
      <c r="A795" t="s">
        <v>851</v>
      </c>
      <c r="B795" t="s">
        <v>798</v>
      </c>
      <c r="C795" t="s">
        <v>799</v>
      </c>
      <c r="D795" t="s">
        <v>45</v>
      </c>
      <c r="G795">
        <v>0</v>
      </c>
    </row>
    <row r="796" spans="1:7" x14ac:dyDescent="0.2">
      <c r="A796" t="s">
        <v>851</v>
      </c>
      <c r="B796" t="s">
        <v>798</v>
      </c>
      <c r="C796" t="s">
        <v>799</v>
      </c>
      <c r="D796" t="s">
        <v>46</v>
      </c>
      <c r="G796">
        <v>1346</v>
      </c>
    </row>
    <row r="797" spans="1:7" x14ac:dyDescent="0.2">
      <c r="A797" t="s">
        <v>851</v>
      </c>
      <c r="B797" t="s">
        <v>834</v>
      </c>
      <c r="C797" t="s">
        <v>835</v>
      </c>
      <c r="D797" t="s">
        <v>8</v>
      </c>
      <c r="G797">
        <v>9067</v>
      </c>
    </row>
    <row r="798" spans="1:7" x14ac:dyDescent="0.2">
      <c r="A798" t="s">
        <v>851</v>
      </c>
      <c r="B798" t="s">
        <v>834</v>
      </c>
      <c r="C798" t="s">
        <v>835</v>
      </c>
      <c r="D798" t="s">
        <v>836</v>
      </c>
      <c r="E798" t="s">
        <v>837</v>
      </c>
      <c r="G798">
        <v>5187</v>
      </c>
    </row>
    <row r="799" spans="1:7" x14ac:dyDescent="0.2">
      <c r="A799" t="s">
        <v>851</v>
      </c>
      <c r="B799" t="s">
        <v>834</v>
      </c>
      <c r="C799" t="s">
        <v>835</v>
      </c>
      <c r="D799" t="s">
        <v>838</v>
      </c>
      <c r="E799" t="s">
        <v>839</v>
      </c>
      <c r="G799">
        <v>3257</v>
      </c>
    </row>
    <row r="800" spans="1:7" x14ac:dyDescent="0.2">
      <c r="A800" t="s">
        <v>851</v>
      </c>
      <c r="B800" t="s">
        <v>834</v>
      </c>
      <c r="C800" t="s">
        <v>835</v>
      </c>
      <c r="D800" t="s">
        <v>45</v>
      </c>
      <c r="G800">
        <v>2</v>
      </c>
    </row>
    <row r="801" spans="1:7" x14ac:dyDescent="0.2">
      <c r="A801" t="s">
        <v>851</v>
      </c>
      <c r="B801" t="s">
        <v>834</v>
      </c>
      <c r="C801" t="s">
        <v>835</v>
      </c>
      <c r="D801" t="s">
        <v>46</v>
      </c>
      <c r="G801">
        <v>621</v>
      </c>
    </row>
    <row r="802" spans="1:7" x14ac:dyDescent="0.2">
      <c r="A802" t="s">
        <v>851</v>
      </c>
      <c r="B802" t="s">
        <v>840</v>
      </c>
      <c r="C802" t="s">
        <v>841</v>
      </c>
      <c r="D802" t="s">
        <v>8</v>
      </c>
      <c r="G802">
        <v>9067</v>
      </c>
    </row>
    <row r="803" spans="1:7" x14ac:dyDescent="0.2">
      <c r="A803" t="s">
        <v>851</v>
      </c>
      <c r="B803" t="s">
        <v>840</v>
      </c>
      <c r="C803" t="s">
        <v>841</v>
      </c>
      <c r="D803" t="s">
        <v>836</v>
      </c>
      <c r="E803" t="s">
        <v>842</v>
      </c>
      <c r="G803">
        <v>7565</v>
      </c>
    </row>
    <row r="804" spans="1:7" x14ac:dyDescent="0.2">
      <c r="A804" t="s">
        <v>851</v>
      </c>
      <c r="B804" t="s">
        <v>840</v>
      </c>
      <c r="C804" t="s">
        <v>841</v>
      </c>
      <c r="D804" t="s">
        <v>838</v>
      </c>
      <c r="E804" t="s">
        <v>843</v>
      </c>
      <c r="G804">
        <v>991</v>
      </c>
    </row>
    <row r="805" spans="1:7" x14ac:dyDescent="0.2">
      <c r="A805" t="s">
        <v>851</v>
      </c>
      <c r="B805" t="s">
        <v>840</v>
      </c>
      <c r="C805" t="s">
        <v>841</v>
      </c>
      <c r="D805" t="s">
        <v>45</v>
      </c>
      <c r="G805">
        <v>2</v>
      </c>
    </row>
    <row r="806" spans="1:7" x14ac:dyDescent="0.2">
      <c r="A806" t="s">
        <v>851</v>
      </c>
      <c r="B806" t="s">
        <v>840</v>
      </c>
      <c r="C806" t="s">
        <v>841</v>
      </c>
      <c r="D806" t="s">
        <v>46</v>
      </c>
      <c r="G806">
        <v>509</v>
      </c>
    </row>
    <row r="807" spans="1:7" x14ac:dyDescent="0.2">
      <c r="A807" t="s">
        <v>852</v>
      </c>
      <c r="B807" t="s">
        <v>6</v>
      </c>
      <c r="C807" t="s">
        <v>7</v>
      </c>
      <c r="D807" t="s">
        <v>8</v>
      </c>
      <c r="G807">
        <v>5077</v>
      </c>
    </row>
    <row r="808" spans="1:7" x14ac:dyDescent="0.2">
      <c r="A808" t="s">
        <v>852</v>
      </c>
      <c r="B808" t="s">
        <v>6</v>
      </c>
      <c r="C808" t="s">
        <v>7</v>
      </c>
      <c r="D808" t="s">
        <v>9</v>
      </c>
      <c r="E808" t="s">
        <v>10</v>
      </c>
      <c r="F808" t="s">
        <v>11</v>
      </c>
      <c r="G808">
        <v>3</v>
      </c>
    </row>
    <row r="809" spans="1:7" x14ac:dyDescent="0.2">
      <c r="A809" t="s">
        <v>852</v>
      </c>
      <c r="B809" t="s">
        <v>6</v>
      </c>
      <c r="C809" t="s">
        <v>7</v>
      </c>
      <c r="D809" t="s">
        <v>12</v>
      </c>
      <c r="E809" t="s">
        <v>13</v>
      </c>
      <c r="F809" t="s">
        <v>11</v>
      </c>
      <c r="G809">
        <v>5</v>
      </c>
    </row>
    <row r="810" spans="1:7" x14ac:dyDescent="0.2">
      <c r="A810" t="s">
        <v>852</v>
      </c>
      <c r="B810" t="s">
        <v>6</v>
      </c>
      <c r="C810" t="s">
        <v>7</v>
      </c>
      <c r="D810" t="s">
        <v>14</v>
      </c>
      <c r="E810" t="s">
        <v>15</v>
      </c>
      <c r="F810" t="s">
        <v>16</v>
      </c>
      <c r="G810">
        <v>17</v>
      </c>
    </row>
    <row r="811" spans="1:7" x14ac:dyDescent="0.2">
      <c r="A811" t="s">
        <v>852</v>
      </c>
      <c r="B811" t="s">
        <v>6</v>
      </c>
      <c r="C811" t="s">
        <v>7</v>
      </c>
      <c r="D811" t="s">
        <v>17</v>
      </c>
      <c r="E811" t="s">
        <v>18</v>
      </c>
      <c r="F811" t="s">
        <v>19</v>
      </c>
      <c r="G811">
        <v>8</v>
      </c>
    </row>
    <row r="812" spans="1:7" x14ac:dyDescent="0.2">
      <c r="A812" t="s">
        <v>852</v>
      </c>
      <c r="B812" t="s">
        <v>6</v>
      </c>
      <c r="C812" t="s">
        <v>7</v>
      </c>
      <c r="D812" t="s">
        <v>20</v>
      </c>
      <c r="E812" t="s">
        <v>21</v>
      </c>
      <c r="F812" t="s">
        <v>22</v>
      </c>
      <c r="G812">
        <v>4341</v>
      </c>
    </row>
    <row r="813" spans="1:7" x14ac:dyDescent="0.2">
      <c r="A813" t="s">
        <v>852</v>
      </c>
      <c r="B813" t="s">
        <v>6</v>
      </c>
      <c r="C813" t="s">
        <v>7</v>
      </c>
      <c r="D813" t="s">
        <v>23</v>
      </c>
      <c r="E813" t="s">
        <v>24</v>
      </c>
      <c r="F813" t="s">
        <v>25</v>
      </c>
      <c r="G813">
        <v>32</v>
      </c>
    </row>
    <row r="814" spans="1:7" x14ac:dyDescent="0.2">
      <c r="A814" t="s">
        <v>852</v>
      </c>
      <c r="B814" t="s">
        <v>6</v>
      </c>
      <c r="C814" t="s">
        <v>7</v>
      </c>
      <c r="D814" t="s">
        <v>26</v>
      </c>
      <c r="E814" t="s">
        <v>27</v>
      </c>
      <c r="F814" t="s">
        <v>28</v>
      </c>
      <c r="G814">
        <v>603</v>
      </c>
    </row>
    <row r="815" spans="1:7" x14ac:dyDescent="0.2">
      <c r="A815" t="s">
        <v>852</v>
      </c>
      <c r="B815" t="s">
        <v>6</v>
      </c>
      <c r="C815" t="s">
        <v>7</v>
      </c>
      <c r="D815" t="s">
        <v>29</v>
      </c>
      <c r="E815" t="s">
        <v>30</v>
      </c>
      <c r="F815" t="s">
        <v>11</v>
      </c>
      <c r="G815">
        <v>2</v>
      </c>
    </row>
    <row r="816" spans="1:7" x14ac:dyDescent="0.2">
      <c r="A816" t="s">
        <v>852</v>
      </c>
      <c r="B816" t="s">
        <v>6</v>
      </c>
      <c r="C816" t="s">
        <v>7</v>
      </c>
      <c r="D816" t="s">
        <v>31</v>
      </c>
      <c r="E816" t="s">
        <v>32</v>
      </c>
      <c r="F816" t="s">
        <v>11</v>
      </c>
      <c r="G816">
        <v>0</v>
      </c>
    </row>
    <row r="817" spans="1:7" x14ac:dyDescent="0.2">
      <c r="A817" t="s">
        <v>852</v>
      </c>
      <c r="B817" t="s">
        <v>6</v>
      </c>
      <c r="C817" t="s">
        <v>7</v>
      </c>
      <c r="D817" t="s">
        <v>33</v>
      </c>
      <c r="E817" t="s">
        <v>34</v>
      </c>
      <c r="F817" t="s">
        <v>11</v>
      </c>
      <c r="G817">
        <v>0</v>
      </c>
    </row>
    <row r="818" spans="1:7" x14ac:dyDescent="0.2">
      <c r="A818" t="s">
        <v>852</v>
      </c>
      <c r="B818" t="s">
        <v>6</v>
      </c>
      <c r="C818" t="s">
        <v>7</v>
      </c>
      <c r="D818" t="s">
        <v>35</v>
      </c>
      <c r="E818" t="s">
        <v>36</v>
      </c>
      <c r="F818" t="s">
        <v>11</v>
      </c>
      <c r="G818">
        <v>0</v>
      </c>
    </row>
    <row r="819" spans="1:7" x14ac:dyDescent="0.2">
      <c r="A819" t="s">
        <v>852</v>
      </c>
      <c r="B819" t="s">
        <v>6</v>
      </c>
      <c r="C819" t="s">
        <v>7</v>
      </c>
      <c r="D819" t="s">
        <v>37</v>
      </c>
      <c r="E819" t="s">
        <v>38</v>
      </c>
      <c r="F819" t="s">
        <v>11</v>
      </c>
      <c r="G819">
        <v>0</v>
      </c>
    </row>
    <row r="820" spans="1:7" x14ac:dyDescent="0.2">
      <c r="A820" t="s">
        <v>852</v>
      </c>
      <c r="B820" t="s">
        <v>6</v>
      </c>
      <c r="C820" t="s">
        <v>7</v>
      </c>
      <c r="D820" t="s">
        <v>39</v>
      </c>
      <c r="E820" t="s">
        <v>40</v>
      </c>
      <c r="F820" t="s">
        <v>11</v>
      </c>
      <c r="G820">
        <v>0</v>
      </c>
    </row>
    <row r="821" spans="1:7" x14ac:dyDescent="0.2">
      <c r="A821" t="s">
        <v>852</v>
      </c>
      <c r="B821" t="s">
        <v>6</v>
      </c>
      <c r="C821" t="s">
        <v>7</v>
      </c>
      <c r="D821" t="s">
        <v>41</v>
      </c>
      <c r="E821" t="s">
        <v>42</v>
      </c>
      <c r="F821" t="s">
        <v>11</v>
      </c>
      <c r="G821">
        <v>0</v>
      </c>
    </row>
    <row r="822" spans="1:7" x14ac:dyDescent="0.2">
      <c r="A822" t="s">
        <v>852</v>
      </c>
      <c r="B822" t="s">
        <v>6</v>
      </c>
      <c r="C822" t="s">
        <v>7</v>
      </c>
      <c r="D822" t="s">
        <v>43</v>
      </c>
      <c r="E822" t="s">
        <v>44</v>
      </c>
      <c r="F822" t="s">
        <v>11</v>
      </c>
      <c r="G822">
        <v>0</v>
      </c>
    </row>
    <row r="823" spans="1:7" x14ac:dyDescent="0.2">
      <c r="A823" t="s">
        <v>852</v>
      </c>
      <c r="B823" t="s">
        <v>6</v>
      </c>
      <c r="C823" t="s">
        <v>7</v>
      </c>
      <c r="D823" t="s">
        <v>45</v>
      </c>
      <c r="G823">
        <v>3</v>
      </c>
    </row>
    <row r="824" spans="1:7" x14ac:dyDescent="0.2">
      <c r="A824" t="s">
        <v>852</v>
      </c>
      <c r="B824" t="s">
        <v>6</v>
      </c>
      <c r="C824" t="s">
        <v>7</v>
      </c>
      <c r="D824" t="s">
        <v>46</v>
      </c>
      <c r="G824">
        <v>37</v>
      </c>
    </row>
    <row r="825" spans="1:7" x14ac:dyDescent="0.2">
      <c r="A825" t="s">
        <v>852</v>
      </c>
      <c r="B825" t="s">
        <v>47</v>
      </c>
      <c r="C825" t="s">
        <v>48</v>
      </c>
      <c r="D825" t="s">
        <v>8</v>
      </c>
      <c r="G825">
        <v>5077</v>
      </c>
    </row>
    <row r="826" spans="1:7" x14ac:dyDescent="0.2">
      <c r="A826" t="s">
        <v>852</v>
      </c>
      <c r="B826" t="s">
        <v>47</v>
      </c>
      <c r="C826" t="s">
        <v>48</v>
      </c>
      <c r="D826" t="s">
        <v>49</v>
      </c>
      <c r="E826" t="s">
        <v>50</v>
      </c>
      <c r="F826" t="s">
        <v>51</v>
      </c>
      <c r="G826">
        <v>262</v>
      </c>
    </row>
    <row r="827" spans="1:7" x14ac:dyDescent="0.2">
      <c r="A827" t="s">
        <v>852</v>
      </c>
      <c r="B827" t="s">
        <v>47</v>
      </c>
      <c r="C827" t="s">
        <v>48</v>
      </c>
      <c r="D827" t="s">
        <v>52</v>
      </c>
      <c r="E827" t="s">
        <v>53</v>
      </c>
      <c r="F827" t="s">
        <v>22</v>
      </c>
      <c r="G827">
        <v>4200</v>
      </c>
    </row>
    <row r="828" spans="1:7" x14ac:dyDescent="0.2">
      <c r="A828" t="s">
        <v>852</v>
      </c>
      <c r="B828" t="s">
        <v>47</v>
      </c>
      <c r="C828" t="s">
        <v>48</v>
      </c>
      <c r="D828" t="s">
        <v>54</v>
      </c>
      <c r="E828" t="s">
        <v>55</v>
      </c>
      <c r="F828" t="s">
        <v>28</v>
      </c>
      <c r="G828">
        <v>474</v>
      </c>
    </row>
    <row r="829" spans="1:7" x14ac:dyDescent="0.2">
      <c r="A829" t="s">
        <v>852</v>
      </c>
      <c r="B829" t="s">
        <v>47</v>
      </c>
      <c r="C829" t="s">
        <v>48</v>
      </c>
      <c r="D829" t="s">
        <v>56</v>
      </c>
      <c r="E829" t="s">
        <v>57</v>
      </c>
      <c r="F829" t="s">
        <v>11</v>
      </c>
      <c r="G829">
        <v>0</v>
      </c>
    </row>
    <row r="830" spans="1:7" x14ac:dyDescent="0.2">
      <c r="A830" t="s">
        <v>852</v>
      </c>
      <c r="B830" t="s">
        <v>47</v>
      </c>
      <c r="C830" t="s">
        <v>48</v>
      </c>
      <c r="D830" t="s">
        <v>45</v>
      </c>
      <c r="G830">
        <v>4</v>
      </c>
    </row>
    <row r="831" spans="1:7" x14ac:dyDescent="0.2">
      <c r="A831" t="s">
        <v>852</v>
      </c>
      <c r="B831" t="s">
        <v>47</v>
      </c>
      <c r="C831" t="s">
        <v>48</v>
      </c>
      <c r="D831" t="s">
        <v>46</v>
      </c>
      <c r="G831">
        <v>109</v>
      </c>
    </row>
    <row r="832" spans="1:7" x14ac:dyDescent="0.2">
      <c r="A832" t="s">
        <v>852</v>
      </c>
      <c r="B832" t="s">
        <v>76</v>
      </c>
      <c r="C832" t="s">
        <v>77</v>
      </c>
      <c r="D832" t="s">
        <v>8</v>
      </c>
      <c r="G832">
        <v>5077</v>
      </c>
    </row>
    <row r="833" spans="1:7" x14ac:dyDescent="0.2">
      <c r="A833" t="s">
        <v>852</v>
      </c>
      <c r="B833" t="s">
        <v>76</v>
      </c>
      <c r="C833" t="s">
        <v>77</v>
      </c>
      <c r="D833" t="s">
        <v>78</v>
      </c>
      <c r="E833" t="s">
        <v>79</v>
      </c>
      <c r="F833" t="s">
        <v>22</v>
      </c>
      <c r="G833">
        <v>4323</v>
      </c>
    </row>
    <row r="834" spans="1:7" x14ac:dyDescent="0.2">
      <c r="A834" t="s">
        <v>852</v>
      </c>
      <c r="B834" t="s">
        <v>76</v>
      </c>
      <c r="C834" t="s">
        <v>77</v>
      </c>
      <c r="D834" t="s">
        <v>80</v>
      </c>
      <c r="E834" t="s">
        <v>81</v>
      </c>
      <c r="F834" t="s">
        <v>28</v>
      </c>
      <c r="G834">
        <v>554</v>
      </c>
    </row>
    <row r="835" spans="1:7" x14ac:dyDescent="0.2">
      <c r="A835" t="s">
        <v>852</v>
      </c>
      <c r="B835" t="s">
        <v>76</v>
      </c>
      <c r="C835" t="s">
        <v>77</v>
      </c>
      <c r="D835" t="s">
        <v>45</v>
      </c>
      <c r="G835">
        <v>2</v>
      </c>
    </row>
    <row r="836" spans="1:7" x14ac:dyDescent="0.2">
      <c r="A836" t="s">
        <v>852</v>
      </c>
      <c r="B836" t="s">
        <v>76</v>
      </c>
      <c r="C836" t="s">
        <v>77</v>
      </c>
      <c r="D836" t="s">
        <v>46</v>
      </c>
      <c r="G836">
        <v>198</v>
      </c>
    </row>
    <row r="837" spans="1:7" x14ac:dyDescent="0.2">
      <c r="A837" t="s">
        <v>852</v>
      </c>
      <c r="B837" t="s">
        <v>93</v>
      </c>
      <c r="C837" t="s">
        <v>94</v>
      </c>
      <c r="D837" t="s">
        <v>8</v>
      </c>
      <c r="G837">
        <v>5077</v>
      </c>
    </row>
    <row r="838" spans="1:7" x14ac:dyDescent="0.2">
      <c r="A838" t="s">
        <v>852</v>
      </c>
      <c r="B838" t="s">
        <v>93</v>
      </c>
      <c r="C838" t="s">
        <v>94</v>
      </c>
      <c r="D838" t="s">
        <v>95</v>
      </c>
      <c r="E838" t="s">
        <v>96</v>
      </c>
      <c r="F838" t="s">
        <v>22</v>
      </c>
      <c r="G838">
        <v>3256</v>
      </c>
    </row>
    <row r="839" spans="1:7" x14ac:dyDescent="0.2">
      <c r="A839" t="s">
        <v>852</v>
      </c>
      <c r="B839" t="s">
        <v>93</v>
      </c>
      <c r="C839" t="s">
        <v>94</v>
      </c>
      <c r="D839" t="s">
        <v>97</v>
      </c>
      <c r="E839" t="s">
        <v>98</v>
      </c>
      <c r="F839" t="s">
        <v>51</v>
      </c>
      <c r="G839">
        <v>112</v>
      </c>
    </row>
    <row r="840" spans="1:7" x14ac:dyDescent="0.2">
      <c r="A840" t="s">
        <v>852</v>
      </c>
      <c r="B840" t="s">
        <v>93</v>
      </c>
      <c r="C840" t="s">
        <v>94</v>
      </c>
      <c r="D840" t="s">
        <v>99</v>
      </c>
      <c r="E840" t="s">
        <v>100</v>
      </c>
      <c r="F840" t="s">
        <v>28</v>
      </c>
      <c r="G840">
        <v>469</v>
      </c>
    </row>
    <row r="841" spans="1:7" x14ac:dyDescent="0.2">
      <c r="A841" t="s">
        <v>852</v>
      </c>
      <c r="B841" t="s">
        <v>93</v>
      </c>
      <c r="C841" t="s">
        <v>94</v>
      </c>
      <c r="D841" t="s">
        <v>101</v>
      </c>
      <c r="E841" t="s">
        <v>102</v>
      </c>
      <c r="F841" t="s">
        <v>25</v>
      </c>
      <c r="G841">
        <v>108</v>
      </c>
    </row>
    <row r="842" spans="1:7" x14ac:dyDescent="0.2">
      <c r="A842" t="s">
        <v>852</v>
      </c>
      <c r="B842" t="s">
        <v>93</v>
      </c>
      <c r="C842" t="s">
        <v>94</v>
      </c>
      <c r="D842" t="s">
        <v>103</v>
      </c>
      <c r="E842" t="s">
        <v>104</v>
      </c>
      <c r="F842" t="s">
        <v>11</v>
      </c>
      <c r="G842">
        <v>28</v>
      </c>
    </row>
    <row r="843" spans="1:7" x14ac:dyDescent="0.2">
      <c r="A843" t="s">
        <v>852</v>
      </c>
      <c r="B843" t="s">
        <v>93</v>
      </c>
      <c r="C843" t="s">
        <v>94</v>
      </c>
      <c r="D843" t="s">
        <v>105</v>
      </c>
      <c r="E843" t="s">
        <v>106</v>
      </c>
      <c r="F843" t="s">
        <v>11</v>
      </c>
      <c r="G843">
        <v>955</v>
      </c>
    </row>
    <row r="844" spans="1:7" x14ac:dyDescent="0.2">
      <c r="A844" t="s">
        <v>852</v>
      </c>
      <c r="B844" t="s">
        <v>93</v>
      </c>
      <c r="C844" t="s">
        <v>94</v>
      </c>
      <c r="D844" t="s">
        <v>107</v>
      </c>
      <c r="E844" t="s">
        <v>108</v>
      </c>
      <c r="F844" t="s">
        <v>11</v>
      </c>
      <c r="G844">
        <v>2</v>
      </c>
    </row>
    <row r="845" spans="1:7" x14ac:dyDescent="0.2">
      <c r="A845" t="s">
        <v>852</v>
      </c>
      <c r="B845" t="s">
        <v>93</v>
      </c>
      <c r="C845" t="s">
        <v>94</v>
      </c>
      <c r="D845" t="s">
        <v>45</v>
      </c>
      <c r="G845">
        <v>9</v>
      </c>
    </row>
    <row r="846" spans="1:7" x14ac:dyDescent="0.2">
      <c r="A846" t="s">
        <v>852</v>
      </c>
      <c r="B846" t="s">
        <v>93</v>
      </c>
      <c r="C846" t="s">
        <v>94</v>
      </c>
      <c r="D846" t="s">
        <v>46</v>
      </c>
      <c r="G846">
        <v>125</v>
      </c>
    </row>
    <row r="847" spans="1:7" x14ac:dyDescent="0.2">
      <c r="A847" t="s">
        <v>852</v>
      </c>
      <c r="B847" t="s">
        <v>109</v>
      </c>
      <c r="C847" t="s">
        <v>110</v>
      </c>
      <c r="D847" t="s">
        <v>8</v>
      </c>
      <c r="G847">
        <v>5077</v>
      </c>
    </row>
    <row r="848" spans="1:7" x14ac:dyDescent="0.2">
      <c r="A848" t="s">
        <v>852</v>
      </c>
      <c r="B848" t="s">
        <v>109</v>
      </c>
      <c r="C848" t="s">
        <v>110</v>
      </c>
      <c r="D848" t="s">
        <v>111</v>
      </c>
      <c r="E848" t="s">
        <v>112</v>
      </c>
      <c r="F848" t="s">
        <v>22</v>
      </c>
      <c r="G848">
        <v>4069</v>
      </c>
    </row>
    <row r="849" spans="1:7" x14ac:dyDescent="0.2">
      <c r="A849" t="s">
        <v>852</v>
      </c>
      <c r="B849" t="s">
        <v>109</v>
      </c>
      <c r="C849" t="s">
        <v>110</v>
      </c>
      <c r="D849" t="s">
        <v>113</v>
      </c>
      <c r="E849" t="s">
        <v>114</v>
      </c>
      <c r="F849" t="s">
        <v>28</v>
      </c>
      <c r="G849">
        <v>483</v>
      </c>
    </row>
    <row r="850" spans="1:7" x14ac:dyDescent="0.2">
      <c r="A850" t="s">
        <v>852</v>
      </c>
      <c r="B850" t="s">
        <v>109</v>
      </c>
      <c r="C850" t="s">
        <v>110</v>
      </c>
      <c r="D850" t="s">
        <v>115</v>
      </c>
      <c r="E850" t="s">
        <v>116</v>
      </c>
      <c r="F850" t="s">
        <v>25</v>
      </c>
      <c r="G850">
        <v>140</v>
      </c>
    </row>
    <row r="851" spans="1:7" x14ac:dyDescent="0.2">
      <c r="A851" t="s">
        <v>852</v>
      </c>
      <c r="B851" t="s">
        <v>109</v>
      </c>
      <c r="C851" t="s">
        <v>110</v>
      </c>
      <c r="D851" t="s">
        <v>117</v>
      </c>
      <c r="E851" t="s">
        <v>118</v>
      </c>
      <c r="F851" t="s">
        <v>11</v>
      </c>
      <c r="G851">
        <v>104</v>
      </c>
    </row>
    <row r="852" spans="1:7" x14ac:dyDescent="0.2">
      <c r="A852" t="s">
        <v>852</v>
      </c>
      <c r="B852" t="s">
        <v>109</v>
      </c>
      <c r="C852" t="s">
        <v>110</v>
      </c>
      <c r="D852" t="s">
        <v>119</v>
      </c>
      <c r="E852" t="s">
        <v>120</v>
      </c>
      <c r="F852" t="s">
        <v>88</v>
      </c>
      <c r="G852">
        <v>117</v>
      </c>
    </row>
    <row r="853" spans="1:7" x14ac:dyDescent="0.2">
      <c r="A853" t="s">
        <v>852</v>
      </c>
      <c r="B853" t="s">
        <v>109</v>
      </c>
      <c r="C853" t="s">
        <v>110</v>
      </c>
      <c r="D853" t="s">
        <v>45</v>
      </c>
      <c r="G853">
        <v>3</v>
      </c>
    </row>
    <row r="854" spans="1:7" x14ac:dyDescent="0.2">
      <c r="A854" t="s">
        <v>852</v>
      </c>
      <c r="B854" t="s">
        <v>109</v>
      </c>
      <c r="C854" t="s">
        <v>110</v>
      </c>
      <c r="D854" t="s">
        <v>46</v>
      </c>
      <c r="G854">
        <v>161</v>
      </c>
    </row>
    <row r="855" spans="1:7" x14ac:dyDescent="0.2">
      <c r="A855" t="s">
        <v>852</v>
      </c>
      <c r="B855" t="s">
        <v>121</v>
      </c>
      <c r="C855" t="s">
        <v>122</v>
      </c>
      <c r="D855" t="s">
        <v>8</v>
      </c>
      <c r="G855">
        <v>5077</v>
      </c>
    </row>
    <row r="856" spans="1:7" x14ac:dyDescent="0.2">
      <c r="A856" t="s">
        <v>852</v>
      </c>
      <c r="B856" t="s">
        <v>121</v>
      </c>
      <c r="C856" t="s">
        <v>122</v>
      </c>
      <c r="D856" t="s">
        <v>123</v>
      </c>
      <c r="E856" t="s">
        <v>124</v>
      </c>
      <c r="F856" t="s">
        <v>22</v>
      </c>
      <c r="G856">
        <v>4174</v>
      </c>
    </row>
    <row r="857" spans="1:7" x14ac:dyDescent="0.2">
      <c r="A857" t="s">
        <v>852</v>
      </c>
      <c r="B857" t="s">
        <v>121</v>
      </c>
      <c r="C857" t="s">
        <v>122</v>
      </c>
      <c r="D857" t="s">
        <v>125</v>
      </c>
      <c r="E857" t="s">
        <v>126</v>
      </c>
      <c r="F857" t="s">
        <v>16</v>
      </c>
      <c r="G857">
        <v>204</v>
      </c>
    </row>
    <row r="858" spans="1:7" x14ac:dyDescent="0.2">
      <c r="A858" t="s">
        <v>852</v>
      </c>
      <c r="B858" t="s">
        <v>121</v>
      </c>
      <c r="C858" t="s">
        <v>122</v>
      </c>
      <c r="D858" t="s">
        <v>127</v>
      </c>
      <c r="E858" t="s">
        <v>128</v>
      </c>
      <c r="F858" t="s">
        <v>28</v>
      </c>
      <c r="G858">
        <v>503</v>
      </c>
    </row>
    <row r="859" spans="1:7" x14ac:dyDescent="0.2">
      <c r="A859" t="s">
        <v>852</v>
      </c>
      <c r="B859" t="s">
        <v>121</v>
      </c>
      <c r="C859" t="s">
        <v>122</v>
      </c>
      <c r="D859" t="s">
        <v>45</v>
      </c>
      <c r="G859">
        <v>2</v>
      </c>
    </row>
    <row r="860" spans="1:7" x14ac:dyDescent="0.2">
      <c r="A860" t="s">
        <v>852</v>
      </c>
      <c r="B860" t="s">
        <v>121</v>
      </c>
      <c r="C860" t="s">
        <v>122</v>
      </c>
      <c r="D860" t="s">
        <v>46</v>
      </c>
      <c r="G860">
        <v>194</v>
      </c>
    </row>
    <row r="861" spans="1:7" x14ac:dyDescent="0.2">
      <c r="A861" t="s">
        <v>852</v>
      </c>
      <c r="B861" t="s">
        <v>129</v>
      </c>
      <c r="C861" t="s">
        <v>130</v>
      </c>
      <c r="D861" t="s">
        <v>8</v>
      </c>
      <c r="G861">
        <v>5077</v>
      </c>
    </row>
    <row r="862" spans="1:7" x14ac:dyDescent="0.2">
      <c r="A862" t="s">
        <v>852</v>
      </c>
      <c r="B862" t="s">
        <v>129</v>
      </c>
      <c r="C862" t="s">
        <v>130</v>
      </c>
      <c r="D862" t="s">
        <v>131</v>
      </c>
      <c r="E862" t="s">
        <v>132</v>
      </c>
      <c r="F862" t="s">
        <v>133</v>
      </c>
      <c r="G862">
        <v>124</v>
      </c>
    </row>
    <row r="863" spans="1:7" x14ac:dyDescent="0.2">
      <c r="A863" t="s">
        <v>852</v>
      </c>
      <c r="B863" t="s">
        <v>129</v>
      </c>
      <c r="C863" t="s">
        <v>130</v>
      </c>
      <c r="D863" t="s">
        <v>134</v>
      </c>
      <c r="E863" t="s">
        <v>135</v>
      </c>
      <c r="F863" t="s">
        <v>22</v>
      </c>
      <c r="G863">
        <v>4157</v>
      </c>
    </row>
    <row r="864" spans="1:7" x14ac:dyDescent="0.2">
      <c r="A864" t="s">
        <v>852</v>
      </c>
      <c r="B864" t="s">
        <v>129</v>
      </c>
      <c r="C864" t="s">
        <v>130</v>
      </c>
      <c r="D864" t="s">
        <v>136</v>
      </c>
      <c r="E864" t="s">
        <v>137</v>
      </c>
      <c r="F864" t="s">
        <v>28</v>
      </c>
      <c r="G864">
        <v>582</v>
      </c>
    </row>
    <row r="865" spans="1:7" x14ac:dyDescent="0.2">
      <c r="A865" t="s">
        <v>852</v>
      </c>
      <c r="B865" t="s">
        <v>129</v>
      </c>
      <c r="C865" t="s">
        <v>130</v>
      </c>
      <c r="D865" t="s">
        <v>45</v>
      </c>
      <c r="G865">
        <v>2</v>
      </c>
    </row>
    <row r="866" spans="1:7" x14ac:dyDescent="0.2">
      <c r="A866" t="s">
        <v>852</v>
      </c>
      <c r="B866" t="s">
        <v>129</v>
      </c>
      <c r="C866" t="s">
        <v>130</v>
      </c>
      <c r="D866" t="s">
        <v>46</v>
      </c>
      <c r="G866">
        <v>212</v>
      </c>
    </row>
    <row r="867" spans="1:7" x14ac:dyDescent="0.2">
      <c r="A867" t="s">
        <v>852</v>
      </c>
      <c r="B867" t="s">
        <v>210</v>
      </c>
      <c r="C867" t="s">
        <v>211</v>
      </c>
      <c r="D867" t="s">
        <v>8</v>
      </c>
      <c r="G867">
        <v>5077</v>
      </c>
    </row>
    <row r="868" spans="1:7" x14ac:dyDescent="0.2">
      <c r="A868" t="s">
        <v>852</v>
      </c>
      <c r="B868" t="s">
        <v>210</v>
      </c>
      <c r="C868" t="s">
        <v>211</v>
      </c>
      <c r="D868" t="s">
        <v>212</v>
      </c>
      <c r="E868" t="s">
        <v>213</v>
      </c>
      <c r="F868" t="s">
        <v>11</v>
      </c>
      <c r="G868">
        <v>167</v>
      </c>
    </row>
    <row r="869" spans="1:7" x14ac:dyDescent="0.2">
      <c r="A869" t="s">
        <v>852</v>
      </c>
      <c r="B869" t="s">
        <v>210</v>
      </c>
      <c r="C869" t="s">
        <v>211</v>
      </c>
      <c r="D869" t="s">
        <v>214</v>
      </c>
      <c r="E869" t="s">
        <v>215</v>
      </c>
      <c r="F869" t="s">
        <v>28</v>
      </c>
      <c r="G869">
        <v>468</v>
      </c>
    </row>
    <row r="870" spans="1:7" x14ac:dyDescent="0.2">
      <c r="A870" t="s">
        <v>852</v>
      </c>
      <c r="B870" t="s">
        <v>210</v>
      </c>
      <c r="C870" t="s">
        <v>211</v>
      </c>
      <c r="D870" t="s">
        <v>216</v>
      </c>
      <c r="E870" t="s">
        <v>217</v>
      </c>
      <c r="F870" t="s">
        <v>22</v>
      </c>
      <c r="G870">
        <v>4326</v>
      </c>
    </row>
    <row r="871" spans="1:7" x14ac:dyDescent="0.2">
      <c r="A871" t="s">
        <v>852</v>
      </c>
      <c r="B871" t="s">
        <v>210</v>
      </c>
      <c r="C871" t="s">
        <v>211</v>
      </c>
      <c r="D871" t="s">
        <v>45</v>
      </c>
      <c r="G871">
        <v>2</v>
      </c>
    </row>
    <row r="872" spans="1:7" x14ac:dyDescent="0.2">
      <c r="A872" t="s">
        <v>852</v>
      </c>
      <c r="B872" t="s">
        <v>210</v>
      </c>
      <c r="C872" t="s">
        <v>211</v>
      </c>
      <c r="D872" t="s">
        <v>46</v>
      </c>
      <c r="G872">
        <v>114</v>
      </c>
    </row>
    <row r="873" spans="1:7" x14ac:dyDescent="0.2">
      <c r="A873" t="s">
        <v>852</v>
      </c>
      <c r="B873" t="s">
        <v>602</v>
      </c>
      <c r="C873" t="s">
        <v>603</v>
      </c>
      <c r="D873" t="s">
        <v>8</v>
      </c>
      <c r="G873">
        <v>3701</v>
      </c>
    </row>
    <row r="874" spans="1:7" x14ac:dyDescent="0.2">
      <c r="A874" t="s">
        <v>852</v>
      </c>
      <c r="B874" t="s">
        <v>602</v>
      </c>
      <c r="C874" t="s">
        <v>603</v>
      </c>
      <c r="D874" t="s">
        <v>604</v>
      </c>
      <c r="E874" t="s">
        <v>605</v>
      </c>
      <c r="F874" t="s">
        <v>28</v>
      </c>
      <c r="G874">
        <v>650</v>
      </c>
    </row>
    <row r="875" spans="1:7" x14ac:dyDescent="0.2">
      <c r="A875" t="s">
        <v>852</v>
      </c>
      <c r="B875" t="s">
        <v>602</v>
      </c>
      <c r="C875" t="s">
        <v>603</v>
      </c>
      <c r="D875" t="s">
        <v>606</v>
      </c>
      <c r="E875" t="s">
        <v>607</v>
      </c>
      <c r="F875" t="s">
        <v>22</v>
      </c>
      <c r="G875">
        <v>2888</v>
      </c>
    </row>
    <row r="876" spans="1:7" x14ac:dyDescent="0.2">
      <c r="A876" t="s">
        <v>852</v>
      </c>
      <c r="B876" t="s">
        <v>602</v>
      </c>
      <c r="C876" t="s">
        <v>603</v>
      </c>
      <c r="D876" t="s">
        <v>45</v>
      </c>
      <c r="G876">
        <v>3</v>
      </c>
    </row>
    <row r="877" spans="1:7" x14ac:dyDescent="0.2">
      <c r="A877" t="s">
        <v>852</v>
      </c>
      <c r="B877" t="s">
        <v>602</v>
      </c>
      <c r="C877" t="s">
        <v>603</v>
      </c>
      <c r="D877" t="s">
        <v>46</v>
      </c>
      <c r="G877">
        <v>160</v>
      </c>
    </row>
    <row r="878" spans="1:7" x14ac:dyDescent="0.2">
      <c r="A878" t="s">
        <v>852</v>
      </c>
      <c r="B878" t="s">
        <v>612</v>
      </c>
      <c r="C878" t="s">
        <v>613</v>
      </c>
      <c r="D878" t="s">
        <v>8</v>
      </c>
      <c r="G878">
        <v>1376</v>
      </c>
    </row>
    <row r="879" spans="1:7" x14ac:dyDescent="0.2">
      <c r="A879" t="s">
        <v>852</v>
      </c>
      <c r="B879" t="s">
        <v>612</v>
      </c>
      <c r="C879" t="s">
        <v>613</v>
      </c>
      <c r="D879" t="s">
        <v>614</v>
      </c>
      <c r="E879" t="s">
        <v>615</v>
      </c>
      <c r="F879" t="s">
        <v>22</v>
      </c>
      <c r="G879">
        <v>1094</v>
      </c>
    </row>
    <row r="880" spans="1:7" x14ac:dyDescent="0.2">
      <c r="A880" t="s">
        <v>852</v>
      </c>
      <c r="B880" t="s">
        <v>612</v>
      </c>
      <c r="C880" t="s">
        <v>613</v>
      </c>
      <c r="D880" t="s">
        <v>616</v>
      </c>
      <c r="E880" t="s">
        <v>617</v>
      </c>
      <c r="F880" t="s">
        <v>28</v>
      </c>
      <c r="G880">
        <v>235</v>
      </c>
    </row>
    <row r="881" spans="1:7" x14ac:dyDescent="0.2">
      <c r="A881" t="s">
        <v>852</v>
      </c>
      <c r="B881" t="s">
        <v>612</v>
      </c>
      <c r="C881" t="s">
        <v>613</v>
      </c>
      <c r="D881" t="s">
        <v>45</v>
      </c>
      <c r="G881">
        <v>0</v>
      </c>
    </row>
    <row r="882" spans="1:7" x14ac:dyDescent="0.2">
      <c r="A882" t="s">
        <v>852</v>
      </c>
      <c r="B882" t="s">
        <v>612</v>
      </c>
      <c r="C882" t="s">
        <v>613</v>
      </c>
      <c r="D882" t="s">
        <v>46</v>
      </c>
      <c r="G882">
        <v>47</v>
      </c>
    </row>
    <row r="883" spans="1:7" x14ac:dyDescent="0.2">
      <c r="A883" t="s">
        <v>852</v>
      </c>
      <c r="B883" t="s">
        <v>692</v>
      </c>
      <c r="C883" t="s">
        <v>693</v>
      </c>
      <c r="D883" t="s">
        <v>8</v>
      </c>
      <c r="G883">
        <v>5077</v>
      </c>
    </row>
    <row r="884" spans="1:7" x14ac:dyDescent="0.2">
      <c r="A884" t="s">
        <v>852</v>
      </c>
      <c r="B884" t="s">
        <v>692</v>
      </c>
      <c r="C884" t="s">
        <v>693</v>
      </c>
      <c r="D884" t="s">
        <v>694</v>
      </c>
      <c r="E884" t="s">
        <v>695</v>
      </c>
      <c r="G884">
        <v>3706</v>
      </c>
    </row>
    <row r="885" spans="1:7" x14ac:dyDescent="0.2">
      <c r="A885" t="s">
        <v>852</v>
      </c>
      <c r="B885" t="s">
        <v>692</v>
      </c>
      <c r="C885" t="s">
        <v>693</v>
      </c>
      <c r="D885" t="s">
        <v>696</v>
      </c>
      <c r="E885" t="s">
        <v>697</v>
      </c>
      <c r="G885">
        <v>764</v>
      </c>
    </row>
    <row r="886" spans="1:7" x14ac:dyDescent="0.2">
      <c r="A886" t="s">
        <v>852</v>
      </c>
      <c r="B886" t="s">
        <v>692</v>
      </c>
      <c r="C886" t="s">
        <v>693</v>
      </c>
      <c r="D886" t="s">
        <v>45</v>
      </c>
      <c r="G886">
        <v>3</v>
      </c>
    </row>
    <row r="887" spans="1:7" x14ac:dyDescent="0.2">
      <c r="A887" t="s">
        <v>852</v>
      </c>
      <c r="B887" t="s">
        <v>692</v>
      </c>
      <c r="C887" t="s">
        <v>693</v>
      </c>
      <c r="D887" t="s">
        <v>46</v>
      </c>
      <c r="G887">
        <v>604</v>
      </c>
    </row>
    <row r="888" spans="1:7" x14ac:dyDescent="0.2">
      <c r="A888" t="s">
        <v>852</v>
      </c>
      <c r="B888" t="s">
        <v>698</v>
      </c>
      <c r="C888" t="s">
        <v>699</v>
      </c>
      <c r="D888" t="s">
        <v>8</v>
      </c>
      <c r="G888">
        <v>5077</v>
      </c>
    </row>
    <row r="889" spans="1:7" x14ac:dyDescent="0.2">
      <c r="A889" t="s">
        <v>852</v>
      </c>
      <c r="B889" t="s">
        <v>698</v>
      </c>
      <c r="C889" t="s">
        <v>699</v>
      </c>
      <c r="D889" t="s">
        <v>694</v>
      </c>
      <c r="E889" t="s">
        <v>700</v>
      </c>
      <c r="G889">
        <v>3681</v>
      </c>
    </row>
    <row r="890" spans="1:7" x14ac:dyDescent="0.2">
      <c r="A890" t="s">
        <v>852</v>
      </c>
      <c r="B890" t="s">
        <v>698</v>
      </c>
      <c r="C890" t="s">
        <v>699</v>
      </c>
      <c r="D890" t="s">
        <v>696</v>
      </c>
      <c r="E890" t="s">
        <v>701</v>
      </c>
      <c r="G890">
        <v>765</v>
      </c>
    </row>
    <row r="891" spans="1:7" x14ac:dyDescent="0.2">
      <c r="A891" t="s">
        <v>852</v>
      </c>
      <c r="B891" t="s">
        <v>698</v>
      </c>
      <c r="C891" t="s">
        <v>699</v>
      </c>
      <c r="D891" t="s">
        <v>45</v>
      </c>
      <c r="G891">
        <v>2</v>
      </c>
    </row>
    <row r="892" spans="1:7" x14ac:dyDescent="0.2">
      <c r="A892" t="s">
        <v>852</v>
      </c>
      <c r="B892" t="s">
        <v>698</v>
      </c>
      <c r="C892" t="s">
        <v>699</v>
      </c>
      <c r="D892" t="s">
        <v>46</v>
      </c>
      <c r="G892">
        <v>629</v>
      </c>
    </row>
    <row r="893" spans="1:7" x14ac:dyDescent="0.2">
      <c r="A893" t="s">
        <v>852</v>
      </c>
      <c r="B893" t="s">
        <v>790</v>
      </c>
      <c r="C893" t="s">
        <v>791</v>
      </c>
      <c r="D893" t="s">
        <v>8</v>
      </c>
      <c r="G893">
        <v>5077</v>
      </c>
    </row>
    <row r="894" spans="1:7" x14ac:dyDescent="0.2">
      <c r="A894" t="s">
        <v>852</v>
      </c>
      <c r="B894" t="s">
        <v>790</v>
      </c>
      <c r="C894" t="s">
        <v>791</v>
      </c>
      <c r="D894" t="s">
        <v>694</v>
      </c>
      <c r="E894" t="s">
        <v>792</v>
      </c>
      <c r="G894">
        <v>3706</v>
      </c>
    </row>
    <row r="895" spans="1:7" x14ac:dyDescent="0.2">
      <c r="A895" t="s">
        <v>852</v>
      </c>
      <c r="B895" t="s">
        <v>790</v>
      </c>
      <c r="C895" t="s">
        <v>791</v>
      </c>
      <c r="D895" t="s">
        <v>696</v>
      </c>
      <c r="E895" t="s">
        <v>793</v>
      </c>
      <c r="G895">
        <v>787</v>
      </c>
    </row>
    <row r="896" spans="1:7" x14ac:dyDescent="0.2">
      <c r="A896" t="s">
        <v>852</v>
      </c>
      <c r="B896" t="s">
        <v>790</v>
      </c>
      <c r="C896" t="s">
        <v>791</v>
      </c>
      <c r="D896" t="s">
        <v>45</v>
      </c>
      <c r="G896">
        <v>1</v>
      </c>
    </row>
    <row r="897" spans="1:7" x14ac:dyDescent="0.2">
      <c r="A897" t="s">
        <v>852</v>
      </c>
      <c r="B897" t="s">
        <v>790</v>
      </c>
      <c r="C897" t="s">
        <v>791</v>
      </c>
      <c r="D897" t="s">
        <v>46</v>
      </c>
      <c r="G897">
        <v>583</v>
      </c>
    </row>
    <row r="898" spans="1:7" x14ac:dyDescent="0.2">
      <c r="A898" t="s">
        <v>852</v>
      </c>
      <c r="B898" t="s">
        <v>834</v>
      </c>
      <c r="C898" t="s">
        <v>835</v>
      </c>
      <c r="D898" t="s">
        <v>8</v>
      </c>
      <c r="G898">
        <v>5077</v>
      </c>
    </row>
    <row r="899" spans="1:7" x14ac:dyDescent="0.2">
      <c r="A899" t="s">
        <v>852</v>
      </c>
      <c r="B899" t="s">
        <v>834</v>
      </c>
      <c r="C899" t="s">
        <v>835</v>
      </c>
      <c r="D899" t="s">
        <v>836</v>
      </c>
      <c r="E899" t="s">
        <v>837</v>
      </c>
      <c r="G899">
        <v>2932</v>
      </c>
    </row>
    <row r="900" spans="1:7" x14ac:dyDescent="0.2">
      <c r="A900" t="s">
        <v>852</v>
      </c>
      <c r="B900" t="s">
        <v>834</v>
      </c>
      <c r="C900" t="s">
        <v>835</v>
      </c>
      <c r="D900" t="s">
        <v>838</v>
      </c>
      <c r="E900" t="s">
        <v>839</v>
      </c>
      <c r="G900">
        <v>1826</v>
      </c>
    </row>
    <row r="901" spans="1:7" x14ac:dyDescent="0.2">
      <c r="A901" t="s">
        <v>852</v>
      </c>
      <c r="B901" t="s">
        <v>834</v>
      </c>
      <c r="C901" t="s">
        <v>835</v>
      </c>
      <c r="D901" t="s">
        <v>45</v>
      </c>
      <c r="G901">
        <v>1</v>
      </c>
    </row>
    <row r="902" spans="1:7" x14ac:dyDescent="0.2">
      <c r="A902" t="s">
        <v>852</v>
      </c>
      <c r="B902" t="s">
        <v>834</v>
      </c>
      <c r="C902" t="s">
        <v>835</v>
      </c>
      <c r="D902" t="s">
        <v>46</v>
      </c>
      <c r="G902">
        <v>318</v>
      </c>
    </row>
    <row r="903" spans="1:7" x14ac:dyDescent="0.2">
      <c r="A903" t="s">
        <v>852</v>
      </c>
      <c r="B903" t="s">
        <v>840</v>
      </c>
      <c r="C903" t="s">
        <v>841</v>
      </c>
      <c r="D903" t="s">
        <v>8</v>
      </c>
      <c r="G903">
        <v>5077</v>
      </c>
    </row>
    <row r="904" spans="1:7" x14ac:dyDescent="0.2">
      <c r="A904" t="s">
        <v>852</v>
      </c>
      <c r="B904" t="s">
        <v>840</v>
      </c>
      <c r="C904" t="s">
        <v>841</v>
      </c>
      <c r="D904" t="s">
        <v>836</v>
      </c>
      <c r="E904" t="s">
        <v>842</v>
      </c>
      <c r="G904">
        <v>4256</v>
      </c>
    </row>
    <row r="905" spans="1:7" x14ac:dyDescent="0.2">
      <c r="A905" t="s">
        <v>852</v>
      </c>
      <c r="B905" t="s">
        <v>840</v>
      </c>
      <c r="C905" t="s">
        <v>841</v>
      </c>
      <c r="D905" t="s">
        <v>838</v>
      </c>
      <c r="E905" t="s">
        <v>843</v>
      </c>
      <c r="G905">
        <v>554</v>
      </c>
    </row>
    <row r="906" spans="1:7" x14ac:dyDescent="0.2">
      <c r="A906" t="s">
        <v>852</v>
      </c>
      <c r="B906" t="s">
        <v>840</v>
      </c>
      <c r="C906" t="s">
        <v>841</v>
      </c>
      <c r="D906" t="s">
        <v>45</v>
      </c>
      <c r="G906">
        <v>2</v>
      </c>
    </row>
    <row r="907" spans="1:7" x14ac:dyDescent="0.2">
      <c r="A907" t="s">
        <v>852</v>
      </c>
      <c r="B907" t="s">
        <v>840</v>
      </c>
      <c r="C907" t="s">
        <v>841</v>
      </c>
      <c r="D907" t="s">
        <v>46</v>
      </c>
      <c r="G907">
        <v>265</v>
      </c>
    </row>
    <row r="908" spans="1:7" x14ac:dyDescent="0.2">
      <c r="A908" t="s">
        <v>853</v>
      </c>
      <c r="B908" t="s">
        <v>6</v>
      </c>
      <c r="C908" t="s">
        <v>7</v>
      </c>
      <c r="D908" t="s">
        <v>8</v>
      </c>
      <c r="G908">
        <v>2857</v>
      </c>
    </row>
    <row r="909" spans="1:7" x14ac:dyDescent="0.2">
      <c r="A909" t="s">
        <v>853</v>
      </c>
      <c r="B909" t="s">
        <v>6</v>
      </c>
      <c r="C909" t="s">
        <v>7</v>
      </c>
      <c r="D909" t="s">
        <v>9</v>
      </c>
      <c r="E909" t="s">
        <v>10</v>
      </c>
      <c r="F909" t="s">
        <v>11</v>
      </c>
      <c r="G909">
        <v>1</v>
      </c>
    </row>
    <row r="910" spans="1:7" x14ac:dyDescent="0.2">
      <c r="A910" t="s">
        <v>853</v>
      </c>
      <c r="B910" t="s">
        <v>6</v>
      </c>
      <c r="C910" t="s">
        <v>7</v>
      </c>
      <c r="D910" t="s">
        <v>12</v>
      </c>
      <c r="E910" t="s">
        <v>13</v>
      </c>
      <c r="F910" t="s">
        <v>11</v>
      </c>
      <c r="G910">
        <v>3</v>
      </c>
    </row>
    <row r="911" spans="1:7" x14ac:dyDescent="0.2">
      <c r="A911" t="s">
        <v>853</v>
      </c>
      <c r="B911" t="s">
        <v>6</v>
      </c>
      <c r="C911" t="s">
        <v>7</v>
      </c>
      <c r="D911" t="s">
        <v>14</v>
      </c>
      <c r="E911" t="s">
        <v>15</v>
      </c>
      <c r="F911" t="s">
        <v>16</v>
      </c>
      <c r="G911">
        <v>18</v>
      </c>
    </row>
    <row r="912" spans="1:7" x14ac:dyDescent="0.2">
      <c r="A912" t="s">
        <v>853</v>
      </c>
      <c r="B912" t="s">
        <v>6</v>
      </c>
      <c r="C912" t="s">
        <v>7</v>
      </c>
      <c r="D912" t="s">
        <v>17</v>
      </c>
      <c r="E912" t="s">
        <v>18</v>
      </c>
      <c r="F912" t="s">
        <v>19</v>
      </c>
      <c r="G912">
        <v>17</v>
      </c>
    </row>
    <row r="913" spans="1:7" x14ac:dyDescent="0.2">
      <c r="A913" t="s">
        <v>853</v>
      </c>
      <c r="B913" t="s">
        <v>6</v>
      </c>
      <c r="C913" t="s">
        <v>7</v>
      </c>
      <c r="D913" t="s">
        <v>20</v>
      </c>
      <c r="E913" t="s">
        <v>21</v>
      </c>
      <c r="F913" t="s">
        <v>22</v>
      </c>
      <c r="G913">
        <v>2211</v>
      </c>
    </row>
    <row r="914" spans="1:7" x14ac:dyDescent="0.2">
      <c r="A914" t="s">
        <v>853</v>
      </c>
      <c r="B914" t="s">
        <v>6</v>
      </c>
      <c r="C914" t="s">
        <v>7</v>
      </c>
      <c r="D914" t="s">
        <v>23</v>
      </c>
      <c r="E914" t="s">
        <v>24</v>
      </c>
      <c r="F914" t="s">
        <v>25</v>
      </c>
      <c r="G914">
        <v>15</v>
      </c>
    </row>
    <row r="915" spans="1:7" x14ac:dyDescent="0.2">
      <c r="A915" t="s">
        <v>853</v>
      </c>
      <c r="B915" t="s">
        <v>6</v>
      </c>
      <c r="C915" t="s">
        <v>7</v>
      </c>
      <c r="D915" t="s">
        <v>26</v>
      </c>
      <c r="E915" t="s">
        <v>27</v>
      </c>
      <c r="F915" t="s">
        <v>28</v>
      </c>
      <c r="G915">
        <v>541</v>
      </c>
    </row>
    <row r="916" spans="1:7" x14ac:dyDescent="0.2">
      <c r="A916" t="s">
        <v>853</v>
      </c>
      <c r="B916" t="s">
        <v>6</v>
      </c>
      <c r="C916" t="s">
        <v>7</v>
      </c>
      <c r="D916" t="s">
        <v>29</v>
      </c>
      <c r="E916" t="s">
        <v>30</v>
      </c>
      <c r="F916" t="s">
        <v>11</v>
      </c>
      <c r="G916">
        <v>5</v>
      </c>
    </row>
    <row r="917" spans="1:7" x14ac:dyDescent="0.2">
      <c r="A917" t="s">
        <v>853</v>
      </c>
      <c r="B917" t="s">
        <v>6</v>
      </c>
      <c r="C917" t="s">
        <v>7</v>
      </c>
      <c r="D917" t="s">
        <v>31</v>
      </c>
      <c r="E917" t="s">
        <v>32</v>
      </c>
      <c r="F917" t="s">
        <v>11</v>
      </c>
      <c r="G917">
        <v>0</v>
      </c>
    </row>
    <row r="918" spans="1:7" x14ac:dyDescent="0.2">
      <c r="A918" t="s">
        <v>853</v>
      </c>
      <c r="B918" t="s">
        <v>6</v>
      </c>
      <c r="C918" t="s">
        <v>7</v>
      </c>
      <c r="D918" t="s">
        <v>33</v>
      </c>
      <c r="E918" t="s">
        <v>34</v>
      </c>
      <c r="F918" t="s">
        <v>11</v>
      </c>
      <c r="G918">
        <v>0</v>
      </c>
    </row>
    <row r="919" spans="1:7" x14ac:dyDescent="0.2">
      <c r="A919" t="s">
        <v>853</v>
      </c>
      <c r="B919" t="s">
        <v>6</v>
      </c>
      <c r="C919" t="s">
        <v>7</v>
      </c>
      <c r="D919" t="s">
        <v>35</v>
      </c>
      <c r="E919" t="s">
        <v>36</v>
      </c>
      <c r="F919" t="s">
        <v>11</v>
      </c>
      <c r="G919">
        <v>0</v>
      </c>
    </row>
    <row r="920" spans="1:7" x14ac:dyDescent="0.2">
      <c r="A920" t="s">
        <v>853</v>
      </c>
      <c r="B920" t="s">
        <v>6</v>
      </c>
      <c r="C920" t="s">
        <v>7</v>
      </c>
      <c r="D920" t="s">
        <v>37</v>
      </c>
      <c r="E920" t="s">
        <v>38</v>
      </c>
      <c r="F920" t="s">
        <v>11</v>
      </c>
      <c r="G920">
        <v>0</v>
      </c>
    </row>
    <row r="921" spans="1:7" x14ac:dyDescent="0.2">
      <c r="A921" t="s">
        <v>853</v>
      </c>
      <c r="B921" t="s">
        <v>6</v>
      </c>
      <c r="C921" t="s">
        <v>7</v>
      </c>
      <c r="D921" t="s">
        <v>39</v>
      </c>
      <c r="E921" t="s">
        <v>40</v>
      </c>
      <c r="F921" t="s">
        <v>11</v>
      </c>
      <c r="G921">
        <v>0</v>
      </c>
    </row>
    <row r="922" spans="1:7" x14ac:dyDescent="0.2">
      <c r="A922" t="s">
        <v>853</v>
      </c>
      <c r="B922" t="s">
        <v>6</v>
      </c>
      <c r="C922" t="s">
        <v>7</v>
      </c>
      <c r="D922" t="s">
        <v>41</v>
      </c>
      <c r="E922" t="s">
        <v>42</v>
      </c>
      <c r="F922" t="s">
        <v>11</v>
      </c>
      <c r="G922">
        <v>0</v>
      </c>
    </row>
    <row r="923" spans="1:7" x14ac:dyDescent="0.2">
      <c r="A923" t="s">
        <v>853</v>
      </c>
      <c r="B923" t="s">
        <v>6</v>
      </c>
      <c r="C923" t="s">
        <v>7</v>
      </c>
      <c r="D923" t="s">
        <v>43</v>
      </c>
      <c r="E923" t="s">
        <v>44</v>
      </c>
      <c r="F923" t="s">
        <v>11</v>
      </c>
      <c r="G923">
        <v>0</v>
      </c>
    </row>
    <row r="924" spans="1:7" x14ac:dyDescent="0.2">
      <c r="A924" t="s">
        <v>853</v>
      </c>
      <c r="B924" t="s">
        <v>6</v>
      </c>
      <c r="C924" t="s">
        <v>7</v>
      </c>
      <c r="D924" t="s">
        <v>45</v>
      </c>
      <c r="G924">
        <v>0</v>
      </c>
    </row>
    <row r="925" spans="1:7" x14ac:dyDescent="0.2">
      <c r="A925" t="s">
        <v>853</v>
      </c>
      <c r="B925" t="s">
        <v>6</v>
      </c>
      <c r="C925" t="s">
        <v>7</v>
      </c>
      <c r="D925" t="s">
        <v>46</v>
      </c>
      <c r="G925">
        <v>29</v>
      </c>
    </row>
    <row r="926" spans="1:7" x14ac:dyDescent="0.2">
      <c r="A926" t="s">
        <v>853</v>
      </c>
      <c r="B926" t="s">
        <v>47</v>
      </c>
      <c r="C926" t="s">
        <v>48</v>
      </c>
      <c r="D926" t="s">
        <v>8</v>
      </c>
      <c r="G926">
        <v>2857</v>
      </c>
    </row>
    <row r="927" spans="1:7" x14ac:dyDescent="0.2">
      <c r="A927" t="s">
        <v>853</v>
      </c>
      <c r="B927" t="s">
        <v>47</v>
      </c>
      <c r="C927" t="s">
        <v>48</v>
      </c>
      <c r="D927" t="s">
        <v>49</v>
      </c>
      <c r="E927" t="s">
        <v>50</v>
      </c>
      <c r="F927" t="s">
        <v>51</v>
      </c>
      <c r="G927">
        <v>145</v>
      </c>
    </row>
    <row r="928" spans="1:7" x14ac:dyDescent="0.2">
      <c r="A928" t="s">
        <v>853</v>
      </c>
      <c r="B928" t="s">
        <v>47</v>
      </c>
      <c r="C928" t="s">
        <v>48</v>
      </c>
      <c r="D928" t="s">
        <v>52</v>
      </c>
      <c r="E928" t="s">
        <v>53</v>
      </c>
      <c r="F928" t="s">
        <v>22</v>
      </c>
      <c r="G928">
        <v>2149</v>
      </c>
    </row>
    <row r="929" spans="1:7" x14ac:dyDescent="0.2">
      <c r="A929" t="s">
        <v>853</v>
      </c>
      <c r="B929" t="s">
        <v>47</v>
      </c>
      <c r="C929" t="s">
        <v>48</v>
      </c>
      <c r="D929" t="s">
        <v>54</v>
      </c>
      <c r="E929" t="s">
        <v>55</v>
      </c>
      <c r="F929" t="s">
        <v>28</v>
      </c>
      <c r="G929">
        <v>463</v>
      </c>
    </row>
    <row r="930" spans="1:7" x14ac:dyDescent="0.2">
      <c r="A930" t="s">
        <v>853</v>
      </c>
      <c r="B930" t="s">
        <v>47</v>
      </c>
      <c r="C930" t="s">
        <v>48</v>
      </c>
      <c r="D930" t="s">
        <v>56</v>
      </c>
      <c r="E930" t="s">
        <v>57</v>
      </c>
      <c r="F930" t="s">
        <v>11</v>
      </c>
      <c r="G930">
        <v>0</v>
      </c>
    </row>
    <row r="931" spans="1:7" x14ac:dyDescent="0.2">
      <c r="A931" t="s">
        <v>853</v>
      </c>
      <c r="B931" t="s">
        <v>47</v>
      </c>
      <c r="C931" t="s">
        <v>48</v>
      </c>
      <c r="D931" t="s">
        <v>45</v>
      </c>
      <c r="G931">
        <v>1</v>
      </c>
    </row>
    <row r="932" spans="1:7" x14ac:dyDescent="0.2">
      <c r="A932" t="s">
        <v>853</v>
      </c>
      <c r="B932" t="s">
        <v>47</v>
      </c>
      <c r="C932" t="s">
        <v>48</v>
      </c>
      <c r="D932" t="s">
        <v>46</v>
      </c>
      <c r="G932">
        <v>85</v>
      </c>
    </row>
    <row r="933" spans="1:7" x14ac:dyDescent="0.2">
      <c r="A933" t="s">
        <v>853</v>
      </c>
      <c r="B933" t="s">
        <v>66</v>
      </c>
      <c r="C933" t="s">
        <v>67</v>
      </c>
      <c r="D933" t="s">
        <v>8</v>
      </c>
      <c r="G933">
        <v>2857</v>
      </c>
    </row>
    <row r="934" spans="1:7" x14ac:dyDescent="0.2">
      <c r="A934" t="s">
        <v>853</v>
      </c>
      <c r="B934" t="s">
        <v>66</v>
      </c>
      <c r="C934" t="s">
        <v>67</v>
      </c>
      <c r="D934" t="s">
        <v>68</v>
      </c>
      <c r="E934" t="s">
        <v>69</v>
      </c>
      <c r="F934" t="s">
        <v>28</v>
      </c>
      <c r="G934">
        <v>452</v>
      </c>
    </row>
    <row r="935" spans="1:7" x14ac:dyDescent="0.2">
      <c r="A935" t="s">
        <v>853</v>
      </c>
      <c r="B935" t="s">
        <v>66</v>
      </c>
      <c r="C935" t="s">
        <v>67</v>
      </c>
      <c r="D935" t="s">
        <v>70</v>
      </c>
      <c r="E935" t="s">
        <v>71</v>
      </c>
      <c r="F935" t="s">
        <v>16</v>
      </c>
      <c r="G935">
        <v>109</v>
      </c>
    </row>
    <row r="936" spans="1:7" x14ac:dyDescent="0.2">
      <c r="A936" t="s">
        <v>853</v>
      </c>
      <c r="B936" t="s">
        <v>66</v>
      </c>
      <c r="C936" t="s">
        <v>67</v>
      </c>
      <c r="D936" t="s">
        <v>72</v>
      </c>
      <c r="E936" t="s">
        <v>73</v>
      </c>
      <c r="F936" t="s">
        <v>22</v>
      </c>
      <c r="G936">
        <v>2152</v>
      </c>
    </row>
    <row r="937" spans="1:7" x14ac:dyDescent="0.2">
      <c r="A937" t="s">
        <v>853</v>
      </c>
      <c r="B937" t="s">
        <v>66</v>
      </c>
      <c r="C937" t="s">
        <v>67</v>
      </c>
      <c r="D937" t="s">
        <v>74</v>
      </c>
      <c r="E937" t="s">
        <v>75</v>
      </c>
      <c r="F937" t="s">
        <v>11</v>
      </c>
      <c r="G937">
        <v>52</v>
      </c>
    </row>
    <row r="938" spans="1:7" x14ac:dyDescent="0.2">
      <c r="A938" t="s">
        <v>853</v>
      </c>
      <c r="B938" t="s">
        <v>66</v>
      </c>
      <c r="C938" t="s">
        <v>67</v>
      </c>
      <c r="D938" t="s">
        <v>45</v>
      </c>
      <c r="G938">
        <v>1</v>
      </c>
    </row>
    <row r="939" spans="1:7" x14ac:dyDescent="0.2">
      <c r="A939" t="s">
        <v>853</v>
      </c>
      <c r="B939" t="s">
        <v>66</v>
      </c>
      <c r="C939" t="s">
        <v>67</v>
      </c>
      <c r="D939" t="s">
        <v>46</v>
      </c>
      <c r="G939">
        <v>91</v>
      </c>
    </row>
    <row r="940" spans="1:7" x14ac:dyDescent="0.2">
      <c r="A940" t="s">
        <v>853</v>
      </c>
      <c r="B940" t="s">
        <v>93</v>
      </c>
      <c r="C940" t="s">
        <v>94</v>
      </c>
      <c r="D940" t="s">
        <v>8</v>
      </c>
      <c r="G940">
        <v>2855</v>
      </c>
    </row>
    <row r="941" spans="1:7" x14ac:dyDescent="0.2">
      <c r="A941" t="s">
        <v>853</v>
      </c>
      <c r="B941" t="s">
        <v>93</v>
      </c>
      <c r="C941" t="s">
        <v>94</v>
      </c>
      <c r="D941" t="s">
        <v>95</v>
      </c>
      <c r="E941" t="s">
        <v>96</v>
      </c>
      <c r="F941" t="s">
        <v>22</v>
      </c>
      <c r="G941">
        <v>1914</v>
      </c>
    </row>
    <row r="942" spans="1:7" x14ac:dyDescent="0.2">
      <c r="A942" t="s">
        <v>853</v>
      </c>
      <c r="B942" t="s">
        <v>93</v>
      </c>
      <c r="C942" t="s">
        <v>94</v>
      </c>
      <c r="D942" t="s">
        <v>97</v>
      </c>
      <c r="E942" t="s">
        <v>98</v>
      </c>
      <c r="F942" t="s">
        <v>51</v>
      </c>
      <c r="G942">
        <v>42</v>
      </c>
    </row>
    <row r="943" spans="1:7" x14ac:dyDescent="0.2">
      <c r="A943" t="s">
        <v>853</v>
      </c>
      <c r="B943" t="s">
        <v>93</v>
      </c>
      <c r="C943" t="s">
        <v>94</v>
      </c>
      <c r="D943" t="s">
        <v>99</v>
      </c>
      <c r="E943" t="s">
        <v>100</v>
      </c>
      <c r="F943" t="s">
        <v>28</v>
      </c>
      <c r="G943">
        <v>393</v>
      </c>
    </row>
    <row r="944" spans="1:7" x14ac:dyDescent="0.2">
      <c r="A944" t="s">
        <v>853</v>
      </c>
      <c r="B944" t="s">
        <v>93</v>
      </c>
      <c r="C944" t="s">
        <v>94</v>
      </c>
      <c r="D944" t="s">
        <v>101</v>
      </c>
      <c r="E944" t="s">
        <v>102</v>
      </c>
      <c r="F944" t="s">
        <v>25</v>
      </c>
      <c r="G944">
        <v>57</v>
      </c>
    </row>
    <row r="945" spans="1:7" x14ac:dyDescent="0.2">
      <c r="A945" t="s">
        <v>853</v>
      </c>
      <c r="B945" t="s">
        <v>93</v>
      </c>
      <c r="C945" t="s">
        <v>94</v>
      </c>
      <c r="D945" t="s">
        <v>103</v>
      </c>
      <c r="E945" t="s">
        <v>104</v>
      </c>
      <c r="F945" t="s">
        <v>11</v>
      </c>
      <c r="G945">
        <v>5</v>
      </c>
    </row>
    <row r="946" spans="1:7" x14ac:dyDescent="0.2">
      <c r="A946" t="s">
        <v>853</v>
      </c>
      <c r="B946" t="s">
        <v>93</v>
      </c>
      <c r="C946" t="s">
        <v>94</v>
      </c>
      <c r="D946" t="s">
        <v>105</v>
      </c>
      <c r="E946" t="s">
        <v>106</v>
      </c>
      <c r="F946" t="s">
        <v>11</v>
      </c>
      <c r="G946">
        <v>344</v>
      </c>
    </row>
    <row r="947" spans="1:7" x14ac:dyDescent="0.2">
      <c r="A947" t="s">
        <v>853</v>
      </c>
      <c r="B947" t="s">
        <v>93</v>
      </c>
      <c r="C947" t="s">
        <v>94</v>
      </c>
      <c r="D947" t="s">
        <v>107</v>
      </c>
      <c r="E947" t="s">
        <v>108</v>
      </c>
      <c r="F947" t="s">
        <v>11</v>
      </c>
      <c r="G947">
        <v>0</v>
      </c>
    </row>
    <row r="948" spans="1:7" x14ac:dyDescent="0.2">
      <c r="A948" t="s">
        <v>853</v>
      </c>
      <c r="B948" t="s">
        <v>93</v>
      </c>
      <c r="C948" t="s">
        <v>94</v>
      </c>
      <c r="D948" t="s">
        <v>45</v>
      </c>
      <c r="G948">
        <v>1</v>
      </c>
    </row>
    <row r="949" spans="1:7" x14ac:dyDescent="0.2">
      <c r="A949" t="s">
        <v>853</v>
      </c>
      <c r="B949" t="s">
        <v>93</v>
      </c>
      <c r="C949" t="s">
        <v>94</v>
      </c>
      <c r="D949" t="s">
        <v>46</v>
      </c>
      <c r="G949">
        <v>88</v>
      </c>
    </row>
    <row r="950" spans="1:7" x14ac:dyDescent="0.2">
      <c r="A950" t="s">
        <v>853</v>
      </c>
      <c r="B950" t="s">
        <v>109</v>
      </c>
      <c r="C950" t="s">
        <v>110</v>
      </c>
      <c r="D950" t="s">
        <v>8</v>
      </c>
      <c r="G950">
        <v>2855</v>
      </c>
    </row>
    <row r="951" spans="1:7" x14ac:dyDescent="0.2">
      <c r="A951" t="s">
        <v>853</v>
      </c>
      <c r="B951" t="s">
        <v>109</v>
      </c>
      <c r="C951" t="s">
        <v>110</v>
      </c>
      <c r="D951" t="s">
        <v>111</v>
      </c>
      <c r="E951" t="s">
        <v>112</v>
      </c>
      <c r="F951" t="s">
        <v>22</v>
      </c>
      <c r="G951">
        <v>2121</v>
      </c>
    </row>
    <row r="952" spans="1:7" x14ac:dyDescent="0.2">
      <c r="A952" t="s">
        <v>853</v>
      </c>
      <c r="B952" t="s">
        <v>109</v>
      </c>
      <c r="C952" t="s">
        <v>110</v>
      </c>
      <c r="D952" t="s">
        <v>113</v>
      </c>
      <c r="E952" t="s">
        <v>114</v>
      </c>
      <c r="F952" t="s">
        <v>28</v>
      </c>
      <c r="G952">
        <v>410</v>
      </c>
    </row>
    <row r="953" spans="1:7" x14ac:dyDescent="0.2">
      <c r="A953" t="s">
        <v>853</v>
      </c>
      <c r="B953" t="s">
        <v>109</v>
      </c>
      <c r="C953" t="s">
        <v>110</v>
      </c>
      <c r="D953" t="s">
        <v>115</v>
      </c>
      <c r="E953" t="s">
        <v>116</v>
      </c>
      <c r="F953" t="s">
        <v>25</v>
      </c>
      <c r="G953">
        <v>59</v>
      </c>
    </row>
    <row r="954" spans="1:7" x14ac:dyDescent="0.2">
      <c r="A954" t="s">
        <v>853</v>
      </c>
      <c r="B954" t="s">
        <v>109</v>
      </c>
      <c r="C954" t="s">
        <v>110</v>
      </c>
      <c r="D954" t="s">
        <v>117</v>
      </c>
      <c r="E954" t="s">
        <v>118</v>
      </c>
      <c r="F954" t="s">
        <v>11</v>
      </c>
      <c r="G954">
        <v>53</v>
      </c>
    </row>
    <row r="955" spans="1:7" x14ac:dyDescent="0.2">
      <c r="A955" t="s">
        <v>853</v>
      </c>
      <c r="B955" t="s">
        <v>109</v>
      </c>
      <c r="C955" t="s">
        <v>110</v>
      </c>
      <c r="D955" t="s">
        <v>119</v>
      </c>
      <c r="E955" t="s">
        <v>120</v>
      </c>
      <c r="F955" t="s">
        <v>88</v>
      </c>
      <c r="G955">
        <v>87</v>
      </c>
    </row>
    <row r="956" spans="1:7" x14ac:dyDescent="0.2">
      <c r="A956" t="s">
        <v>853</v>
      </c>
      <c r="B956" t="s">
        <v>109</v>
      </c>
      <c r="C956" t="s">
        <v>110</v>
      </c>
      <c r="D956" t="s">
        <v>45</v>
      </c>
      <c r="G956">
        <v>0</v>
      </c>
    </row>
    <row r="957" spans="1:7" x14ac:dyDescent="0.2">
      <c r="A957" t="s">
        <v>853</v>
      </c>
      <c r="B957" t="s">
        <v>109</v>
      </c>
      <c r="C957" t="s">
        <v>110</v>
      </c>
      <c r="D957" t="s">
        <v>46</v>
      </c>
      <c r="G957">
        <v>125</v>
      </c>
    </row>
    <row r="958" spans="1:7" x14ac:dyDescent="0.2">
      <c r="A958" t="s">
        <v>853</v>
      </c>
      <c r="B958" t="s">
        <v>121</v>
      </c>
      <c r="C958" t="s">
        <v>122</v>
      </c>
      <c r="D958" t="s">
        <v>8</v>
      </c>
      <c r="G958">
        <v>2855</v>
      </c>
    </row>
    <row r="959" spans="1:7" x14ac:dyDescent="0.2">
      <c r="A959" t="s">
        <v>853</v>
      </c>
      <c r="B959" t="s">
        <v>121</v>
      </c>
      <c r="C959" t="s">
        <v>122</v>
      </c>
      <c r="D959" t="s">
        <v>123</v>
      </c>
      <c r="E959" t="s">
        <v>124</v>
      </c>
      <c r="F959" t="s">
        <v>22</v>
      </c>
      <c r="G959">
        <v>2159</v>
      </c>
    </row>
    <row r="960" spans="1:7" x14ac:dyDescent="0.2">
      <c r="A960" t="s">
        <v>853</v>
      </c>
      <c r="B960" t="s">
        <v>121</v>
      </c>
      <c r="C960" t="s">
        <v>122</v>
      </c>
      <c r="D960" t="s">
        <v>125</v>
      </c>
      <c r="E960" t="s">
        <v>126</v>
      </c>
      <c r="F960" t="s">
        <v>16</v>
      </c>
      <c r="G960">
        <v>101</v>
      </c>
    </row>
    <row r="961" spans="1:7" x14ac:dyDescent="0.2">
      <c r="A961" t="s">
        <v>853</v>
      </c>
      <c r="B961" t="s">
        <v>121</v>
      </c>
      <c r="C961" t="s">
        <v>122</v>
      </c>
      <c r="D961" t="s">
        <v>127</v>
      </c>
      <c r="E961" t="s">
        <v>128</v>
      </c>
      <c r="F961" t="s">
        <v>28</v>
      </c>
      <c r="G961">
        <v>429</v>
      </c>
    </row>
    <row r="962" spans="1:7" x14ac:dyDescent="0.2">
      <c r="A962" t="s">
        <v>853</v>
      </c>
      <c r="B962" t="s">
        <v>121</v>
      </c>
      <c r="C962" t="s">
        <v>122</v>
      </c>
      <c r="D962" t="s">
        <v>45</v>
      </c>
      <c r="G962">
        <v>0</v>
      </c>
    </row>
    <row r="963" spans="1:7" x14ac:dyDescent="0.2">
      <c r="A963" t="s">
        <v>853</v>
      </c>
      <c r="B963" t="s">
        <v>121</v>
      </c>
      <c r="C963" t="s">
        <v>122</v>
      </c>
      <c r="D963" t="s">
        <v>46</v>
      </c>
      <c r="G963">
        <v>166</v>
      </c>
    </row>
    <row r="964" spans="1:7" x14ac:dyDescent="0.2">
      <c r="A964" t="s">
        <v>853</v>
      </c>
      <c r="B964" t="s">
        <v>129</v>
      </c>
      <c r="C964" t="s">
        <v>130</v>
      </c>
      <c r="D964" t="s">
        <v>8</v>
      </c>
      <c r="G964">
        <v>2855</v>
      </c>
    </row>
    <row r="965" spans="1:7" x14ac:dyDescent="0.2">
      <c r="A965" t="s">
        <v>853</v>
      </c>
      <c r="B965" t="s">
        <v>129</v>
      </c>
      <c r="C965" t="s">
        <v>130</v>
      </c>
      <c r="D965" t="s">
        <v>131</v>
      </c>
      <c r="E965" t="s">
        <v>132</v>
      </c>
      <c r="F965" t="s">
        <v>133</v>
      </c>
      <c r="G965">
        <v>81</v>
      </c>
    </row>
    <row r="966" spans="1:7" x14ac:dyDescent="0.2">
      <c r="A966" t="s">
        <v>853</v>
      </c>
      <c r="B966" t="s">
        <v>129</v>
      </c>
      <c r="C966" t="s">
        <v>130</v>
      </c>
      <c r="D966" t="s">
        <v>134</v>
      </c>
      <c r="E966" t="s">
        <v>135</v>
      </c>
      <c r="F966" t="s">
        <v>22</v>
      </c>
      <c r="G966">
        <v>2160</v>
      </c>
    </row>
    <row r="967" spans="1:7" x14ac:dyDescent="0.2">
      <c r="A967" t="s">
        <v>853</v>
      </c>
      <c r="B967" t="s">
        <v>129</v>
      </c>
      <c r="C967" t="s">
        <v>130</v>
      </c>
      <c r="D967" t="s">
        <v>136</v>
      </c>
      <c r="E967" t="s">
        <v>137</v>
      </c>
      <c r="F967" t="s">
        <v>28</v>
      </c>
      <c r="G967">
        <v>446</v>
      </c>
    </row>
    <row r="968" spans="1:7" x14ac:dyDescent="0.2">
      <c r="A968" t="s">
        <v>853</v>
      </c>
      <c r="B968" t="s">
        <v>129</v>
      </c>
      <c r="C968" t="s">
        <v>130</v>
      </c>
      <c r="D968" t="s">
        <v>45</v>
      </c>
      <c r="G968">
        <v>0</v>
      </c>
    </row>
    <row r="969" spans="1:7" x14ac:dyDescent="0.2">
      <c r="A969" t="s">
        <v>853</v>
      </c>
      <c r="B969" t="s">
        <v>129</v>
      </c>
      <c r="C969" t="s">
        <v>130</v>
      </c>
      <c r="D969" t="s">
        <v>46</v>
      </c>
      <c r="G969">
        <v>168</v>
      </c>
    </row>
    <row r="970" spans="1:7" x14ac:dyDescent="0.2">
      <c r="A970" t="s">
        <v>853</v>
      </c>
      <c r="B970" t="s">
        <v>210</v>
      </c>
      <c r="C970" t="s">
        <v>211</v>
      </c>
      <c r="D970" t="s">
        <v>8</v>
      </c>
      <c r="G970">
        <v>22</v>
      </c>
    </row>
    <row r="971" spans="1:7" x14ac:dyDescent="0.2">
      <c r="A971" t="s">
        <v>853</v>
      </c>
      <c r="B971" t="s">
        <v>210</v>
      </c>
      <c r="C971" t="s">
        <v>211</v>
      </c>
      <c r="D971" t="s">
        <v>212</v>
      </c>
      <c r="E971" t="s">
        <v>213</v>
      </c>
      <c r="F971" t="s">
        <v>11</v>
      </c>
      <c r="G971">
        <v>0</v>
      </c>
    </row>
    <row r="972" spans="1:7" x14ac:dyDescent="0.2">
      <c r="A972" t="s">
        <v>853</v>
      </c>
      <c r="B972" t="s">
        <v>210</v>
      </c>
      <c r="C972" t="s">
        <v>211</v>
      </c>
      <c r="D972" t="s">
        <v>214</v>
      </c>
      <c r="E972" t="s">
        <v>215</v>
      </c>
      <c r="F972" t="s">
        <v>28</v>
      </c>
      <c r="G972">
        <v>2</v>
      </c>
    </row>
    <row r="973" spans="1:7" x14ac:dyDescent="0.2">
      <c r="A973" t="s">
        <v>853</v>
      </c>
      <c r="B973" t="s">
        <v>210</v>
      </c>
      <c r="C973" t="s">
        <v>211</v>
      </c>
      <c r="D973" t="s">
        <v>216</v>
      </c>
      <c r="E973" t="s">
        <v>217</v>
      </c>
      <c r="F973" t="s">
        <v>22</v>
      </c>
      <c r="G973">
        <v>20</v>
      </c>
    </row>
    <row r="974" spans="1:7" x14ac:dyDescent="0.2">
      <c r="A974" t="s">
        <v>853</v>
      </c>
      <c r="B974" t="s">
        <v>210</v>
      </c>
      <c r="C974" t="s">
        <v>211</v>
      </c>
      <c r="D974" t="s">
        <v>45</v>
      </c>
      <c r="G974">
        <v>0</v>
      </c>
    </row>
    <row r="975" spans="1:7" x14ac:dyDescent="0.2">
      <c r="A975" t="s">
        <v>853</v>
      </c>
      <c r="B975" t="s">
        <v>210</v>
      </c>
      <c r="C975" t="s">
        <v>211</v>
      </c>
      <c r="D975" t="s">
        <v>46</v>
      </c>
      <c r="G975">
        <v>0</v>
      </c>
    </row>
    <row r="976" spans="1:7" x14ac:dyDescent="0.2">
      <c r="A976" t="s">
        <v>853</v>
      </c>
      <c r="B976" t="s">
        <v>218</v>
      </c>
      <c r="C976" t="s">
        <v>219</v>
      </c>
      <c r="D976" t="s">
        <v>8</v>
      </c>
      <c r="G976">
        <v>2833</v>
      </c>
    </row>
    <row r="977" spans="1:7" x14ac:dyDescent="0.2">
      <c r="A977" t="s">
        <v>853</v>
      </c>
      <c r="B977" t="s">
        <v>218</v>
      </c>
      <c r="C977" t="s">
        <v>219</v>
      </c>
      <c r="D977" t="s">
        <v>220</v>
      </c>
      <c r="E977" t="s">
        <v>221</v>
      </c>
      <c r="F977" t="s">
        <v>22</v>
      </c>
      <c r="G977">
        <v>2289</v>
      </c>
    </row>
    <row r="978" spans="1:7" x14ac:dyDescent="0.2">
      <c r="A978" t="s">
        <v>853</v>
      </c>
      <c r="B978" t="s">
        <v>218</v>
      </c>
      <c r="C978" t="s">
        <v>219</v>
      </c>
      <c r="D978" t="s">
        <v>45</v>
      </c>
      <c r="G978">
        <v>0</v>
      </c>
    </row>
    <row r="979" spans="1:7" x14ac:dyDescent="0.2">
      <c r="A979" t="s">
        <v>853</v>
      </c>
      <c r="B979" t="s">
        <v>218</v>
      </c>
      <c r="C979" t="s">
        <v>219</v>
      </c>
      <c r="D979" t="s">
        <v>46</v>
      </c>
      <c r="G979">
        <v>544</v>
      </c>
    </row>
    <row r="980" spans="1:7" x14ac:dyDescent="0.2">
      <c r="A980" t="s">
        <v>853</v>
      </c>
      <c r="B980" t="s">
        <v>612</v>
      </c>
      <c r="C980" t="s">
        <v>613</v>
      </c>
      <c r="D980" t="s">
        <v>8</v>
      </c>
      <c r="G980">
        <v>2855</v>
      </c>
    </row>
    <row r="981" spans="1:7" x14ac:dyDescent="0.2">
      <c r="A981" t="s">
        <v>853</v>
      </c>
      <c r="B981" t="s">
        <v>612</v>
      </c>
      <c r="C981" t="s">
        <v>613</v>
      </c>
      <c r="D981" t="s">
        <v>614</v>
      </c>
      <c r="E981" t="s">
        <v>615</v>
      </c>
      <c r="F981" t="s">
        <v>22</v>
      </c>
      <c r="G981">
        <v>2137</v>
      </c>
    </row>
    <row r="982" spans="1:7" x14ac:dyDescent="0.2">
      <c r="A982" t="s">
        <v>853</v>
      </c>
      <c r="B982" t="s">
        <v>612</v>
      </c>
      <c r="C982" t="s">
        <v>613</v>
      </c>
      <c r="D982" t="s">
        <v>616</v>
      </c>
      <c r="E982" t="s">
        <v>617</v>
      </c>
      <c r="F982" t="s">
        <v>28</v>
      </c>
      <c r="G982">
        <v>587</v>
      </c>
    </row>
    <row r="983" spans="1:7" x14ac:dyDescent="0.2">
      <c r="A983" t="s">
        <v>853</v>
      </c>
      <c r="B983" t="s">
        <v>612</v>
      </c>
      <c r="C983" t="s">
        <v>613</v>
      </c>
      <c r="D983" t="s">
        <v>45</v>
      </c>
      <c r="G983">
        <v>0</v>
      </c>
    </row>
    <row r="984" spans="1:7" x14ac:dyDescent="0.2">
      <c r="A984" t="s">
        <v>853</v>
      </c>
      <c r="B984" t="s">
        <v>612</v>
      </c>
      <c r="C984" t="s">
        <v>613</v>
      </c>
      <c r="D984" t="s">
        <v>46</v>
      </c>
      <c r="G984">
        <v>131</v>
      </c>
    </row>
    <row r="985" spans="1:7" x14ac:dyDescent="0.2">
      <c r="A985" t="s">
        <v>853</v>
      </c>
      <c r="B985" t="s">
        <v>688</v>
      </c>
      <c r="C985" t="s">
        <v>689</v>
      </c>
      <c r="D985" t="s">
        <v>8</v>
      </c>
      <c r="G985">
        <v>2855</v>
      </c>
    </row>
    <row r="986" spans="1:7" x14ac:dyDescent="0.2">
      <c r="A986" t="s">
        <v>853</v>
      </c>
      <c r="B986" t="s">
        <v>688</v>
      </c>
      <c r="C986" t="s">
        <v>689</v>
      </c>
      <c r="D986" t="s">
        <v>690</v>
      </c>
      <c r="E986" t="s">
        <v>691</v>
      </c>
      <c r="F986" t="s">
        <v>22</v>
      </c>
      <c r="G986">
        <v>2286</v>
      </c>
    </row>
    <row r="987" spans="1:7" x14ac:dyDescent="0.2">
      <c r="A987" t="s">
        <v>853</v>
      </c>
      <c r="B987" t="s">
        <v>688</v>
      </c>
      <c r="C987" t="s">
        <v>689</v>
      </c>
      <c r="D987" t="s">
        <v>45</v>
      </c>
      <c r="G987">
        <v>0</v>
      </c>
    </row>
    <row r="988" spans="1:7" x14ac:dyDescent="0.2">
      <c r="A988" t="s">
        <v>853</v>
      </c>
      <c r="B988" t="s">
        <v>688</v>
      </c>
      <c r="C988" t="s">
        <v>689</v>
      </c>
      <c r="D988" t="s">
        <v>46</v>
      </c>
      <c r="G988">
        <v>569</v>
      </c>
    </row>
    <row r="989" spans="1:7" x14ac:dyDescent="0.2">
      <c r="A989" t="s">
        <v>853</v>
      </c>
      <c r="B989" t="s">
        <v>692</v>
      </c>
      <c r="C989" t="s">
        <v>693</v>
      </c>
      <c r="D989" t="s">
        <v>8</v>
      </c>
      <c r="G989">
        <v>2855</v>
      </c>
    </row>
    <row r="990" spans="1:7" x14ac:dyDescent="0.2">
      <c r="A990" t="s">
        <v>853</v>
      </c>
      <c r="B990" t="s">
        <v>692</v>
      </c>
      <c r="C990" t="s">
        <v>693</v>
      </c>
      <c r="D990" t="s">
        <v>694</v>
      </c>
      <c r="E990" t="s">
        <v>695</v>
      </c>
      <c r="G990">
        <v>2062</v>
      </c>
    </row>
    <row r="991" spans="1:7" x14ac:dyDescent="0.2">
      <c r="A991" t="s">
        <v>853</v>
      </c>
      <c r="B991" t="s">
        <v>692</v>
      </c>
      <c r="C991" t="s">
        <v>693</v>
      </c>
      <c r="D991" t="s">
        <v>696</v>
      </c>
      <c r="E991" t="s">
        <v>697</v>
      </c>
      <c r="G991">
        <v>293</v>
      </c>
    </row>
    <row r="992" spans="1:7" x14ac:dyDescent="0.2">
      <c r="A992" t="s">
        <v>853</v>
      </c>
      <c r="B992" t="s">
        <v>692</v>
      </c>
      <c r="C992" t="s">
        <v>693</v>
      </c>
      <c r="D992" t="s">
        <v>45</v>
      </c>
      <c r="G992">
        <v>1</v>
      </c>
    </row>
    <row r="993" spans="1:7" x14ac:dyDescent="0.2">
      <c r="A993" t="s">
        <v>853</v>
      </c>
      <c r="B993" t="s">
        <v>692</v>
      </c>
      <c r="C993" t="s">
        <v>693</v>
      </c>
      <c r="D993" t="s">
        <v>46</v>
      </c>
      <c r="G993">
        <v>499</v>
      </c>
    </row>
    <row r="994" spans="1:7" x14ac:dyDescent="0.2">
      <c r="A994" t="s">
        <v>853</v>
      </c>
      <c r="B994" t="s">
        <v>698</v>
      </c>
      <c r="C994" t="s">
        <v>699</v>
      </c>
      <c r="D994" t="s">
        <v>8</v>
      </c>
      <c r="G994">
        <v>2855</v>
      </c>
    </row>
    <row r="995" spans="1:7" x14ac:dyDescent="0.2">
      <c r="A995" t="s">
        <v>853</v>
      </c>
      <c r="B995" t="s">
        <v>698</v>
      </c>
      <c r="C995" t="s">
        <v>699</v>
      </c>
      <c r="D995" t="s">
        <v>694</v>
      </c>
      <c r="E995" t="s">
        <v>700</v>
      </c>
      <c r="G995">
        <v>2043</v>
      </c>
    </row>
    <row r="996" spans="1:7" x14ac:dyDescent="0.2">
      <c r="A996" t="s">
        <v>853</v>
      </c>
      <c r="B996" t="s">
        <v>698</v>
      </c>
      <c r="C996" t="s">
        <v>699</v>
      </c>
      <c r="D996" t="s">
        <v>696</v>
      </c>
      <c r="E996" t="s">
        <v>701</v>
      </c>
      <c r="G996">
        <v>281</v>
      </c>
    </row>
    <row r="997" spans="1:7" x14ac:dyDescent="0.2">
      <c r="A997" t="s">
        <v>853</v>
      </c>
      <c r="B997" t="s">
        <v>698</v>
      </c>
      <c r="C997" t="s">
        <v>699</v>
      </c>
      <c r="D997" t="s">
        <v>45</v>
      </c>
      <c r="G997">
        <v>0</v>
      </c>
    </row>
    <row r="998" spans="1:7" x14ac:dyDescent="0.2">
      <c r="A998" t="s">
        <v>853</v>
      </c>
      <c r="B998" t="s">
        <v>698</v>
      </c>
      <c r="C998" t="s">
        <v>699</v>
      </c>
      <c r="D998" t="s">
        <v>46</v>
      </c>
      <c r="G998">
        <v>531</v>
      </c>
    </row>
    <row r="999" spans="1:7" x14ac:dyDescent="0.2">
      <c r="A999" t="s">
        <v>853</v>
      </c>
      <c r="B999" t="s">
        <v>834</v>
      </c>
      <c r="C999" t="s">
        <v>835</v>
      </c>
      <c r="D999" t="s">
        <v>8</v>
      </c>
      <c r="G999">
        <v>2855</v>
      </c>
    </row>
    <row r="1000" spans="1:7" x14ac:dyDescent="0.2">
      <c r="A1000" t="s">
        <v>853</v>
      </c>
      <c r="B1000" t="s">
        <v>834</v>
      </c>
      <c r="C1000" t="s">
        <v>835</v>
      </c>
      <c r="D1000" t="s">
        <v>836</v>
      </c>
      <c r="E1000" t="s">
        <v>837</v>
      </c>
      <c r="G1000">
        <v>1842</v>
      </c>
    </row>
    <row r="1001" spans="1:7" x14ac:dyDescent="0.2">
      <c r="A1001" t="s">
        <v>853</v>
      </c>
      <c r="B1001" t="s">
        <v>834</v>
      </c>
      <c r="C1001" t="s">
        <v>835</v>
      </c>
      <c r="D1001" t="s">
        <v>838</v>
      </c>
      <c r="E1001" t="s">
        <v>839</v>
      </c>
      <c r="G1001">
        <v>784</v>
      </c>
    </row>
    <row r="1002" spans="1:7" x14ac:dyDescent="0.2">
      <c r="A1002" t="s">
        <v>853</v>
      </c>
      <c r="B1002" t="s">
        <v>834</v>
      </c>
      <c r="C1002" t="s">
        <v>835</v>
      </c>
      <c r="D1002" t="s">
        <v>45</v>
      </c>
      <c r="G1002">
        <v>0</v>
      </c>
    </row>
    <row r="1003" spans="1:7" x14ac:dyDescent="0.2">
      <c r="A1003" t="s">
        <v>853</v>
      </c>
      <c r="B1003" t="s">
        <v>834</v>
      </c>
      <c r="C1003" t="s">
        <v>835</v>
      </c>
      <c r="D1003" t="s">
        <v>46</v>
      </c>
      <c r="G1003">
        <v>229</v>
      </c>
    </row>
    <row r="1004" spans="1:7" x14ac:dyDescent="0.2">
      <c r="A1004" t="s">
        <v>853</v>
      </c>
      <c r="B1004" t="s">
        <v>840</v>
      </c>
      <c r="C1004" t="s">
        <v>841</v>
      </c>
      <c r="D1004" t="s">
        <v>8</v>
      </c>
      <c r="G1004">
        <v>2855</v>
      </c>
    </row>
    <row r="1005" spans="1:7" x14ac:dyDescent="0.2">
      <c r="A1005" t="s">
        <v>853</v>
      </c>
      <c r="B1005" t="s">
        <v>840</v>
      </c>
      <c r="C1005" t="s">
        <v>841</v>
      </c>
      <c r="D1005" t="s">
        <v>836</v>
      </c>
      <c r="E1005" t="s">
        <v>842</v>
      </c>
      <c r="G1005">
        <v>2459</v>
      </c>
    </row>
    <row r="1006" spans="1:7" x14ac:dyDescent="0.2">
      <c r="A1006" t="s">
        <v>853</v>
      </c>
      <c r="B1006" t="s">
        <v>840</v>
      </c>
      <c r="C1006" t="s">
        <v>841</v>
      </c>
      <c r="D1006" t="s">
        <v>838</v>
      </c>
      <c r="E1006" t="s">
        <v>843</v>
      </c>
      <c r="G1006">
        <v>223</v>
      </c>
    </row>
    <row r="1007" spans="1:7" x14ac:dyDescent="0.2">
      <c r="A1007" t="s">
        <v>853</v>
      </c>
      <c r="B1007" t="s">
        <v>840</v>
      </c>
      <c r="C1007" t="s">
        <v>841</v>
      </c>
      <c r="D1007" t="s">
        <v>45</v>
      </c>
      <c r="G1007">
        <v>0</v>
      </c>
    </row>
    <row r="1008" spans="1:7" x14ac:dyDescent="0.2">
      <c r="A1008" t="s">
        <v>853</v>
      </c>
      <c r="B1008" t="s">
        <v>840</v>
      </c>
      <c r="C1008" t="s">
        <v>841</v>
      </c>
      <c r="D1008" t="s">
        <v>46</v>
      </c>
      <c r="G1008">
        <v>173</v>
      </c>
    </row>
    <row r="1009" spans="1:7" x14ac:dyDescent="0.2">
      <c r="A1009" t="s">
        <v>854</v>
      </c>
      <c r="B1009" t="s">
        <v>6</v>
      </c>
      <c r="C1009" t="s">
        <v>7</v>
      </c>
      <c r="D1009" t="s">
        <v>8</v>
      </c>
      <c r="G1009">
        <v>5371</v>
      </c>
    </row>
    <row r="1010" spans="1:7" x14ac:dyDescent="0.2">
      <c r="A1010" t="s">
        <v>854</v>
      </c>
      <c r="B1010" t="s">
        <v>6</v>
      </c>
      <c r="C1010" t="s">
        <v>7</v>
      </c>
      <c r="D1010" t="s">
        <v>9</v>
      </c>
      <c r="E1010" t="s">
        <v>10</v>
      </c>
      <c r="F1010" t="s">
        <v>11</v>
      </c>
      <c r="G1010">
        <v>16</v>
      </c>
    </row>
    <row r="1011" spans="1:7" x14ac:dyDescent="0.2">
      <c r="A1011" t="s">
        <v>854</v>
      </c>
      <c r="B1011" t="s">
        <v>6</v>
      </c>
      <c r="C1011" t="s">
        <v>7</v>
      </c>
      <c r="D1011" t="s">
        <v>12</v>
      </c>
      <c r="E1011" t="s">
        <v>13</v>
      </c>
      <c r="F1011" t="s">
        <v>11</v>
      </c>
      <c r="G1011">
        <v>20</v>
      </c>
    </row>
    <row r="1012" spans="1:7" x14ac:dyDescent="0.2">
      <c r="A1012" t="s">
        <v>854</v>
      </c>
      <c r="B1012" t="s">
        <v>6</v>
      </c>
      <c r="C1012" t="s">
        <v>7</v>
      </c>
      <c r="D1012" t="s">
        <v>14</v>
      </c>
      <c r="E1012" t="s">
        <v>15</v>
      </c>
      <c r="F1012" t="s">
        <v>16</v>
      </c>
      <c r="G1012">
        <v>20</v>
      </c>
    </row>
    <row r="1013" spans="1:7" x14ac:dyDescent="0.2">
      <c r="A1013" t="s">
        <v>854</v>
      </c>
      <c r="B1013" t="s">
        <v>6</v>
      </c>
      <c r="C1013" t="s">
        <v>7</v>
      </c>
      <c r="D1013" t="s">
        <v>17</v>
      </c>
      <c r="E1013" t="s">
        <v>18</v>
      </c>
      <c r="F1013" t="s">
        <v>19</v>
      </c>
      <c r="G1013">
        <v>49</v>
      </c>
    </row>
    <row r="1014" spans="1:7" x14ac:dyDescent="0.2">
      <c r="A1014" t="s">
        <v>854</v>
      </c>
      <c r="B1014" t="s">
        <v>6</v>
      </c>
      <c r="C1014" t="s">
        <v>7</v>
      </c>
      <c r="D1014" t="s">
        <v>20</v>
      </c>
      <c r="E1014" t="s">
        <v>21</v>
      </c>
      <c r="F1014" t="s">
        <v>22</v>
      </c>
      <c r="G1014">
        <v>2327</v>
      </c>
    </row>
    <row r="1015" spans="1:7" x14ac:dyDescent="0.2">
      <c r="A1015" t="s">
        <v>854</v>
      </c>
      <c r="B1015" t="s">
        <v>6</v>
      </c>
      <c r="C1015" t="s">
        <v>7</v>
      </c>
      <c r="D1015" t="s">
        <v>23</v>
      </c>
      <c r="E1015" t="s">
        <v>24</v>
      </c>
      <c r="F1015" t="s">
        <v>25</v>
      </c>
      <c r="G1015">
        <v>25</v>
      </c>
    </row>
    <row r="1016" spans="1:7" x14ac:dyDescent="0.2">
      <c r="A1016" t="s">
        <v>854</v>
      </c>
      <c r="B1016" t="s">
        <v>6</v>
      </c>
      <c r="C1016" t="s">
        <v>7</v>
      </c>
      <c r="D1016" t="s">
        <v>26</v>
      </c>
      <c r="E1016" t="s">
        <v>27</v>
      </c>
      <c r="F1016" t="s">
        <v>28</v>
      </c>
      <c r="G1016">
        <v>2828</v>
      </c>
    </row>
    <row r="1017" spans="1:7" x14ac:dyDescent="0.2">
      <c r="A1017" t="s">
        <v>854</v>
      </c>
      <c r="B1017" t="s">
        <v>6</v>
      </c>
      <c r="C1017" t="s">
        <v>7</v>
      </c>
      <c r="D1017" t="s">
        <v>29</v>
      </c>
      <c r="E1017" t="s">
        <v>30</v>
      </c>
      <c r="F1017" t="s">
        <v>11</v>
      </c>
      <c r="G1017">
        <v>15</v>
      </c>
    </row>
    <row r="1018" spans="1:7" x14ac:dyDescent="0.2">
      <c r="A1018" t="s">
        <v>854</v>
      </c>
      <c r="B1018" t="s">
        <v>6</v>
      </c>
      <c r="C1018" t="s">
        <v>7</v>
      </c>
      <c r="D1018" t="s">
        <v>31</v>
      </c>
      <c r="E1018" t="s">
        <v>32</v>
      </c>
      <c r="F1018" t="s">
        <v>11</v>
      </c>
      <c r="G1018">
        <v>0</v>
      </c>
    </row>
    <row r="1019" spans="1:7" x14ac:dyDescent="0.2">
      <c r="A1019" t="s">
        <v>854</v>
      </c>
      <c r="B1019" t="s">
        <v>6</v>
      </c>
      <c r="C1019" t="s">
        <v>7</v>
      </c>
      <c r="D1019" t="s">
        <v>33</v>
      </c>
      <c r="E1019" t="s">
        <v>34</v>
      </c>
      <c r="F1019" t="s">
        <v>11</v>
      </c>
      <c r="G1019">
        <v>0</v>
      </c>
    </row>
    <row r="1020" spans="1:7" x14ac:dyDescent="0.2">
      <c r="A1020" t="s">
        <v>854</v>
      </c>
      <c r="B1020" t="s">
        <v>6</v>
      </c>
      <c r="C1020" t="s">
        <v>7</v>
      </c>
      <c r="D1020" t="s">
        <v>35</v>
      </c>
      <c r="E1020" t="s">
        <v>36</v>
      </c>
      <c r="F1020" t="s">
        <v>11</v>
      </c>
      <c r="G1020">
        <v>0</v>
      </c>
    </row>
    <row r="1021" spans="1:7" x14ac:dyDescent="0.2">
      <c r="A1021" t="s">
        <v>854</v>
      </c>
      <c r="B1021" t="s">
        <v>6</v>
      </c>
      <c r="C1021" t="s">
        <v>7</v>
      </c>
      <c r="D1021" t="s">
        <v>37</v>
      </c>
      <c r="E1021" t="s">
        <v>38</v>
      </c>
      <c r="F1021" t="s">
        <v>11</v>
      </c>
      <c r="G1021">
        <v>0</v>
      </c>
    </row>
    <row r="1022" spans="1:7" x14ac:dyDescent="0.2">
      <c r="A1022" t="s">
        <v>854</v>
      </c>
      <c r="B1022" t="s">
        <v>6</v>
      </c>
      <c r="C1022" t="s">
        <v>7</v>
      </c>
      <c r="D1022" t="s">
        <v>39</v>
      </c>
      <c r="E1022" t="s">
        <v>40</v>
      </c>
      <c r="F1022" t="s">
        <v>11</v>
      </c>
      <c r="G1022">
        <v>0</v>
      </c>
    </row>
    <row r="1023" spans="1:7" x14ac:dyDescent="0.2">
      <c r="A1023" t="s">
        <v>854</v>
      </c>
      <c r="B1023" t="s">
        <v>6</v>
      </c>
      <c r="C1023" t="s">
        <v>7</v>
      </c>
      <c r="D1023" t="s">
        <v>41</v>
      </c>
      <c r="E1023" t="s">
        <v>42</v>
      </c>
      <c r="F1023" t="s">
        <v>11</v>
      </c>
      <c r="G1023">
        <v>0</v>
      </c>
    </row>
    <row r="1024" spans="1:7" x14ac:dyDescent="0.2">
      <c r="A1024" t="s">
        <v>854</v>
      </c>
      <c r="B1024" t="s">
        <v>6</v>
      </c>
      <c r="C1024" t="s">
        <v>7</v>
      </c>
      <c r="D1024" t="s">
        <v>43</v>
      </c>
      <c r="E1024" t="s">
        <v>44</v>
      </c>
      <c r="F1024" t="s">
        <v>11</v>
      </c>
      <c r="G1024">
        <v>0</v>
      </c>
    </row>
    <row r="1025" spans="1:7" x14ac:dyDescent="0.2">
      <c r="A1025" t="s">
        <v>854</v>
      </c>
      <c r="B1025" t="s">
        <v>6</v>
      </c>
      <c r="C1025" t="s">
        <v>7</v>
      </c>
      <c r="D1025" t="s">
        <v>45</v>
      </c>
      <c r="G1025">
        <v>1</v>
      </c>
    </row>
    <row r="1026" spans="1:7" x14ac:dyDescent="0.2">
      <c r="A1026" t="s">
        <v>854</v>
      </c>
      <c r="B1026" t="s">
        <v>6</v>
      </c>
      <c r="C1026" t="s">
        <v>7</v>
      </c>
      <c r="D1026" t="s">
        <v>46</v>
      </c>
      <c r="G1026">
        <v>45</v>
      </c>
    </row>
    <row r="1027" spans="1:7" x14ac:dyDescent="0.2">
      <c r="A1027" t="s">
        <v>854</v>
      </c>
      <c r="B1027" t="s">
        <v>47</v>
      </c>
      <c r="C1027" t="s">
        <v>48</v>
      </c>
      <c r="D1027" t="s">
        <v>8</v>
      </c>
      <c r="G1027">
        <v>5371</v>
      </c>
    </row>
    <row r="1028" spans="1:7" x14ac:dyDescent="0.2">
      <c r="A1028" t="s">
        <v>854</v>
      </c>
      <c r="B1028" t="s">
        <v>47</v>
      </c>
      <c r="C1028" t="s">
        <v>48</v>
      </c>
      <c r="D1028" t="s">
        <v>49</v>
      </c>
      <c r="E1028" t="s">
        <v>50</v>
      </c>
      <c r="F1028" t="s">
        <v>51</v>
      </c>
      <c r="G1028">
        <v>155</v>
      </c>
    </row>
    <row r="1029" spans="1:7" x14ac:dyDescent="0.2">
      <c r="A1029" t="s">
        <v>854</v>
      </c>
      <c r="B1029" t="s">
        <v>47</v>
      </c>
      <c r="C1029" t="s">
        <v>48</v>
      </c>
      <c r="D1029" t="s">
        <v>52</v>
      </c>
      <c r="E1029" t="s">
        <v>53</v>
      </c>
      <c r="F1029" t="s">
        <v>22</v>
      </c>
      <c r="G1029">
        <v>2472</v>
      </c>
    </row>
    <row r="1030" spans="1:7" x14ac:dyDescent="0.2">
      <c r="A1030" t="s">
        <v>854</v>
      </c>
      <c r="B1030" t="s">
        <v>47</v>
      </c>
      <c r="C1030" t="s">
        <v>48</v>
      </c>
      <c r="D1030" t="s">
        <v>54</v>
      </c>
      <c r="E1030" t="s">
        <v>55</v>
      </c>
      <c r="F1030" t="s">
        <v>28</v>
      </c>
      <c r="G1030">
        <v>2617</v>
      </c>
    </row>
    <row r="1031" spans="1:7" x14ac:dyDescent="0.2">
      <c r="A1031" t="s">
        <v>854</v>
      </c>
      <c r="B1031" t="s">
        <v>47</v>
      </c>
      <c r="C1031" t="s">
        <v>48</v>
      </c>
      <c r="D1031" t="s">
        <v>56</v>
      </c>
      <c r="E1031" t="s">
        <v>57</v>
      </c>
      <c r="F1031" t="s">
        <v>11</v>
      </c>
      <c r="G1031">
        <v>3</v>
      </c>
    </row>
    <row r="1032" spans="1:7" x14ac:dyDescent="0.2">
      <c r="A1032" t="s">
        <v>854</v>
      </c>
      <c r="B1032" t="s">
        <v>47</v>
      </c>
      <c r="C1032" t="s">
        <v>48</v>
      </c>
      <c r="D1032" t="s">
        <v>45</v>
      </c>
      <c r="G1032">
        <v>0</v>
      </c>
    </row>
    <row r="1033" spans="1:7" x14ac:dyDescent="0.2">
      <c r="A1033" t="s">
        <v>854</v>
      </c>
      <c r="B1033" t="s">
        <v>47</v>
      </c>
      <c r="C1033" t="s">
        <v>48</v>
      </c>
      <c r="D1033" t="s">
        <v>46</v>
      </c>
      <c r="G1033">
        <v>108</v>
      </c>
    </row>
    <row r="1034" spans="1:7" x14ac:dyDescent="0.2">
      <c r="A1034" t="s">
        <v>854</v>
      </c>
      <c r="B1034" t="s">
        <v>76</v>
      </c>
      <c r="C1034" t="s">
        <v>77</v>
      </c>
      <c r="D1034" t="s">
        <v>8</v>
      </c>
      <c r="G1034">
        <v>5371</v>
      </c>
    </row>
    <row r="1035" spans="1:7" x14ac:dyDescent="0.2">
      <c r="A1035" t="s">
        <v>854</v>
      </c>
      <c r="B1035" t="s">
        <v>76</v>
      </c>
      <c r="C1035" t="s">
        <v>77</v>
      </c>
      <c r="D1035" t="s">
        <v>78</v>
      </c>
      <c r="E1035" t="s">
        <v>79</v>
      </c>
      <c r="F1035" t="s">
        <v>22</v>
      </c>
      <c r="G1035">
        <v>2385</v>
      </c>
    </row>
    <row r="1036" spans="1:7" x14ac:dyDescent="0.2">
      <c r="A1036" t="s">
        <v>854</v>
      </c>
      <c r="B1036" t="s">
        <v>76</v>
      </c>
      <c r="C1036" t="s">
        <v>77</v>
      </c>
      <c r="D1036" t="s">
        <v>80</v>
      </c>
      <c r="E1036" t="s">
        <v>81</v>
      </c>
      <c r="F1036" t="s">
        <v>28</v>
      </c>
      <c r="G1036">
        <v>2686</v>
      </c>
    </row>
    <row r="1037" spans="1:7" x14ac:dyDescent="0.2">
      <c r="A1037" t="s">
        <v>854</v>
      </c>
      <c r="B1037" t="s">
        <v>76</v>
      </c>
      <c r="C1037" t="s">
        <v>77</v>
      </c>
      <c r="D1037" t="s">
        <v>45</v>
      </c>
      <c r="G1037">
        <v>0</v>
      </c>
    </row>
    <row r="1038" spans="1:7" x14ac:dyDescent="0.2">
      <c r="A1038" t="s">
        <v>854</v>
      </c>
      <c r="B1038" t="s">
        <v>76</v>
      </c>
      <c r="C1038" t="s">
        <v>77</v>
      </c>
      <c r="D1038" t="s">
        <v>46</v>
      </c>
      <c r="G1038">
        <v>300</v>
      </c>
    </row>
    <row r="1039" spans="1:7" x14ac:dyDescent="0.2">
      <c r="A1039" t="s">
        <v>854</v>
      </c>
      <c r="B1039" t="s">
        <v>93</v>
      </c>
      <c r="C1039" t="s">
        <v>94</v>
      </c>
      <c r="D1039" t="s">
        <v>8</v>
      </c>
      <c r="G1039">
        <v>5371</v>
      </c>
    </row>
    <row r="1040" spans="1:7" x14ac:dyDescent="0.2">
      <c r="A1040" t="s">
        <v>854</v>
      </c>
      <c r="B1040" t="s">
        <v>93</v>
      </c>
      <c r="C1040" t="s">
        <v>94</v>
      </c>
      <c r="D1040" t="s">
        <v>95</v>
      </c>
      <c r="E1040" t="s">
        <v>96</v>
      </c>
      <c r="F1040" t="s">
        <v>22</v>
      </c>
      <c r="G1040">
        <v>2186</v>
      </c>
    </row>
    <row r="1041" spans="1:7" x14ac:dyDescent="0.2">
      <c r="A1041" t="s">
        <v>854</v>
      </c>
      <c r="B1041" t="s">
        <v>93</v>
      </c>
      <c r="C1041" t="s">
        <v>94</v>
      </c>
      <c r="D1041" t="s">
        <v>97</v>
      </c>
      <c r="E1041" t="s">
        <v>98</v>
      </c>
      <c r="F1041" t="s">
        <v>51</v>
      </c>
      <c r="G1041">
        <v>80</v>
      </c>
    </row>
    <row r="1042" spans="1:7" x14ac:dyDescent="0.2">
      <c r="A1042" t="s">
        <v>854</v>
      </c>
      <c r="B1042" t="s">
        <v>93</v>
      </c>
      <c r="C1042" t="s">
        <v>94</v>
      </c>
      <c r="D1042" t="s">
        <v>99</v>
      </c>
      <c r="E1042" t="s">
        <v>100</v>
      </c>
      <c r="F1042" t="s">
        <v>28</v>
      </c>
      <c r="G1042">
        <v>2433</v>
      </c>
    </row>
    <row r="1043" spans="1:7" x14ac:dyDescent="0.2">
      <c r="A1043" t="s">
        <v>854</v>
      </c>
      <c r="B1043" t="s">
        <v>93</v>
      </c>
      <c r="C1043" t="s">
        <v>94</v>
      </c>
      <c r="D1043" t="s">
        <v>101</v>
      </c>
      <c r="E1043" t="s">
        <v>102</v>
      </c>
      <c r="F1043" t="s">
        <v>25</v>
      </c>
      <c r="G1043">
        <v>113</v>
      </c>
    </row>
    <row r="1044" spans="1:7" x14ac:dyDescent="0.2">
      <c r="A1044" t="s">
        <v>854</v>
      </c>
      <c r="B1044" t="s">
        <v>93</v>
      </c>
      <c r="C1044" t="s">
        <v>94</v>
      </c>
      <c r="D1044" t="s">
        <v>103</v>
      </c>
      <c r="E1044" t="s">
        <v>104</v>
      </c>
      <c r="F1044" t="s">
        <v>11</v>
      </c>
      <c r="G1044">
        <v>24</v>
      </c>
    </row>
    <row r="1045" spans="1:7" x14ac:dyDescent="0.2">
      <c r="A1045" t="s">
        <v>854</v>
      </c>
      <c r="B1045" t="s">
        <v>93</v>
      </c>
      <c r="C1045" t="s">
        <v>94</v>
      </c>
      <c r="D1045" t="s">
        <v>105</v>
      </c>
      <c r="E1045" t="s">
        <v>106</v>
      </c>
      <c r="F1045" t="s">
        <v>11</v>
      </c>
      <c r="G1045">
        <v>170</v>
      </c>
    </row>
    <row r="1046" spans="1:7" x14ac:dyDescent="0.2">
      <c r="A1046" t="s">
        <v>854</v>
      </c>
      <c r="B1046" t="s">
        <v>93</v>
      </c>
      <c r="C1046" t="s">
        <v>94</v>
      </c>
      <c r="D1046" t="s">
        <v>107</v>
      </c>
      <c r="E1046" t="s">
        <v>108</v>
      </c>
      <c r="F1046" t="s">
        <v>11</v>
      </c>
      <c r="G1046">
        <v>0</v>
      </c>
    </row>
    <row r="1047" spans="1:7" x14ac:dyDescent="0.2">
      <c r="A1047" t="s">
        <v>854</v>
      </c>
      <c r="B1047" t="s">
        <v>93</v>
      </c>
      <c r="C1047" t="s">
        <v>94</v>
      </c>
      <c r="D1047" t="s">
        <v>45</v>
      </c>
      <c r="G1047">
        <v>1</v>
      </c>
    </row>
    <row r="1048" spans="1:7" x14ac:dyDescent="0.2">
      <c r="A1048" t="s">
        <v>854</v>
      </c>
      <c r="B1048" t="s">
        <v>93</v>
      </c>
      <c r="C1048" t="s">
        <v>94</v>
      </c>
      <c r="D1048" t="s">
        <v>46</v>
      </c>
      <c r="G1048">
        <v>130</v>
      </c>
    </row>
    <row r="1049" spans="1:7" x14ac:dyDescent="0.2">
      <c r="A1049" t="s">
        <v>854</v>
      </c>
      <c r="B1049" t="s">
        <v>109</v>
      </c>
      <c r="C1049" t="s">
        <v>110</v>
      </c>
      <c r="D1049" t="s">
        <v>8</v>
      </c>
      <c r="G1049">
        <v>5371</v>
      </c>
    </row>
    <row r="1050" spans="1:7" x14ac:dyDescent="0.2">
      <c r="A1050" t="s">
        <v>854</v>
      </c>
      <c r="B1050" t="s">
        <v>109</v>
      </c>
      <c r="C1050" t="s">
        <v>110</v>
      </c>
      <c r="D1050" t="s">
        <v>111</v>
      </c>
      <c r="E1050" t="s">
        <v>112</v>
      </c>
      <c r="F1050" t="s">
        <v>22</v>
      </c>
      <c r="G1050">
        <v>2213</v>
      </c>
    </row>
    <row r="1051" spans="1:7" x14ac:dyDescent="0.2">
      <c r="A1051" t="s">
        <v>854</v>
      </c>
      <c r="B1051" t="s">
        <v>109</v>
      </c>
      <c r="C1051" t="s">
        <v>110</v>
      </c>
      <c r="D1051" t="s">
        <v>113</v>
      </c>
      <c r="E1051" t="s">
        <v>114</v>
      </c>
      <c r="F1051" t="s">
        <v>28</v>
      </c>
      <c r="G1051">
        <v>2389</v>
      </c>
    </row>
    <row r="1052" spans="1:7" x14ac:dyDescent="0.2">
      <c r="A1052" t="s">
        <v>854</v>
      </c>
      <c r="B1052" t="s">
        <v>109</v>
      </c>
      <c r="C1052" t="s">
        <v>110</v>
      </c>
      <c r="D1052" t="s">
        <v>115</v>
      </c>
      <c r="E1052" t="s">
        <v>116</v>
      </c>
      <c r="F1052" t="s">
        <v>25</v>
      </c>
      <c r="G1052">
        <v>195</v>
      </c>
    </row>
    <row r="1053" spans="1:7" x14ac:dyDescent="0.2">
      <c r="A1053" t="s">
        <v>854</v>
      </c>
      <c r="B1053" t="s">
        <v>109</v>
      </c>
      <c r="C1053" t="s">
        <v>110</v>
      </c>
      <c r="D1053" t="s">
        <v>117</v>
      </c>
      <c r="E1053" t="s">
        <v>118</v>
      </c>
      <c r="F1053" t="s">
        <v>11</v>
      </c>
      <c r="G1053">
        <v>91</v>
      </c>
    </row>
    <row r="1054" spans="1:7" x14ac:dyDescent="0.2">
      <c r="A1054" t="s">
        <v>854</v>
      </c>
      <c r="B1054" t="s">
        <v>109</v>
      </c>
      <c r="C1054" t="s">
        <v>110</v>
      </c>
      <c r="D1054" t="s">
        <v>119</v>
      </c>
      <c r="E1054" t="s">
        <v>120</v>
      </c>
      <c r="F1054" t="s">
        <v>88</v>
      </c>
      <c r="G1054">
        <v>260</v>
      </c>
    </row>
    <row r="1055" spans="1:7" x14ac:dyDescent="0.2">
      <c r="A1055" t="s">
        <v>854</v>
      </c>
      <c r="B1055" t="s">
        <v>109</v>
      </c>
      <c r="C1055" t="s">
        <v>110</v>
      </c>
      <c r="D1055" t="s">
        <v>45</v>
      </c>
      <c r="G1055">
        <v>0</v>
      </c>
    </row>
    <row r="1056" spans="1:7" x14ac:dyDescent="0.2">
      <c r="A1056" t="s">
        <v>854</v>
      </c>
      <c r="B1056" t="s">
        <v>109</v>
      </c>
      <c r="C1056" t="s">
        <v>110</v>
      </c>
      <c r="D1056" t="s">
        <v>46</v>
      </c>
      <c r="G1056">
        <v>223</v>
      </c>
    </row>
    <row r="1057" spans="1:7" x14ac:dyDescent="0.2">
      <c r="A1057" t="s">
        <v>854</v>
      </c>
      <c r="B1057" t="s">
        <v>121</v>
      </c>
      <c r="C1057" t="s">
        <v>122</v>
      </c>
      <c r="D1057" t="s">
        <v>8</v>
      </c>
      <c r="G1057">
        <v>5371</v>
      </c>
    </row>
    <row r="1058" spans="1:7" x14ac:dyDescent="0.2">
      <c r="A1058" t="s">
        <v>854</v>
      </c>
      <c r="B1058" t="s">
        <v>121</v>
      </c>
      <c r="C1058" t="s">
        <v>122</v>
      </c>
      <c r="D1058" t="s">
        <v>123</v>
      </c>
      <c r="E1058" t="s">
        <v>124</v>
      </c>
      <c r="F1058" t="s">
        <v>22</v>
      </c>
      <c r="G1058">
        <v>2363</v>
      </c>
    </row>
    <row r="1059" spans="1:7" x14ac:dyDescent="0.2">
      <c r="A1059" t="s">
        <v>854</v>
      </c>
      <c r="B1059" t="s">
        <v>121</v>
      </c>
      <c r="C1059" t="s">
        <v>122</v>
      </c>
      <c r="D1059" t="s">
        <v>125</v>
      </c>
      <c r="E1059" t="s">
        <v>126</v>
      </c>
      <c r="F1059" t="s">
        <v>16</v>
      </c>
      <c r="G1059">
        <v>156</v>
      </c>
    </row>
    <row r="1060" spans="1:7" x14ac:dyDescent="0.2">
      <c r="A1060" t="s">
        <v>854</v>
      </c>
      <c r="B1060" t="s">
        <v>121</v>
      </c>
      <c r="C1060" t="s">
        <v>122</v>
      </c>
      <c r="D1060" t="s">
        <v>127</v>
      </c>
      <c r="E1060" t="s">
        <v>128</v>
      </c>
      <c r="F1060" t="s">
        <v>28</v>
      </c>
      <c r="G1060">
        <v>2581</v>
      </c>
    </row>
    <row r="1061" spans="1:7" x14ac:dyDescent="0.2">
      <c r="A1061" t="s">
        <v>854</v>
      </c>
      <c r="B1061" t="s">
        <v>121</v>
      </c>
      <c r="C1061" t="s">
        <v>122</v>
      </c>
      <c r="D1061" t="s">
        <v>45</v>
      </c>
      <c r="G1061">
        <v>0</v>
      </c>
    </row>
    <row r="1062" spans="1:7" x14ac:dyDescent="0.2">
      <c r="A1062" t="s">
        <v>854</v>
      </c>
      <c r="B1062" t="s">
        <v>121</v>
      </c>
      <c r="C1062" t="s">
        <v>122</v>
      </c>
      <c r="D1062" t="s">
        <v>46</v>
      </c>
      <c r="G1062">
        <v>271</v>
      </c>
    </row>
    <row r="1063" spans="1:7" x14ac:dyDescent="0.2">
      <c r="A1063" t="s">
        <v>854</v>
      </c>
      <c r="B1063" t="s">
        <v>129</v>
      </c>
      <c r="C1063" t="s">
        <v>130</v>
      </c>
      <c r="D1063" t="s">
        <v>8</v>
      </c>
      <c r="G1063">
        <v>5371</v>
      </c>
    </row>
    <row r="1064" spans="1:7" x14ac:dyDescent="0.2">
      <c r="A1064" t="s">
        <v>854</v>
      </c>
      <c r="B1064" t="s">
        <v>129</v>
      </c>
      <c r="C1064" t="s">
        <v>130</v>
      </c>
      <c r="D1064" t="s">
        <v>131</v>
      </c>
      <c r="E1064" t="s">
        <v>132</v>
      </c>
      <c r="F1064" t="s">
        <v>133</v>
      </c>
      <c r="G1064">
        <v>201</v>
      </c>
    </row>
    <row r="1065" spans="1:7" x14ac:dyDescent="0.2">
      <c r="A1065" t="s">
        <v>854</v>
      </c>
      <c r="B1065" t="s">
        <v>129</v>
      </c>
      <c r="C1065" t="s">
        <v>130</v>
      </c>
      <c r="D1065" t="s">
        <v>134</v>
      </c>
      <c r="E1065" t="s">
        <v>135</v>
      </c>
      <c r="F1065" t="s">
        <v>22</v>
      </c>
      <c r="G1065">
        <v>2364</v>
      </c>
    </row>
    <row r="1066" spans="1:7" x14ac:dyDescent="0.2">
      <c r="A1066" t="s">
        <v>854</v>
      </c>
      <c r="B1066" t="s">
        <v>129</v>
      </c>
      <c r="C1066" t="s">
        <v>130</v>
      </c>
      <c r="D1066" t="s">
        <v>136</v>
      </c>
      <c r="E1066" t="s">
        <v>137</v>
      </c>
      <c r="F1066" t="s">
        <v>28</v>
      </c>
      <c r="G1066">
        <v>2506</v>
      </c>
    </row>
    <row r="1067" spans="1:7" x14ac:dyDescent="0.2">
      <c r="A1067" t="s">
        <v>854</v>
      </c>
      <c r="B1067" t="s">
        <v>129</v>
      </c>
      <c r="C1067" t="s">
        <v>130</v>
      </c>
      <c r="D1067" t="s">
        <v>45</v>
      </c>
      <c r="G1067">
        <v>1</v>
      </c>
    </row>
    <row r="1068" spans="1:7" x14ac:dyDescent="0.2">
      <c r="A1068" t="s">
        <v>854</v>
      </c>
      <c r="B1068" t="s">
        <v>129</v>
      </c>
      <c r="C1068" t="s">
        <v>130</v>
      </c>
      <c r="D1068" t="s">
        <v>46</v>
      </c>
      <c r="G1068">
        <v>299</v>
      </c>
    </row>
    <row r="1069" spans="1:7" x14ac:dyDescent="0.2">
      <c r="A1069" t="s">
        <v>854</v>
      </c>
      <c r="B1069" t="s">
        <v>210</v>
      </c>
      <c r="C1069" t="s">
        <v>211</v>
      </c>
      <c r="D1069" t="s">
        <v>8</v>
      </c>
      <c r="G1069">
        <v>5371</v>
      </c>
    </row>
    <row r="1070" spans="1:7" x14ac:dyDescent="0.2">
      <c r="A1070" t="s">
        <v>854</v>
      </c>
      <c r="B1070" t="s">
        <v>210</v>
      </c>
      <c r="C1070" t="s">
        <v>211</v>
      </c>
      <c r="D1070" t="s">
        <v>212</v>
      </c>
      <c r="E1070" t="s">
        <v>213</v>
      </c>
      <c r="F1070" t="s">
        <v>11</v>
      </c>
      <c r="G1070">
        <v>384</v>
      </c>
    </row>
    <row r="1071" spans="1:7" x14ac:dyDescent="0.2">
      <c r="A1071" t="s">
        <v>854</v>
      </c>
      <c r="B1071" t="s">
        <v>210</v>
      </c>
      <c r="C1071" t="s">
        <v>211</v>
      </c>
      <c r="D1071" t="s">
        <v>214</v>
      </c>
      <c r="E1071" t="s">
        <v>215</v>
      </c>
      <c r="F1071" t="s">
        <v>28</v>
      </c>
      <c r="G1071">
        <v>2380</v>
      </c>
    </row>
    <row r="1072" spans="1:7" x14ac:dyDescent="0.2">
      <c r="A1072" t="s">
        <v>854</v>
      </c>
      <c r="B1072" t="s">
        <v>210</v>
      </c>
      <c r="C1072" t="s">
        <v>211</v>
      </c>
      <c r="D1072" t="s">
        <v>216</v>
      </c>
      <c r="E1072" t="s">
        <v>217</v>
      </c>
      <c r="F1072" t="s">
        <v>22</v>
      </c>
      <c r="G1072">
        <v>2337</v>
      </c>
    </row>
    <row r="1073" spans="1:7" x14ac:dyDescent="0.2">
      <c r="A1073" t="s">
        <v>854</v>
      </c>
      <c r="B1073" t="s">
        <v>210</v>
      </c>
      <c r="C1073" t="s">
        <v>211</v>
      </c>
      <c r="D1073" t="s">
        <v>45</v>
      </c>
      <c r="G1073">
        <v>0</v>
      </c>
    </row>
    <row r="1074" spans="1:7" x14ac:dyDescent="0.2">
      <c r="A1074" t="s">
        <v>854</v>
      </c>
      <c r="B1074" t="s">
        <v>210</v>
      </c>
      <c r="C1074" t="s">
        <v>211</v>
      </c>
      <c r="D1074" t="s">
        <v>46</v>
      </c>
      <c r="G1074">
        <v>270</v>
      </c>
    </row>
    <row r="1075" spans="1:7" x14ac:dyDescent="0.2">
      <c r="A1075" t="s">
        <v>854</v>
      </c>
      <c r="B1075" t="s">
        <v>612</v>
      </c>
      <c r="C1075" t="s">
        <v>613</v>
      </c>
      <c r="D1075" t="s">
        <v>8</v>
      </c>
      <c r="G1075">
        <v>5371</v>
      </c>
    </row>
    <row r="1076" spans="1:7" x14ac:dyDescent="0.2">
      <c r="A1076" t="s">
        <v>854</v>
      </c>
      <c r="B1076" t="s">
        <v>612</v>
      </c>
      <c r="C1076" t="s">
        <v>613</v>
      </c>
      <c r="D1076" t="s">
        <v>614</v>
      </c>
      <c r="E1076" t="s">
        <v>615</v>
      </c>
      <c r="F1076" t="s">
        <v>22</v>
      </c>
      <c r="G1076">
        <v>2197</v>
      </c>
    </row>
    <row r="1077" spans="1:7" x14ac:dyDescent="0.2">
      <c r="A1077" t="s">
        <v>854</v>
      </c>
      <c r="B1077" t="s">
        <v>612</v>
      </c>
      <c r="C1077" t="s">
        <v>613</v>
      </c>
      <c r="D1077" t="s">
        <v>616</v>
      </c>
      <c r="E1077" t="s">
        <v>617</v>
      </c>
      <c r="F1077" t="s">
        <v>28</v>
      </c>
      <c r="G1077">
        <v>2910</v>
      </c>
    </row>
    <row r="1078" spans="1:7" x14ac:dyDescent="0.2">
      <c r="A1078" t="s">
        <v>854</v>
      </c>
      <c r="B1078" t="s">
        <v>612</v>
      </c>
      <c r="C1078" t="s">
        <v>613</v>
      </c>
      <c r="D1078" t="s">
        <v>45</v>
      </c>
      <c r="G1078">
        <v>2</v>
      </c>
    </row>
    <row r="1079" spans="1:7" x14ac:dyDescent="0.2">
      <c r="A1079" t="s">
        <v>854</v>
      </c>
      <c r="B1079" t="s">
        <v>612</v>
      </c>
      <c r="C1079" t="s">
        <v>613</v>
      </c>
      <c r="D1079" t="s">
        <v>46</v>
      </c>
      <c r="G1079">
        <v>262</v>
      </c>
    </row>
    <row r="1080" spans="1:7" x14ac:dyDescent="0.2">
      <c r="A1080" t="s">
        <v>854</v>
      </c>
      <c r="B1080" t="s">
        <v>692</v>
      </c>
      <c r="C1080" t="s">
        <v>693</v>
      </c>
      <c r="D1080" t="s">
        <v>8</v>
      </c>
      <c r="G1080">
        <v>5371</v>
      </c>
    </row>
    <row r="1081" spans="1:7" x14ac:dyDescent="0.2">
      <c r="A1081" t="s">
        <v>854</v>
      </c>
      <c r="B1081" t="s">
        <v>692</v>
      </c>
      <c r="C1081" t="s">
        <v>693</v>
      </c>
      <c r="D1081" t="s">
        <v>694</v>
      </c>
      <c r="E1081" t="s">
        <v>695</v>
      </c>
      <c r="G1081">
        <v>3203</v>
      </c>
    </row>
    <row r="1082" spans="1:7" x14ac:dyDescent="0.2">
      <c r="A1082" t="s">
        <v>854</v>
      </c>
      <c r="B1082" t="s">
        <v>692</v>
      </c>
      <c r="C1082" t="s">
        <v>693</v>
      </c>
      <c r="D1082" t="s">
        <v>696</v>
      </c>
      <c r="E1082" t="s">
        <v>697</v>
      </c>
      <c r="G1082">
        <v>999</v>
      </c>
    </row>
    <row r="1083" spans="1:7" x14ac:dyDescent="0.2">
      <c r="A1083" t="s">
        <v>854</v>
      </c>
      <c r="B1083" t="s">
        <v>692</v>
      </c>
      <c r="C1083" t="s">
        <v>693</v>
      </c>
      <c r="D1083" t="s">
        <v>45</v>
      </c>
      <c r="G1083">
        <v>2</v>
      </c>
    </row>
    <row r="1084" spans="1:7" x14ac:dyDescent="0.2">
      <c r="A1084" t="s">
        <v>854</v>
      </c>
      <c r="B1084" t="s">
        <v>692</v>
      </c>
      <c r="C1084" t="s">
        <v>693</v>
      </c>
      <c r="D1084" t="s">
        <v>46</v>
      </c>
      <c r="G1084">
        <v>1167</v>
      </c>
    </row>
    <row r="1085" spans="1:7" x14ac:dyDescent="0.2">
      <c r="A1085" t="s">
        <v>854</v>
      </c>
      <c r="B1085" t="s">
        <v>698</v>
      </c>
      <c r="C1085" t="s">
        <v>699</v>
      </c>
      <c r="D1085" t="s">
        <v>8</v>
      </c>
      <c r="G1085">
        <v>5371</v>
      </c>
    </row>
    <row r="1086" spans="1:7" x14ac:dyDescent="0.2">
      <c r="A1086" t="s">
        <v>854</v>
      </c>
      <c r="B1086" t="s">
        <v>698</v>
      </c>
      <c r="C1086" t="s">
        <v>699</v>
      </c>
      <c r="D1086" t="s">
        <v>694</v>
      </c>
      <c r="E1086" t="s">
        <v>700</v>
      </c>
      <c r="G1086">
        <v>3206</v>
      </c>
    </row>
    <row r="1087" spans="1:7" x14ac:dyDescent="0.2">
      <c r="A1087" t="s">
        <v>854</v>
      </c>
      <c r="B1087" t="s">
        <v>698</v>
      </c>
      <c r="C1087" t="s">
        <v>699</v>
      </c>
      <c r="D1087" t="s">
        <v>696</v>
      </c>
      <c r="E1087" t="s">
        <v>701</v>
      </c>
      <c r="G1087">
        <v>944</v>
      </c>
    </row>
    <row r="1088" spans="1:7" x14ac:dyDescent="0.2">
      <c r="A1088" t="s">
        <v>854</v>
      </c>
      <c r="B1088" t="s">
        <v>698</v>
      </c>
      <c r="C1088" t="s">
        <v>699</v>
      </c>
      <c r="D1088" t="s">
        <v>45</v>
      </c>
      <c r="G1088">
        <v>1</v>
      </c>
    </row>
    <row r="1089" spans="1:7" x14ac:dyDescent="0.2">
      <c r="A1089" t="s">
        <v>854</v>
      </c>
      <c r="B1089" t="s">
        <v>698</v>
      </c>
      <c r="C1089" t="s">
        <v>699</v>
      </c>
      <c r="D1089" t="s">
        <v>46</v>
      </c>
      <c r="G1089">
        <v>1220</v>
      </c>
    </row>
    <row r="1090" spans="1:7" x14ac:dyDescent="0.2">
      <c r="A1090" t="s">
        <v>854</v>
      </c>
      <c r="B1090" t="s">
        <v>790</v>
      </c>
      <c r="C1090" t="s">
        <v>791</v>
      </c>
      <c r="D1090" t="s">
        <v>8</v>
      </c>
      <c r="G1090">
        <v>5371</v>
      </c>
    </row>
    <row r="1091" spans="1:7" x14ac:dyDescent="0.2">
      <c r="A1091" t="s">
        <v>854</v>
      </c>
      <c r="B1091" t="s">
        <v>790</v>
      </c>
      <c r="C1091" t="s">
        <v>791</v>
      </c>
      <c r="D1091" t="s">
        <v>694</v>
      </c>
      <c r="E1091" t="s">
        <v>792</v>
      </c>
      <c r="G1091">
        <v>3246</v>
      </c>
    </row>
    <row r="1092" spans="1:7" x14ac:dyDescent="0.2">
      <c r="A1092" t="s">
        <v>854</v>
      </c>
      <c r="B1092" t="s">
        <v>790</v>
      </c>
      <c r="C1092" t="s">
        <v>791</v>
      </c>
      <c r="D1092" t="s">
        <v>696</v>
      </c>
      <c r="E1092" t="s">
        <v>793</v>
      </c>
      <c r="G1092">
        <v>882</v>
      </c>
    </row>
    <row r="1093" spans="1:7" x14ac:dyDescent="0.2">
      <c r="A1093" t="s">
        <v>854</v>
      </c>
      <c r="B1093" t="s">
        <v>790</v>
      </c>
      <c r="C1093" t="s">
        <v>791</v>
      </c>
      <c r="D1093" t="s">
        <v>45</v>
      </c>
      <c r="G1093">
        <v>0</v>
      </c>
    </row>
    <row r="1094" spans="1:7" x14ac:dyDescent="0.2">
      <c r="A1094" t="s">
        <v>854</v>
      </c>
      <c r="B1094" t="s">
        <v>790</v>
      </c>
      <c r="C1094" t="s">
        <v>791</v>
      </c>
      <c r="D1094" t="s">
        <v>46</v>
      </c>
      <c r="G1094">
        <v>1243</v>
      </c>
    </row>
    <row r="1095" spans="1:7" x14ac:dyDescent="0.2">
      <c r="A1095" t="s">
        <v>854</v>
      </c>
      <c r="B1095" t="s">
        <v>834</v>
      </c>
      <c r="C1095" t="s">
        <v>835</v>
      </c>
      <c r="D1095" t="s">
        <v>8</v>
      </c>
      <c r="G1095">
        <v>5371</v>
      </c>
    </row>
    <row r="1096" spans="1:7" x14ac:dyDescent="0.2">
      <c r="A1096" t="s">
        <v>854</v>
      </c>
      <c r="B1096" t="s">
        <v>834</v>
      </c>
      <c r="C1096" t="s">
        <v>835</v>
      </c>
      <c r="D1096" t="s">
        <v>836</v>
      </c>
      <c r="E1096" t="s">
        <v>837</v>
      </c>
      <c r="G1096">
        <v>3804</v>
      </c>
    </row>
    <row r="1097" spans="1:7" x14ac:dyDescent="0.2">
      <c r="A1097" t="s">
        <v>854</v>
      </c>
      <c r="B1097" t="s">
        <v>834</v>
      </c>
      <c r="C1097" t="s">
        <v>835</v>
      </c>
      <c r="D1097" t="s">
        <v>838</v>
      </c>
      <c r="E1097" t="s">
        <v>839</v>
      </c>
      <c r="G1097">
        <v>1207</v>
      </c>
    </row>
    <row r="1098" spans="1:7" x14ac:dyDescent="0.2">
      <c r="A1098" t="s">
        <v>854</v>
      </c>
      <c r="B1098" t="s">
        <v>834</v>
      </c>
      <c r="C1098" t="s">
        <v>835</v>
      </c>
      <c r="D1098" t="s">
        <v>45</v>
      </c>
      <c r="G1098">
        <v>0</v>
      </c>
    </row>
    <row r="1099" spans="1:7" x14ac:dyDescent="0.2">
      <c r="A1099" t="s">
        <v>854</v>
      </c>
      <c r="B1099" t="s">
        <v>834</v>
      </c>
      <c r="C1099" t="s">
        <v>835</v>
      </c>
      <c r="D1099" t="s">
        <v>46</v>
      </c>
      <c r="G1099">
        <v>360</v>
      </c>
    </row>
    <row r="1100" spans="1:7" x14ac:dyDescent="0.2">
      <c r="A1100" t="s">
        <v>854</v>
      </c>
      <c r="B1100" t="s">
        <v>840</v>
      </c>
      <c r="C1100" t="s">
        <v>841</v>
      </c>
      <c r="D1100" t="s">
        <v>8</v>
      </c>
      <c r="G1100">
        <v>5371</v>
      </c>
    </row>
    <row r="1101" spans="1:7" x14ac:dyDescent="0.2">
      <c r="A1101" t="s">
        <v>854</v>
      </c>
      <c r="B1101" t="s">
        <v>840</v>
      </c>
      <c r="C1101" t="s">
        <v>841</v>
      </c>
      <c r="D1101" t="s">
        <v>836</v>
      </c>
      <c r="E1101" t="s">
        <v>842</v>
      </c>
      <c r="G1101">
        <v>3885</v>
      </c>
    </row>
    <row r="1102" spans="1:7" x14ac:dyDescent="0.2">
      <c r="A1102" t="s">
        <v>854</v>
      </c>
      <c r="B1102" t="s">
        <v>840</v>
      </c>
      <c r="C1102" t="s">
        <v>841</v>
      </c>
      <c r="D1102" t="s">
        <v>838</v>
      </c>
      <c r="E1102" t="s">
        <v>843</v>
      </c>
      <c r="G1102">
        <v>1155</v>
      </c>
    </row>
    <row r="1103" spans="1:7" x14ac:dyDescent="0.2">
      <c r="A1103" t="s">
        <v>854</v>
      </c>
      <c r="B1103" t="s">
        <v>840</v>
      </c>
      <c r="C1103" t="s">
        <v>841</v>
      </c>
      <c r="D1103" t="s">
        <v>45</v>
      </c>
      <c r="G1103">
        <v>0</v>
      </c>
    </row>
    <row r="1104" spans="1:7" x14ac:dyDescent="0.2">
      <c r="A1104" t="s">
        <v>854</v>
      </c>
      <c r="B1104" t="s">
        <v>840</v>
      </c>
      <c r="C1104" t="s">
        <v>841</v>
      </c>
      <c r="D1104" t="s">
        <v>46</v>
      </c>
      <c r="G1104">
        <v>331</v>
      </c>
    </row>
    <row r="1105" spans="1:7" x14ac:dyDescent="0.2">
      <c r="A1105" t="s">
        <v>855</v>
      </c>
      <c r="B1105" t="s">
        <v>6</v>
      </c>
      <c r="C1105" t="s">
        <v>7</v>
      </c>
      <c r="D1105" t="s">
        <v>8</v>
      </c>
      <c r="G1105">
        <v>28457</v>
      </c>
    </row>
    <row r="1106" spans="1:7" x14ac:dyDescent="0.2">
      <c r="A1106" t="s">
        <v>855</v>
      </c>
      <c r="B1106" t="s">
        <v>6</v>
      </c>
      <c r="C1106" t="s">
        <v>7</v>
      </c>
      <c r="D1106" t="s">
        <v>9</v>
      </c>
      <c r="E1106" t="s">
        <v>10</v>
      </c>
      <c r="F1106" t="s">
        <v>11</v>
      </c>
      <c r="G1106">
        <v>31</v>
      </c>
    </row>
    <row r="1107" spans="1:7" x14ac:dyDescent="0.2">
      <c r="A1107" t="s">
        <v>855</v>
      </c>
      <c r="B1107" t="s">
        <v>6</v>
      </c>
      <c r="C1107" t="s">
        <v>7</v>
      </c>
      <c r="D1107" t="s">
        <v>12</v>
      </c>
      <c r="E1107" t="s">
        <v>13</v>
      </c>
      <c r="F1107" t="s">
        <v>11</v>
      </c>
      <c r="G1107">
        <v>40</v>
      </c>
    </row>
    <row r="1108" spans="1:7" x14ac:dyDescent="0.2">
      <c r="A1108" t="s">
        <v>855</v>
      </c>
      <c r="B1108" t="s">
        <v>6</v>
      </c>
      <c r="C1108" t="s">
        <v>7</v>
      </c>
      <c r="D1108" t="s">
        <v>14</v>
      </c>
      <c r="E1108" t="s">
        <v>15</v>
      </c>
      <c r="F1108" t="s">
        <v>16</v>
      </c>
      <c r="G1108">
        <v>154</v>
      </c>
    </row>
    <row r="1109" spans="1:7" x14ac:dyDescent="0.2">
      <c r="A1109" t="s">
        <v>855</v>
      </c>
      <c r="B1109" t="s">
        <v>6</v>
      </c>
      <c r="C1109" t="s">
        <v>7</v>
      </c>
      <c r="D1109" t="s">
        <v>17</v>
      </c>
      <c r="E1109" t="s">
        <v>18</v>
      </c>
      <c r="F1109" t="s">
        <v>19</v>
      </c>
      <c r="G1109">
        <v>87</v>
      </c>
    </row>
    <row r="1110" spans="1:7" x14ac:dyDescent="0.2">
      <c r="A1110" t="s">
        <v>855</v>
      </c>
      <c r="B1110" t="s">
        <v>6</v>
      </c>
      <c r="C1110" t="s">
        <v>7</v>
      </c>
      <c r="D1110" t="s">
        <v>20</v>
      </c>
      <c r="E1110" t="s">
        <v>21</v>
      </c>
      <c r="F1110" t="s">
        <v>22</v>
      </c>
      <c r="G1110">
        <v>21571</v>
      </c>
    </row>
    <row r="1111" spans="1:7" x14ac:dyDescent="0.2">
      <c r="A1111" t="s">
        <v>855</v>
      </c>
      <c r="B1111" t="s">
        <v>6</v>
      </c>
      <c r="C1111" t="s">
        <v>7</v>
      </c>
      <c r="D1111" t="s">
        <v>23</v>
      </c>
      <c r="E1111" t="s">
        <v>24</v>
      </c>
      <c r="F1111" t="s">
        <v>25</v>
      </c>
      <c r="G1111">
        <v>275</v>
      </c>
    </row>
    <row r="1112" spans="1:7" x14ac:dyDescent="0.2">
      <c r="A1112" t="s">
        <v>855</v>
      </c>
      <c r="B1112" t="s">
        <v>6</v>
      </c>
      <c r="C1112" t="s">
        <v>7</v>
      </c>
      <c r="D1112" t="s">
        <v>26</v>
      </c>
      <c r="E1112" t="s">
        <v>27</v>
      </c>
      <c r="F1112" t="s">
        <v>28</v>
      </c>
      <c r="G1112">
        <v>5683</v>
      </c>
    </row>
    <row r="1113" spans="1:7" x14ac:dyDescent="0.2">
      <c r="A1113" t="s">
        <v>855</v>
      </c>
      <c r="B1113" t="s">
        <v>6</v>
      </c>
      <c r="C1113" t="s">
        <v>7</v>
      </c>
      <c r="D1113" t="s">
        <v>29</v>
      </c>
      <c r="E1113" t="s">
        <v>30</v>
      </c>
      <c r="F1113" t="s">
        <v>11</v>
      </c>
      <c r="G1113">
        <v>35</v>
      </c>
    </row>
    <row r="1114" spans="1:7" x14ac:dyDescent="0.2">
      <c r="A1114" t="s">
        <v>855</v>
      </c>
      <c r="B1114" t="s">
        <v>6</v>
      </c>
      <c r="C1114" t="s">
        <v>7</v>
      </c>
      <c r="D1114" t="s">
        <v>31</v>
      </c>
      <c r="E1114" t="s">
        <v>32</v>
      </c>
      <c r="F1114" t="s">
        <v>11</v>
      </c>
      <c r="G1114">
        <v>0</v>
      </c>
    </row>
    <row r="1115" spans="1:7" x14ac:dyDescent="0.2">
      <c r="A1115" t="s">
        <v>855</v>
      </c>
      <c r="B1115" t="s">
        <v>6</v>
      </c>
      <c r="C1115" t="s">
        <v>7</v>
      </c>
      <c r="D1115" t="s">
        <v>33</v>
      </c>
      <c r="E1115" t="s">
        <v>34</v>
      </c>
      <c r="F1115" t="s">
        <v>11</v>
      </c>
      <c r="G1115">
        <v>2</v>
      </c>
    </row>
    <row r="1116" spans="1:7" x14ac:dyDescent="0.2">
      <c r="A1116" t="s">
        <v>855</v>
      </c>
      <c r="B1116" t="s">
        <v>6</v>
      </c>
      <c r="C1116" t="s">
        <v>7</v>
      </c>
      <c r="D1116" t="s">
        <v>35</v>
      </c>
      <c r="E1116" t="s">
        <v>36</v>
      </c>
      <c r="F1116" t="s">
        <v>11</v>
      </c>
      <c r="G1116">
        <v>0</v>
      </c>
    </row>
    <row r="1117" spans="1:7" x14ac:dyDescent="0.2">
      <c r="A1117" t="s">
        <v>855</v>
      </c>
      <c r="B1117" t="s">
        <v>6</v>
      </c>
      <c r="C1117" t="s">
        <v>7</v>
      </c>
      <c r="D1117" t="s">
        <v>37</v>
      </c>
      <c r="E1117" t="s">
        <v>38</v>
      </c>
      <c r="F1117" t="s">
        <v>11</v>
      </c>
      <c r="G1117">
        <v>0</v>
      </c>
    </row>
    <row r="1118" spans="1:7" x14ac:dyDescent="0.2">
      <c r="A1118" t="s">
        <v>855</v>
      </c>
      <c r="B1118" t="s">
        <v>6</v>
      </c>
      <c r="C1118" t="s">
        <v>7</v>
      </c>
      <c r="D1118" t="s">
        <v>39</v>
      </c>
      <c r="E1118" t="s">
        <v>40</v>
      </c>
      <c r="F1118" t="s">
        <v>11</v>
      </c>
      <c r="G1118">
        <v>0</v>
      </c>
    </row>
    <row r="1119" spans="1:7" x14ac:dyDescent="0.2">
      <c r="A1119" t="s">
        <v>855</v>
      </c>
      <c r="B1119" t="s">
        <v>6</v>
      </c>
      <c r="C1119" t="s">
        <v>7</v>
      </c>
      <c r="D1119" t="s">
        <v>41</v>
      </c>
      <c r="E1119" t="s">
        <v>42</v>
      </c>
      <c r="F1119" t="s">
        <v>11</v>
      </c>
      <c r="G1119">
        <v>0</v>
      </c>
    </row>
    <row r="1120" spans="1:7" x14ac:dyDescent="0.2">
      <c r="A1120" t="s">
        <v>855</v>
      </c>
      <c r="B1120" t="s">
        <v>6</v>
      </c>
      <c r="C1120" t="s">
        <v>7</v>
      </c>
      <c r="D1120" t="s">
        <v>43</v>
      </c>
      <c r="E1120" t="s">
        <v>44</v>
      </c>
      <c r="F1120" t="s">
        <v>11</v>
      </c>
      <c r="G1120">
        <v>0</v>
      </c>
    </row>
    <row r="1121" spans="1:7" x14ac:dyDescent="0.2">
      <c r="A1121" t="s">
        <v>855</v>
      </c>
      <c r="B1121" t="s">
        <v>6</v>
      </c>
      <c r="C1121" t="s">
        <v>7</v>
      </c>
      <c r="D1121" t="s">
        <v>45</v>
      </c>
      <c r="G1121">
        <v>6</v>
      </c>
    </row>
    <row r="1122" spans="1:7" x14ac:dyDescent="0.2">
      <c r="A1122" t="s">
        <v>855</v>
      </c>
      <c r="B1122" t="s">
        <v>6</v>
      </c>
      <c r="C1122" t="s">
        <v>7</v>
      </c>
      <c r="D1122" t="s">
        <v>46</v>
      </c>
      <c r="G1122">
        <v>285</v>
      </c>
    </row>
    <row r="1123" spans="1:7" x14ac:dyDescent="0.2">
      <c r="A1123" t="s">
        <v>855</v>
      </c>
      <c r="B1123" t="s">
        <v>47</v>
      </c>
      <c r="C1123" t="s">
        <v>48</v>
      </c>
      <c r="D1123" t="s">
        <v>8</v>
      </c>
      <c r="G1123">
        <v>28457</v>
      </c>
    </row>
    <row r="1124" spans="1:7" x14ac:dyDescent="0.2">
      <c r="A1124" t="s">
        <v>855</v>
      </c>
      <c r="B1124" t="s">
        <v>47</v>
      </c>
      <c r="C1124" t="s">
        <v>48</v>
      </c>
      <c r="D1124" t="s">
        <v>49</v>
      </c>
      <c r="E1124" t="s">
        <v>50</v>
      </c>
      <c r="F1124" t="s">
        <v>51</v>
      </c>
      <c r="G1124">
        <v>1914</v>
      </c>
    </row>
    <row r="1125" spans="1:7" x14ac:dyDescent="0.2">
      <c r="A1125" t="s">
        <v>855</v>
      </c>
      <c r="B1125" t="s">
        <v>47</v>
      </c>
      <c r="C1125" t="s">
        <v>48</v>
      </c>
      <c r="D1125" t="s">
        <v>52</v>
      </c>
      <c r="E1125" t="s">
        <v>53</v>
      </c>
      <c r="F1125" t="s">
        <v>22</v>
      </c>
      <c r="G1125">
        <v>20772</v>
      </c>
    </row>
    <row r="1126" spans="1:7" x14ac:dyDescent="0.2">
      <c r="A1126" t="s">
        <v>855</v>
      </c>
      <c r="B1126" t="s">
        <v>47</v>
      </c>
      <c r="C1126" t="s">
        <v>48</v>
      </c>
      <c r="D1126" t="s">
        <v>54</v>
      </c>
      <c r="E1126" t="s">
        <v>55</v>
      </c>
      <c r="F1126" t="s">
        <v>28</v>
      </c>
      <c r="G1126">
        <v>4757</v>
      </c>
    </row>
    <row r="1127" spans="1:7" x14ac:dyDescent="0.2">
      <c r="A1127" t="s">
        <v>855</v>
      </c>
      <c r="B1127" t="s">
        <v>47</v>
      </c>
      <c r="C1127" t="s">
        <v>48</v>
      </c>
      <c r="D1127" t="s">
        <v>56</v>
      </c>
      <c r="E1127" t="s">
        <v>57</v>
      </c>
      <c r="F1127" t="s">
        <v>11</v>
      </c>
      <c r="G1127">
        <v>6</v>
      </c>
    </row>
    <row r="1128" spans="1:7" x14ac:dyDescent="0.2">
      <c r="A1128" t="s">
        <v>855</v>
      </c>
      <c r="B1128" t="s">
        <v>47</v>
      </c>
      <c r="C1128" t="s">
        <v>48</v>
      </c>
      <c r="D1128" t="s">
        <v>45</v>
      </c>
      <c r="G1128">
        <v>3</v>
      </c>
    </row>
    <row r="1129" spans="1:7" x14ac:dyDescent="0.2">
      <c r="A1129" t="s">
        <v>855</v>
      </c>
      <c r="B1129" t="s">
        <v>47</v>
      </c>
      <c r="C1129" t="s">
        <v>48</v>
      </c>
      <c r="D1129" t="s">
        <v>46</v>
      </c>
      <c r="G1129">
        <v>836</v>
      </c>
    </row>
    <row r="1130" spans="1:7" x14ac:dyDescent="0.2">
      <c r="A1130" t="s">
        <v>855</v>
      </c>
      <c r="B1130" t="s">
        <v>66</v>
      </c>
      <c r="C1130" t="s">
        <v>67</v>
      </c>
      <c r="D1130" t="s">
        <v>8</v>
      </c>
      <c r="G1130">
        <v>28457</v>
      </c>
    </row>
    <row r="1131" spans="1:7" x14ac:dyDescent="0.2">
      <c r="A1131" t="s">
        <v>855</v>
      </c>
      <c r="B1131" t="s">
        <v>66</v>
      </c>
      <c r="C1131" t="s">
        <v>67</v>
      </c>
      <c r="D1131" t="s">
        <v>68</v>
      </c>
      <c r="E1131" t="s">
        <v>69</v>
      </c>
      <c r="F1131" t="s">
        <v>28</v>
      </c>
      <c r="G1131">
        <v>4511</v>
      </c>
    </row>
    <row r="1132" spans="1:7" x14ac:dyDescent="0.2">
      <c r="A1132" t="s">
        <v>855</v>
      </c>
      <c r="B1132" t="s">
        <v>66</v>
      </c>
      <c r="C1132" t="s">
        <v>67</v>
      </c>
      <c r="D1132" t="s">
        <v>70</v>
      </c>
      <c r="E1132" t="s">
        <v>71</v>
      </c>
      <c r="F1132" t="s">
        <v>16</v>
      </c>
      <c r="G1132">
        <v>1887</v>
      </c>
    </row>
    <row r="1133" spans="1:7" x14ac:dyDescent="0.2">
      <c r="A1133" t="s">
        <v>855</v>
      </c>
      <c r="B1133" t="s">
        <v>66</v>
      </c>
      <c r="C1133" t="s">
        <v>67</v>
      </c>
      <c r="D1133" t="s">
        <v>72</v>
      </c>
      <c r="E1133" t="s">
        <v>73</v>
      </c>
      <c r="F1133" t="s">
        <v>22</v>
      </c>
      <c r="G1133">
        <v>20142</v>
      </c>
    </row>
    <row r="1134" spans="1:7" x14ac:dyDescent="0.2">
      <c r="A1134" t="s">
        <v>855</v>
      </c>
      <c r="B1134" t="s">
        <v>66</v>
      </c>
      <c r="C1134" t="s">
        <v>67</v>
      </c>
      <c r="D1134" t="s">
        <v>74</v>
      </c>
      <c r="E1134" t="s">
        <v>75</v>
      </c>
      <c r="F1134" t="s">
        <v>11</v>
      </c>
      <c r="G1134">
        <v>619</v>
      </c>
    </row>
    <row r="1135" spans="1:7" x14ac:dyDescent="0.2">
      <c r="A1135" t="s">
        <v>855</v>
      </c>
      <c r="B1135" t="s">
        <v>66</v>
      </c>
      <c r="C1135" t="s">
        <v>67</v>
      </c>
      <c r="D1135" t="s">
        <v>45</v>
      </c>
      <c r="G1135">
        <v>8</v>
      </c>
    </row>
    <row r="1136" spans="1:7" x14ac:dyDescent="0.2">
      <c r="A1136" t="s">
        <v>855</v>
      </c>
      <c r="B1136" t="s">
        <v>66</v>
      </c>
      <c r="C1136" t="s">
        <v>67</v>
      </c>
      <c r="D1136" t="s">
        <v>46</v>
      </c>
      <c r="G1136">
        <v>1290</v>
      </c>
    </row>
    <row r="1137" spans="1:7" x14ac:dyDescent="0.2">
      <c r="A1137" t="s">
        <v>855</v>
      </c>
      <c r="B1137" t="s">
        <v>93</v>
      </c>
      <c r="C1137" t="s">
        <v>94</v>
      </c>
      <c r="D1137" t="s">
        <v>8</v>
      </c>
      <c r="G1137">
        <v>28446</v>
      </c>
    </row>
    <row r="1138" spans="1:7" x14ac:dyDescent="0.2">
      <c r="A1138" t="s">
        <v>855</v>
      </c>
      <c r="B1138" t="s">
        <v>93</v>
      </c>
      <c r="C1138" t="s">
        <v>94</v>
      </c>
      <c r="D1138" t="s">
        <v>95</v>
      </c>
      <c r="E1138" t="s">
        <v>96</v>
      </c>
      <c r="F1138" t="s">
        <v>22</v>
      </c>
      <c r="G1138">
        <v>16814</v>
      </c>
    </row>
    <row r="1139" spans="1:7" x14ac:dyDescent="0.2">
      <c r="A1139" t="s">
        <v>855</v>
      </c>
      <c r="B1139" t="s">
        <v>93</v>
      </c>
      <c r="C1139" t="s">
        <v>94</v>
      </c>
      <c r="D1139" t="s">
        <v>97</v>
      </c>
      <c r="E1139" t="s">
        <v>98</v>
      </c>
      <c r="F1139" t="s">
        <v>51</v>
      </c>
      <c r="G1139">
        <v>657</v>
      </c>
    </row>
    <row r="1140" spans="1:7" x14ac:dyDescent="0.2">
      <c r="A1140" t="s">
        <v>855</v>
      </c>
      <c r="B1140" t="s">
        <v>93</v>
      </c>
      <c r="C1140" t="s">
        <v>94</v>
      </c>
      <c r="D1140" t="s">
        <v>99</v>
      </c>
      <c r="E1140" t="s">
        <v>100</v>
      </c>
      <c r="F1140" t="s">
        <v>28</v>
      </c>
      <c r="G1140">
        <v>3967</v>
      </c>
    </row>
    <row r="1141" spans="1:7" x14ac:dyDescent="0.2">
      <c r="A1141" t="s">
        <v>855</v>
      </c>
      <c r="B1141" t="s">
        <v>93</v>
      </c>
      <c r="C1141" t="s">
        <v>94</v>
      </c>
      <c r="D1141" t="s">
        <v>101</v>
      </c>
      <c r="E1141" t="s">
        <v>102</v>
      </c>
      <c r="F1141" t="s">
        <v>25</v>
      </c>
      <c r="G1141">
        <v>1013</v>
      </c>
    </row>
    <row r="1142" spans="1:7" x14ac:dyDescent="0.2">
      <c r="A1142" t="s">
        <v>855</v>
      </c>
      <c r="B1142" t="s">
        <v>93</v>
      </c>
      <c r="C1142" t="s">
        <v>94</v>
      </c>
      <c r="D1142" t="s">
        <v>103</v>
      </c>
      <c r="E1142" t="s">
        <v>104</v>
      </c>
      <c r="F1142" t="s">
        <v>11</v>
      </c>
      <c r="G1142">
        <v>99</v>
      </c>
    </row>
    <row r="1143" spans="1:7" x14ac:dyDescent="0.2">
      <c r="A1143" t="s">
        <v>855</v>
      </c>
      <c r="B1143" t="s">
        <v>93</v>
      </c>
      <c r="C1143" t="s">
        <v>94</v>
      </c>
      <c r="D1143" t="s">
        <v>105</v>
      </c>
      <c r="E1143" t="s">
        <v>106</v>
      </c>
      <c r="F1143" t="s">
        <v>11</v>
      </c>
      <c r="G1143">
        <v>4775</v>
      </c>
    </row>
    <row r="1144" spans="1:7" x14ac:dyDescent="0.2">
      <c r="A1144" t="s">
        <v>855</v>
      </c>
      <c r="B1144" t="s">
        <v>93</v>
      </c>
      <c r="C1144" t="s">
        <v>94</v>
      </c>
      <c r="D1144" t="s">
        <v>107</v>
      </c>
      <c r="E1144" t="s">
        <v>108</v>
      </c>
      <c r="F1144" t="s">
        <v>11</v>
      </c>
      <c r="G1144">
        <v>16</v>
      </c>
    </row>
    <row r="1145" spans="1:7" x14ac:dyDescent="0.2">
      <c r="A1145" t="s">
        <v>855</v>
      </c>
      <c r="B1145" t="s">
        <v>93</v>
      </c>
      <c r="C1145" t="s">
        <v>94</v>
      </c>
      <c r="D1145" t="s">
        <v>45</v>
      </c>
      <c r="G1145">
        <v>3</v>
      </c>
    </row>
    <row r="1146" spans="1:7" x14ac:dyDescent="0.2">
      <c r="A1146" t="s">
        <v>855</v>
      </c>
      <c r="B1146" t="s">
        <v>93</v>
      </c>
      <c r="C1146" t="s">
        <v>94</v>
      </c>
      <c r="D1146" t="s">
        <v>46</v>
      </c>
      <c r="G1146">
        <v>894</v>
      </c>
    </row>
    <row r="1147" spans="1:7" x14ac:dyDescent="0.2">
      <c r="A1147" t="s">
        <v>855</v>
      </c>
      <c r="B1147" t="s">
        <v>109</v>
      </c>
      <c r="C1147" t="s">
        <v>110</v>
      </c>
      <c r="D1147" t="s">
        <v>8</v>
      </c>
      <c r="G1147">
        <v>28446</v>
      </c>
    </row>
    <row r="1148" spans="1:7" x14ac:dyDescent="0.2">
      <c r="A1148" t="s">
        <v>855</v>
      </c>
      <c r="B1148" t="s">
        <v>109</v>
      </c>
      <c r="C1148" t="s">
        <v>110</v>
      </c>
      <c r="D1148" t="s">
        <v>111</v>
      </c>
      <c r="E1148" t="s">
        <v>112</v>
      </c>
      <c r="F1148" t="s">
        <v>22</v>
      </c>
      <c r="G1148">
        <v>20047</v>
      </c>
    </row>
    <row r="1149" spans="1:7" x14ac:dyDescent="0.2">
      <c r="A1149" t="s">
        <v>855</v>
      </c>
      <c r="B1149" t="s">
        <v>109</v>
      </c>
      <c r="C1149" t="s">
        <v>110</v>
      </c>
      <c r="D1149" t="s">
        <v>113</v>
      </c>
      <c r="E1149" t="s">
        <v>114</v>
      </c>
      <c r="F1149" t="s">
        <v>28</v>
      </c>
      <c r="G1149">
        <v>4034</v>
      </c>
    </row>
    <row r="1150" spans="1:7" x14ac:dyDescent="0.2">
      <c r="A1150" t="s">
        <v>855</v>
      </c>
      <c r="B1150" t="s">
        <v>109</v>
      </c>
      <c r="C1150" t="s">
        <v>110</v>
      </c>
      <c r="D1150" t="s">
        <v>115</v>
      </c>
      <c r="E1150" t="s">
        <v>116</v>
      </c>
      <c r="F1150" t="s">
        <v>25</v>
      </c>
      <c r="G1150">
        <v>1064</v>
      </c>
    </row>
    <row r="1151" spans="1:7" x14ac:dyDescent="0.2">
      <c r="A1151" t="s">
        <v>855</v>
      </c>
      <c r="B1151" t="s">
        <v>109</v>
      </c>
      <c r="C1151" t="s">
        <v>110</v>
      </c>
      <c r="D1151" t="s">
        <v>117</v>
      </c>
      <c r="E1151" t="s">
        <v>118</v>
      </c>
      <c r="F1151" t="s">
        <v>11</v>
      </c>
      <c r="G1151">
        <v>960</v>
      </c>
    </row>
    <row r="1152" spans="1:7" x14ac:dyDescent="0.2">
      <c r="A1152" t="s">
        <v>855</v>
      </c>
      <c r="B1152" t="s">
        <v>109</v>
      </c>
      <c r="C1152" t="s">
        <v>110</v>
      </c>
      <c r="D1152" t="s">
        <v>119</v>
      </c>
      <c r="E1152" t="s">
        <v>120</v>
      </c>
      <c r="F1152" t="s">
        <v>88</v>
      </c>
      <c r="G1152">
        <v>1080</v>
      </c>
    </row>
    <row r="1153" spans="1:7" x14ac:dyDescent="0.2">
      <c r="A1153" t="s">
        <v>855</v>
      </c>
      <c r="B1153" t="s">
        <v>109</v>
      </c>
      <c r="C1153" t="s">
        <v>110</v>
      </c>
      <c r="D1153" t="s">
        <v>45</v>
      </c>
      <c r="G1153">
        <v>3</v>
      </c>
    </row>
    <row r="1154" spans="1:7" x14ac:dyDescent="0.2">
      <c r="A1154" t="s">
        <v>855</v>
      </c>
      <c r="B1154" t="s">
        <v>109</v>
      </c>
      <c r="C1154" t="s">
        <v>110</v>
      </c>
      <c r="D1154" t="s">
        <v>46</v>
      </c>
      <c r="G1154">
        <v>1258</v>
      </c>
    </row>
    <row r="1155" spans="1:7" x14ac:dyDescent="0.2">
      <c r="A1155" t="s">
        <v>855</v>
      </c>
      <c r="B1155" t="s">
        <v>121</v>
      </c>
      <c r="C1155" t="s">
        <v>122</v>
      </c>
      <c r="D1155" t="s">
        <v>8</v>
      </c>
      <c r="G1155">
        <v>28446</v>
      </c>
    </row>
    <row r="1156" spans="1:7" x14ac:dyDescent="0.2">
      <c r="A1156" t="s">
        <v>855</v>
      </c>
      <c r="B1156" t="s">
        <v>121</v>
      </c>
      <c r="C1156" t="s">
        <v>122</v>
      </c>
      <c r="D1156" t="s">
        <v>123</v>
      </c>
      <c r="E1156" t="s">
        <v>124</v>
      </c>
      <c r="F1156" t="s">
        <v>22</v>
      </c>
      <c r="G1156">
        <v>20982</v>
      </c>
    </row>
    <row r="1157" spans="1:7" x14ac:dyDescent="0.2">
      <c r="A1157" t="s">
        <v>855</v>
      </c>
      <c r="B1157" t="s">
        <v>121</v>
      </c>
      <c r="C1157" t="s">
        <v>122</v>
      </c>
      <c r="D1157" t="s">
        <v>125</v>
      </c>
      <c r="E1157" t="s">
        <v>126</v>
      </c>
      <c r="F1157" t="s">
        <v>16</v>
      </c>
      <c r="G1157">
        <v>1478</v>
      </c>
    </row>
    <row r="1158" spans="1:7" x14ac:dyDescent="0.2">
      <c r="A1158" t="s">
        <v>855</v>
      </c>
      <c r="B1158" t="s">
        <v>121</v>
      </c>
      <c r="C1158" t="s">
        <v>122</v>
      </c>
      <c r="D1158" t="s">
        <v>127</v>
      </c>
      <c r="E1158" t="s">
        <v>128</v>
      </c>
      <c r="F1158" t="s">
        <v>28</v>
      </c>
      <c r="G1158">
        <v>4427</v>
      </c>
    </row>
    <row r="1159" spans="1:7" x14ac:dyDescent="0.2">
      <c r="A1159" t="s">
        <v>855</v>
      </c>
      <c r="B1159" t="s">
        <v>121</v>
      </c>
      <c r="C1159" t="s">
        <v>122</v>
      </c>
      <c r="D1159" t="s">
        <v>45</v>
      </c>
      <c r="G1159">
        <v>2</v>
      </c>
    </row>
    <row r="1160" spans="1:7" x14ac:dyDescent="0.2">
      <c r="A1160" t="s">
        <v>855</v>
      </c>
      <c r="B1160" t="s">
        <v>121</v>
      </c>
      <c r="C1160" t="s">
        <v>122</v>
      </c>
      <c r="D1160" t="s">
        <v>46</v>
      </c>
      <c r="G1160">
        <v>1557</v>
      </c>
    </row>
    <row r="1161" spans="1:7" x14ac:dyDescent="0.2">
      <c r="A1161" t="s">
        <v>855</v>
      </c>
      <c r="B1161" t="s">
        <v>129</v>
      </c>
      <c r="C1161" t="s">
        <v>130</v>
      </c>
      <c r="D1161" t="s">
        <v>8</v>
      </c>
      <c r="G1161">
        <v>28446</v>
      </c>
    </row>
    <row r="1162" spans="1:7" x14ac:dyDescent="0.2">
      <c r="A1162" t="s">
        <v>855</v>
      </c>
      <c r="B1162" t="s">
        <v>129</v>
      </c>
      <c r="C1162" t="s">
        <v>130</v>
      </c>
      <c r="D1162" t="s">
        <v>131</v>
      </c>
      <c r="E1162" t="s">
        <v>132</v>
      </c>
      <c r="F1162" t="s">
        <v>133</v>
      </c>
      <c r="G1162">
        <v>1002</v>
      </c>
    </row>
    <row r="1163" spans="1:7" x14ac:dyDescent="0.2">
      <c r="A1163" t="s">
        <v>855</v>
      </c>
      <c r="B1163" t="s">
        <v>129</v>
      </c>
      <c r="C1163" t="s">
        <v>130</v>
      </c>
      <c r="D1163" t="s">
        <v>134</v>
      </c>
      <c r="E1163" t="s">
        <v>135</v>
      </c>
      <c r="F1163" t="s">
        <v>22</v>
      </c>
      <c r="G1163">
        <v>21377</v>
      </c>
    </row>
    <row r="1164" spans="1:7" x14ac:dyDescent="0.2">
      <c r="A1164" t="s">
        <v>855</v>
      </c>
      <c r="B1164" t="s">
        <v>129</v>
      </c>
      <c r="C1164" t="s">
        <v>130</v>
      </c>
      <c r="D1164" t="s">
        <v>136</v>
      </c>
      <c r="E1164" t="s">
        <v>137</v>
      </c>
      <c r="F1164" t="s">
        <v>28</v>
      </c>
      <c r="G1164">
        <v>4227</v>
      </c>
    </row>
    <row r="1165" spans="1:7" x14ac:dyDescent="0.2">
      <c r="A1165" t="s">
        <v>855</v>
      </c>
      <c r="B1165" t="s">
        <v>129</v>
      </c>
      <c r="C1165" t="s">
        <v>130</v>
      </c>
      <c r="D1165" t="s">
        <v>45</v>
      </c>
      <c r="G1165">
        <v>1</v>
      </c>
    </row>
    <row r="1166" spans="1:7" x14ac:dyDescent="0.2">
      <c r="A1166" t="s">
        <v>855</v>
      </c>
      <c r="B1166" t="s">
        <v>129</v>
      </c>
      <c r="C1166" t="s">
        <v>130</v>
      </c>
      <c r="D1166" t="s">
        <v>46</v>
      </c>
      <c r="G1166">
        <v>1839</v>
      </c>
    </row>
    <row r="1167" spans="1:7" x14ac:dyDescent="0.2">
      <c r="A1167" t="s">
        <v>855</v>
      </c>
      <c r="B1167" t="s">
        <v>618</v>
      </c>
      <c r="C1167" t="s">
        <v>619</v>
      </c>
      <c r="D1167" t="s">
        <v>8</v>
      </c>
      <c r="G1167">
        <v>7357</v>
      </c>
    </row>
    <row r="1168" spans="1:7" x14ac:dyDescent="0.2">
      <c r="A1168" t="s">
        <v>855</v>
      </c>
      <c r="B1168" t="s">
        <v>618</v>
      </c>
      <c r="C1168" t="s">
        <v>619</v>
      </c>
      <c r="D1168" t="s">
        <v>620</v>
      </c>
      <c r="E1168" t="s">
        <v>621</v>
      </c>
      <c r="F1168" t="s">
        <v>22</v>
      </c>
      <c r="G1168">
        <v>6041</v>
      </c>
    </row>
    <row r="1169" spans="1:7" x14ac:dyDescent="0.2">
      <c r="A1169" t="s">
        <v>855</v>
      </c>
      <c r="B1169" t="s">
        <v>618</v>
      </c>
      <c r="C1169" t="s">
        <v>619</v>
      </c>
      <c r="D1169" t="s">
        <v>622</v>
      </c>
      <c r="E1169" t="s">
        <v>623</v>
      </c>
      <c r="F1169" t="s">
        <v>88</v>
      </c>
      <c r="G1169">
        <v>606</v>
      </c>
    </row>
    <row r="1170" spans="1:7" x14ac:dyDescent="0.2">
      <c r="A1170" t="s">
        <v>855</v>
      </c>
      <c r="B1170" t="s">
        <v>618</v>
      </c>
      <c r="C1170" t="s">
        <v>619</v>
      </c>
      <c r="D1170" t="s">
        <v>45</v>
      </c>
      <c r="G1170">
        <v>1</v>
      </c>
    </row>
    <row r="1171" spans="1:7" x14ac:dyDescent="0.2">
      <c r="A1171" t="s">
        <v>855</v>
      </c>
      <c r="B1171" t="s">
        <v>618</v>
      </c>
      <c r="C1171" t="s">
        <v>619</v>
      </c>
      <c r="D1171" t="s">
        <v>46</v>
      </c>
      <c r="G1171">
        <v>709</v>
      </c>
    </row>
    <row r="1172" spans="1:7" x14ac:dyDescent="0.2">
      <c r="A1172" t="s">
        <v>855</v>
      </c>
      <c r="B1172" t="s">
        <v>624</v>
      </c>
      <c r="C1172" t="s">
        <v>625</v>
      </c>
      <c r="D1172" t="s">
        <v>8</v>
      </c>
      <c r="G1172">
        <v>21089</v>
      </c>
    </row>
    <row r="1173" spans="1:7" x14ac:dyDescent="0.2">
      <c r="A1173" t="s">
        <v>855</v>
      </c>
      <c r="B1173" t="s">
        <v>624</v>
      </c>
      <c r="C1173" t="s">
        <v>625</v>
      </c>
      <c r="D1173" t="s">
        <v>626</v>
      </c>
      <c r="E1173" t="s">
        <v>627</v>
      </c>
      <c r="F1173" t="s">
        <v>28</v>
      </c>
      <c r="G1173">
        <v>4322</v>
      </c>
    </row>
    <row r="1174" spans="1:7" x14ac:dyDescent="0.2">
      <c r="A1174" t="s">
        <v>855</v>
      </c>
      <c r="B1174" t="s">
        <v>624</v>
      </c>
      <c r="C1174" t="s">
        <v>625</v>
      </c>
      <c r="D1174" t="s">
        <v>628</v>
      </c>
      <c r="E1174" t="s">
        <v>629</v>
      </c>
      <c r="F1174" t="s">
        <v>22</v>
      </c>
      <c r="G1174">
        <v>15413</v>
      </c>
    </row>
    <row r="1175" spans="1:7" x14ac:dyDescent="0.2">
      <c r="A1175" t="s">
        <v>855</v>
      </c>
      <c r="B1175" t="s">
        <v>624</v>
      </c>
      <c r="C1175" t="s">
        <v>625</v>
      </c>
      <c r="D1175" t="s">
        <v>45</v>
      </c>
      <c r="G1175">
        <v>1</v>
      </c>
    </row>
    <row r="1176" spans="1:7" x14ac:dyDescent="0.2">
      <c r="A1176" t="s">
        <v>855</v>
      </c>
      <c r="B1176" t="s">
        <v>624</v>
      </c>
      <c r="C1176" t="s">
        <v>625</v>
      </c>
      <c r="D1176" t="s">
        <v>46</v>
      </c>
      <c r="G1176">
        <v>1353</v>
      </c>
    </row>
    <row r="1177" spans="1:7" x14ac:dyDescent="0.2">
      <c r="A1177" t="s">
        <v>855</v>
      </c>
      <c r="B1177" t="s">
        <v>688</v>
      </c>
      <c r="C1177" t="s">
        <v>689</v>
      </c>
      <c r="D1177" t="s">
        <v>8</v>
      </c>
      <c r="G1177">
        <v>1179</v>
      </c>
    </row>
    <row r="1178" spans="1:7" x14ac:dyDescent="0.2">
      <c r="A1178" t="s">
        <v>855</v>
      </c>
      <c r="B1178" t="s">
        <v>688</v>
      </c>
      <c r="C1178" t="s">
        <v>689</v>
      </c>
      <c r="D1178" t="s">
        <v>690</v>
      </c>
      <c r="E1178" t="s">
        <v>691</v>
      </c>
      <c r="F1178" t="s">
        <v>22</v>
      </c>
      <c r="G1178">
        <v>968</v>
      </c>
    </row>
    <row r="1179" spans="1:7" x14ac:dyDescent="0.2">
      <c r="A1179" t="s">
        <v>855</v>
      </c>
      <c r="B1179" t="s">
        <v>688</v>
      </c>
      <c r="C1179" t="s">
        <v>689</v>
      </c>
      <c r="D1179" t="s">
        <v>45</v>
      </c>
      <c r="G1179">
        <v>0</v>
      </c>
    </row>
    <row r="1180" spans="1:7" x14ac:dyDescent="0.2">
      <c r="A1180" t="s">
        <v>855</v>
      </c>
      <c r="B1180" t="s">
        <v>688</v>
      </c>
      <c r="C1180" t="s">
        <v>689</v>
      </c>
      <c r="D1180" t="s">
        <v>46</v>
      </c>
      <c r="G1180">
        <v>211</v>
      </c>
    </row>
    <row r="1181" spans="1:7" x14ac:dyDescent="0.2">
      <c r="A1181" t="s">
        <v>855</v>
      </c>
      <c r="B1181" t="s">
        <v>692</v>
      </c>
      <c r="C1181" t="s">
        <v>693</v>
      </c>
      <c r="D1181" t="s">
        <v>8</v>
      </c>
      <c r="G1181">
        <v>28446</v>
      </c>
    </row>
    <row r="1182" spans="1:7" x14ac:dyDescent="0.2">
      <c r="A1182" t="s">
        <v>855</v>
      </c>
      <c r="B1182" t="s">
        <v>692</v>
      </c>
      <c r="C1182" t="s">
        <v>693</v>
      </c>
      <c r="D1182" t="s">
        <v>694</v>
      </c>
      <c r="E1182" t="s">
        <v>695</v>
      </c>
      <c r="G1182">
        <v>19288</v>
      </c>
    </row>
    <row r="1183" spans="1:7" x14ac:dyDescent="0.2">
      <c r="A1183" t="s">
        <v>855</v>
      </c>
      <c r="B1183" t="s">
        <v>692</v>
      </c>
      <c r="C1183" t="s">
        <v>693</v>
      </c>
      <c r="D1183" t="s">
        <v>696</v>
      </c>
      <c r="E1183" t="s">
        <v>697</v>
      </c>
      <c r="G1183">
        <v>4070</v>
      </c>
    </row>
    <row r="1184" spans="1:7" x14ac:dyDescent="0.2">
      <c r="A1184" t="s">
        <v>855</v>
      </c>
      <c r="B1184" t="s">
        <v>692</v>
      </c>
      <c r="C1184" t="s">
        <v>693</v>
      </c>
      <c r="D1184" t="s">
        <v>45</v>
      </c>
      <c r="G1184">
        <v>12</v>
      </c>
    </row>
    <row r="1185" spans="1:7" x14ac:dyDescent="0.2">
      <c r="A1185" t="s">
        <v>855</v>
      </c>
      <c r="B1185" t="s">
        <v>692</v>
      </c>
      <c r="C1185" t="s">
        <v>693</v>
      </c>
      <c r="D1185" t="s">
        <v>46</v>
      </c>
      <c r="G1185">
        <v>5076</v>
      </c>
    </row>
    <row r="1186" spans="1:7" x14ac:dyDescent="0.2">
      <c r="A1186" t="s">
        <v>855</v>
      </c>
      <c r="B1186" t="s">
        <v>698</v>
      </c>
      <c r="C1186" t="s">
        <v>699</v>
      </c>
      <c r="D1186" t="s">
        <v>8</v>
      </c>
      <c r="G1186">
        <v>28446</v>
      </c>
    </row>
    <row r="1187" spans="1:7" x14ac:dyDescent="0.2">
      <c r="A1187" t="s">
        <v>855</v>
      </c>
      <c r="B1187" t="s">
        <v>698</v>
      </c>
      <c r="C1187" t="s">
        <v>699</v>
      </c>
      <c r="D1187" t="s">
        <v>694</v>
      </c>
      <c r="E1187" t="s">
        <v>700</v>
      </c>
      <c r="G1187">
        <v>19169</v>
      </c>
    </row>
    <row r="1188" spans="1:7" x14ac:dyDescent="0.2">
      <c r="A1188" t="s">
        <v>855</v>
      </c>
      <c r="B1188" t="s">
        <v>698</v>
      </c>
      <c r="C1188" t="s">
        <v>699</v>
      </c>
      <c r="D1188" t="s">
        <v>696</v>
      </c>
      <c r="E1188" t="s">
        <v>701</v>
      </c>
      <c r="G1188">
        <v>3936</v>
      </c>
    </row>
    <row r="1189" spans="1:7" x14ac:dyDescent="0.2">
      <c r="A1189" t="s">
        <v>855</v>
      </c>
      <c r="B1189" t="s">
        <v>698</v>
      </c>
      <c r="C1189" t="s">
        <v>699</v>
      </c>
      <c r="D1189" t="s">
        <v>45</v>
      </c>
      <c r="G1189">
        <v>10</v>
      </c>
    </row>
    <row r="1190" spans="1:7" x14ac:dyDescent="0.2">
      <c r="A1190" t="s">
        <v>855</v>
      </c>
      <c r="B1190" t="s">
        <v>698</v>
      </c>
      <c r="C1190" t="s">
        <v>699</v>
      </c>
      <c r="D1190" t="s">
        <v>46</v>
      </c>
      <c r="G1190">
        <v>5331</v>
      </c>
    </row>
    <row r="1191" spans="1:7" x14ac:dyDescent="0.2">
      <c r="A1191" t="s">
        <v>855</v>
      </c>
      <c r="B1191" t="s">
        <v>786</v>
      </c>
      <c r="C1191" t="s">
        <v>787</v>
      </c>
      <c r="D1191" t="s">
        <v>8</v>
      </c>
      <c r="G1191">
        <v>28446</v>
      </c>
    </row>
    <row r="1192" spans="1:7" x14ac:dyDescent="0.2">
      <c r="A1192" t="s">
        <v>855</v>
      </c>
      <c r="B1192" t="s">
        <v>786</v>
      </c>
      <c r="C1192" t="s">
        <v>787</v>
      </c>
      <c r="D1192" t="s">
        <v>694</v>
      </c>
      <c r="E1192" t="s">
        <v>788</v>
      </c>
      <c r="G1192">
        <v>19690</v>
      </c>
    </row>
    <row r="1193" spans="1:7" x14ac:dyDescent="0.2">
      <c r="A1193" t="s">
        <v>855</v>
      </c>
      <c r="B1193" t="s">
        <v>786</v>
      </c>
      <c r="C1193" t="s">
        <v>787</v>
      </c>
      <c r="D1193" t="s">
        <v>696</v>
      </c>
      <c r="E1193" t="s">
        <v>789</v>
      </c>
      <c r="G1193">
        <v>3821</v>
      </c>
    </row>
    <row r="1194" spans="1:7" x14ac:dyDescent="0.2">
      <c r="A1194" t="s">
        <v>855</v>
      </c>
      <c r="B1194" t="s">
        <v>786</v>
      </c>
      <c r="C1194" t="s">
        <v>787</v>
      </c>
      <c r="D1194" t="s">
        <v>45</v>
      </c>
      <c r="G1194">
        <v>11</v>
      </c>
    </row>
    <row r="1195" spans="1:7" x14ac:dyDescent="0.2">
      <c r="A1195" t="s">
        <v>855</v>
      </c>
      <c r="B1195" t="s">
        <v>786</v>
      </c>
      <c r="C1195" t="s">
        <v>787</v>
      </c>
      <c r="D1195" t="s">
        <v>46</v>
      </c>
      <c r="G1195">
        <v>4924</v>
      </c>
    </row>
    <row r="1196" spans="1:7" x14ac:dyDescent="0.2">
      <c r="A1196" t="s">
        <v>855</v>
      </c>
      <c r="B1196" t="s">
        <v>830</v>
      </c>
      <c r="C1196" t="s">
        <v>831</v>
      </c>
      <c r="D1196" t="s">
        <v>8</v>
      </c>
      <c r="G1196">
        <v>28446</v>
      </c>
    </row>
    <row r="1197" spans="1:7" x14ac:dyDescent="0.2">
      <c r="A1197" t="s">
        <v>855</v>
      </c>
      <c r="B1197" t="s">
        <v>830</v>
      </c>
      <c r="C1197" t="s">
        <v>831</v>
      </c>
      <c r="D1197" t="s">
        <v>694</v>
      </c>
      <c r="E1197" t="s">
        <v>832</v>
      </c>
      <c r="G1197">
        <v>19360</v>
      </c>
    </row>
    <row r="1198" spans="1:7" x14ac:dyDescent="0.2">
      <c r="A1198" t="s">
        <v>855</v>
      </c>
      <c r="B1198" t="s">
        <v>830</v>
      </c>
      <c r="C1198" t="s">
        <v>831</v>
      </c>
      <c r="D1198" t="s">
        <v>696</v>
      </c>
      <c r="E1198" t="s">
        <v>833</v>
      </c>
      <c r="G1198">
        <v>3941</v>
      </c>
    </row>
    <row r="1199" spans="1:7" x14ac:dyDescent="0.2">
      <c r="A1199" t="s">
        <v>855</v>
      </c>
      <c r="B1199" t="s">
        <v>830</v>
      </c>
      <c r="C1199" t="s">
        <v>831</v>
      </c>
      <c r="D1199" t="s">
        <v>45</v>
      </c>
      <c r="G1199">
        <v>4</v>
      </c>
    </row>
    <row r="1200" spans="1:7" x14ac:dyDescent="0.2">
      <c r="A1200" t="s">
        <v>855</v>
      </c>
      <c r="B1200" t="s">
        <v>830</v>
      </c>
      <c r="C1200" t="s">
        <v>831</v>
      </c>
      <c r="D1200" t="s">
        <v>46</v>
      </c>
      <c r="G1200">
        <v>5141</v>
      </c>
    </row>
    <row r="1201" spans="1:7" x14ac:dyDescent="0.2">
      <c r="A1201" t="s">
        <v>855</v>
      </c>
      <c r="B1201" t="s">
        <v>834</v>
      </c>
      <c r="C1201" t="s">
        <v>835</v>
      </c>
      <c r="D1201" t="s">
        <v>8</v>
      </c>
      <c r="G1201">
        <v>28446</v>
      </c>
    </row>
    <row r="1202" spans="1:7" x14ac:dyDescent="0.2">
      <c r="A1202" t="s">
        <v>855</v>
      </c>
      <c r="B1202" t="s">
        <v>834</v>
      </c>
      <c r="C1202" t="s">
        <v>835</v>
      </c>
      <c r="D1202" t="s">
        <v>836</v>
      </c>
      <c r="E1202" t="s">
        <v>837</v>
      </c>
      <c r="G1202">
        <v>17278</v>
      </c>
    </row>
    <row r="1203" spans="1:7" x14ac:dyDescent="0.2">
      <c r="A1203" t="s">
        <v>855</v>
      </c>
      <c r="B1203" t="s">
        <v>834</v>
      </c>
      <c r="C1203" t="s">
        <v>835</v>
      </c>
      <c r="D1203" t="s">
        <v>838</v>
      </c>
      <c r="E1203" t="s">
        <v>839</v>
      </c>
      <c r="G1203">
        <v>9031</v>
      </c>
    </row>
    <row r="1204" spans="1:7" x14ac:dyDescent="0.2">
      <c r="A1204" t="s">
        <v>855</v>
      </c>
      <c r="B1204" t="s">
        <v>834</v>
      </c>
      <c r="C1204" t="s">
        <v>835</v>
      </c>
      <c r="D1204" t="s">
        <v>45</v>
      </c>
      <c r="G1204">
        <v>5</v>
      </c>
    </row>
    <row r="1205" spans="1:7" x14ac:dyDescent="0.2">
      <c r="A1205" t="s">
        <v>855</v>
      </c>
      <c r="B1205" t="s">
        <v>834</v>
      </c>
      <c r="C1205" t="s">
        <v>835</v>
      </c>
      <c r="D1205" t="s">
        <v>46</v>
      </c>
      <c r="G1205">
        <v>2132</v>
      </c>
    </row>
    <row r="1206" spans="1:7" x14ac:dyDescent="0.2">
      <c r="A1206" t="s">
        <v>855</v>
      </c>
      <c r="B1206" t="s">
        <v>840</v>
      </c>
      <c r="C1206" t="s">
        <v>841</v>
      </c>
      <c r="D1206" t="s">
        <v>8</v>
      </c>
      <c r="G1206">
        <v>28446</v>
      </c>
    </row>
    <row r="1207" spans="1:7" x14ac:dyDescent="0.2">
      <c r="A1207" t="s">
        <v>855</v>
      </c>
      <c r="B1207" t="s">
        <v>840</v>
      </c>
      <c r="C1207" t="s">
        <v>841</v>
      </c>
      <c r="D1207" t="s">
        <v>836</v>
      </c>
      <c r="E1207" t="s">
        <v>842</v>
      </c>
      <c r="G1207">
        <v>22917</v>
      </c>
    </row>
    <row r="1208" spans="1:7" x14ac:dyDescent="0.2">
      <c r="A1208" t="s">
        <v>855</v>
      </c>
      <c r="B1208" t="s">
        <v>840</v>
      </c>
      <c r="C1208" t="s">
        <v>841</v>
      </c>
      <c r="D1208" t="s">
        <v>838</v>
      </c>
      <c r="E1208" t="s">
        <v>843</v>
      </c>
      <c r="G1208">
        <v>3602</v>
      </c>
    </row>
    <row r="1209" spans="1:7" x14ac:dyDescent="0.2">
      <c r="A1209" t="s">
        <v>855</v>
      </c>
      <c r="B1209" t="s">
        <v>840</v>
      </c>
      <c r="C1209" t="s">
        <v>841</v>
      </c>
      <c r="D1209" t="s">
        <v>45</v>
      </c>
      <c r="G1209">
        <v>3</v>
      </c>
    </row>
    <row r="1210" spans="1:7" x14ac:dyDescent="0.2">
      <c r="A1210" t="s">
        <v>855</v>
      </c>
      <c r="B1210" t="s">
        <v>840</v>
      </c>
      <c r="C1210" t="s">
        <v>841</v>
      </c>
      <c r="D1210" t="s">
        <v>46</v>
      </c>
      <c r="G1210">
        <v>1924</v>
      </c>
    </row>
    <row r="1211" spans="1:7" x14ac:dyDescent="0.2">
      <c r="A1211" t="s">
        <v>856</v>
      </c>
      <c r="B1211" t="s">
        <v>6</v>
      </c>
      <c r="C1211" t="s">
        <v>7</v>
      </c>
      <c r="D1211" t="s">
        <v>8</v>
      </c>
      <c r="G1211">
        <v>6616</v>
      </c>
    </row>
    <row r="1212" spans="1:7" x14ac:dyDescent="0.2">
      <c r="A1212" t="s">
        <v>856</v>
      </c>
      <c r="B1212" t="s">
        <v>6</v>
      </c>
      <c r="C1212" t="s">
        <v>7</v>
      </c>
      <c r="D1212" t="s">
        <v>9</v>
      </c>
      <c r="E1212" t="s">
        <v>10</v>
      </c>
      <c r="F1212" t="s">
        <v>11</v>
      </c>
      <c r="G1212">
        <v>4</v>
      </c>
    </row>
    <row r="1213" spans="1:7" x14ac:dyDescent="0.2">
      <c r="A1213" t="s">
        <v>856</v>
      </c>
      <c r="B1213" t="s">
        <v>6</v>
      </c>
      <c r="C1213" t="s">
        <v>7</v>
      </c>
      <c r="D1213" t="s">
        <v>12</v>
      </c>
      <c r="E1213" t="s">
        <v>13</v>
      </c>
      <c r="F1213" t="s">
        <v>11</v>
      </c>
      <c r="G1213">
        <v>10</v>
      </c>
    </row>
    <row r="1214" spans="1:7" x14ac:dyDescent="0.2">
      <c r="A1214" t="s">
        <v>856</v>
      </c>
      <c r="B1214" t="s">
        <v>6</v>
      </c>
      <c r="C1214" t="s">
        <v>7</v>
      </c>
      <c r="D1214" t="s">
        <v>14</v>
      </c>
      <c r="E1214" t="s">
        <v>15</v>
      </c>
      <c r="F1214" t="s">
        <v>16</v>
      </c>
      <c r="G1214">
        <v>44</v>
      </c>
    </row>
    <row r="1215" spans="1:7" x14ac:dyDescent="0.2">
      <c r="A1215" t="s">
        <v>856</v>
      </c>
      <c r="B1215" t="s">
        <v>6</v>
      </c>
      <c r="C1215" t="s">
        <v>7</v>
      </c>
      <c r="D1215" t="s">
        <v>17</v>
      </c>
      <c r="E1215" t="s">
        <v>18</v>
      </c>
      <c r="F1215" t="s">
        <v>19</v>
      </c>
      <c r="G1215">
        <v>10</v>
      </c>
    </row>
    <row r="1216" spans="1:7" x14ac:dyDescent="0.2">
      <c r="A1216" t="s">
        <v>856</v>
      </c>
      <c r="B1216" t="s">
        <v>6</v>
      </c>
      <c r="C1216" t="s">
        <v>7</v>
      </c>
      <c r="D1216" t="s">
        <v>20</v>
      </c>
      <c r="E1216" t="s">
        <v>21</v>
      </c>
      <c r="F1216" t="s">
        <v>22</v>
      </c>
      <c r="G1216">
        <v>5671</v>
      </c>
    </row>
    <row r="1217" spans="1:7" x14ac:dyDescent="0.2">
      <c r="A1217" t="s">
        <v>856</v>
      </c>
      <c r="B1217" t="s">
        <v>6</v>
      </c>
      <c r="C1217" t="s">
        <v>7</v>
      </c>
      <c r="D1217" t="s">
        <v>23</v>
      </c>
      <c r="E1217" t="s">
        <v>24</v>
      </c>
      <c r="F1217" t="s">
        <v>25</v>
      </c>
      <c r="G1217">
        <v>39</v>
      </c>
    </row>
    <row r="1218" spans="1:7" x14ac:dyDescent="0.2">
      <c r="A1218" t="s">
        <v>856</v>
      </c>
      <c r="B1218" t="s">
        <v>6</v>
      </c>
      <c r="C1218" t="s">
        <v>7</v>
      </c>
      <c r="D1218" t="s">
        <v>26</v>
      </c>
      <c r="E1218" t="s">
        <v>27</v>
      </c>
      <c r="F1218" t="s">
        <v>28</v>
      </c>
      <c r="G1218">
        <v>734</v>
      </c>
    </row>
    <row r="1219" spans="1:7" x14ac:dyDescent="0.2">
      <c r="A1219" t="s">
        <v>856</v>
      </c>
      <c r="B1219" t="s">
        <v>6</v>
      </c>
      <c r="C1219" t="s">
        <v>7</v>
      </c>
      <c r="D1219" t="s">
        <v>29</v>
      </c>
      <c r="E1219" t="s">
        <v>30</v>
      </c>
      <c r="F1219" t="s">
        <v>11</v>
      </c>
      <c r="G1219">
        <v>6</v>
      </c>
    </row>
    <row r="1220" spans="1:7" x14ac:dyDescent="0.2">
      <c r="A1220" t="s">
        <v>856</v>
      </c>
      <c r="B1220" t="s">
        <v>6</v>
      </c>
      <c r="C1220" t="s">
        <v>7</v>
      </c>
      <c r="D1220" t="s">
        <v>31</v>
      </c>
      <c r="E1220" t="s">
        <v>32</v>
      </c>
      <c r="F1220" t="s">
        <v>11</v>
      </c>
      <c r="G1220">
        <v>0</v>
      </c>
    </row>
    <row r="1221" spans="1:7" x14ac:dyDescent="0.2">
      <c r="A1221" t="s">
        <v>856</v>
      </c>
      <c r="B1221" t="s">
        <v>6</v>
      </c>
      <c r="C1221" t="s">
        <v>7</v>
      </c>
      <c r="D1221" t="s">
        <v>33</v>
      </c>
      <c r="E1221" t="s">
        <v>34</v>
      </c>
      <c r="F1221" t="s">
        <v>11</v>
      </c>
      <c r="G1221">
        <v>0</v>
      </c>
    </row>
    <row r="1222" spans="1:7" x14ac:dyDescent="0.2">
      <c r="A1222" t="s">
        <v>856</v>
      </c>
      <c r="B1222" t="s">
        <v>6</v>
      </c>
      <c r="C1222" t="s">
        <v>7</v>
      </c>
      <c r="D1222" t="s">
        <v>35</v>
      </c>
      <c r="E1222" t="s">
        <v>36</v>
      </c>
      <c r="F1222" t="s">
        <v>11</v>
      </c>
      <c r="G1222">
        <v>0</v>
      </c>
    </row>
    <row r="1223" spans="1:7" x14ac:dyDescent="0.2">
      <c r="A1223" t="s">
        <v>856</v>
      </c>
      <c r="B1223" t="s">
        <v>6</v>
      </c>
      <c r="C1223" t="s">
        <v>7</v>
      </c>
      <c r="D1223" t="s">
        <v>37</v>
      </c>
      <c r="E1223" t="s">
        <v>38</v>
      </c>
      <c r="F1223" t="s">
        <v>11</v>
      </c>
      <c r="G1223">
        <v>0</v>
      </c>
    </row>
    <row r="1224" spans="1:7" x14ac:dyDescent="0.2">
      <c r="A1224" t="s">
        <v>856</v>
      </c>
      <c r="B1224" t="s">
        <v>6</v>
      </c>
      <c r="C1224" t="s">
        <v>7</v>
      </c>
      <c r="D1224" t="s">
        <v>39</v>
      </c>
      <c r="E1224" t="s">
        <v>40</v>
      </c>
      <c r="F1224" t="s">
        <v>11</v>
      </c>
      <c r="G1224">
        <v>0</v>
      </c>
    </row>
    <row r="1225" spans="1:7" x14ac:dyDescent="0.2">
      <c r="A1225" t="s">
        <v>856</v>
      </c>
      <c r="B1225" t="s">
        <v>6</v>
      </c>
      <c r="C1225" t="s">
        <v>7</v>
      </c>
      <c r="D1225" t="s">
        <v>41</v>
      </c>
      <c r="E1225" t="s">
        <v>42</v>
      </c>
      <c r="F1225" t="s">
        <v>11</v>
      </c>
      <c r="G1225">
        <v>0</v>
      </c>
    </row>
    <row r="1226" spans="1:7" x14ac:dyDescent="0.2">
      <c r="A1226" t="s">
        <v>856</v>
      </c>
      <c r="B1226" t="s">
        <v>6</v>
      </c>
      <c r="C1226" t="s">
        <v>7</v>
      </c>
      <c r="D1226" t="s">
        <v>43</v>
      </c>
      <c r="E1226" t="s">
        <v>44</v>
      </c>
      <c r="F1226" t="s">
        <v>11</v>
      </c>
      <c r="G1226">
        <v>0</v>
      </c>
    </row>
    <row r="1227" spans="1:7" x14ac:dyDescent="0.2">
      <c r="A1227" t="s">
        <v>856</v>
      </c>
      <c r="B1227" t="s">
        <v>6</v>
      </c>
      <c r="C1227" t="s">
        <v>7</v>
      </c>
      <c r="D1227" t="s">
        <v>45</v>
      </c>
      <c r="G1227">
        <v>3</v>
      </c>
    </row>
    <row r="1228" spans="1:7" x14ac:dyDescent="0.2">
      <c r="A1228" t="s">
        <v>856</v>
      </c>
      <c r="B1228" t="s">
        <v>6</v>
      </c>
      <c r="C1228" t="s">
        <v>7</v>
      </c>
      <c r="D1228" t="s">
        <v>46</v>
      </c>
      <c r="G1228">
        <v>35</v>
      </c>
    </row>
    <row r="1229" spans="1:7" x14ac:dyDescent="0.2">
      <c r="A1229" t="s">
        <v>856</v>
      </c>
      <c r="B1229" t="s">
        <v>47</v>
      </c>
      <c r="C1229" t="s">
        <v>48</v>
      </c>
      <c r="D1229" t="s">
        <v>8</v>
      </c>
      <c r="G1229">
        <v>6616</v>
      </c>
    </row>
    <row r="1230" spans="1:7" x14ac:dyDescent="0.2">
      <c r="A1230" t="s">
        <v>856</v>
      </c>
      <c r="B1230" t="s">
        <v>47</v>
      </c>
      <c r="C1230" t="s">
        <v>48</v>
      </c>
      <c r="D1230" t="s">
        <v>49</v>
      </c>
      <c r="E1230" t="s">
        <v>50</v>
      </c>
      <c r="F1230" t="s">
        <v>51</v>
      </c>
      <c r="G1230">
        <v>542</v>
      </c>
    </row>
    <row r="1231" spans="1:7" x14ac:dyDescent="0.2">
      <c r="A1231" t="s">
        <v>856</v>
      </c>
      <c r="B1231" t="s">
        <v>47</v>
      </c>
      <c r="C1231" t="s">
        <v>48</v>
      </c>
      <c r="D1231" t="s">
        <v>52</v>
      </c>
      <c r="E1231" t="s">
        <v>53</v>
      </c>
      <c r="F1231" t="s">
        <v>22</v>
      </c>
      <c r="G1231">
        <v>5222</v>
      </c>
    </row>
    <row r="1232" spans="1:7" x14ac:dyDescent="0.2">
      <c r="A1232" t="s">
        <v>856</v>
      </c>
      <c r="B1232" t="s">
        <v>47</v>
      </c>
      <c r="C1232" t="s">
        <v>48</v>
      </c>
      <c r="D1232" t="s">
        <v>54</v>
      </c>
      <c r="E1232" t="s">
        <v>55</v>
      </c>
      <c r="F1232" t="s">
        <v>28</v>
      </c>
      <c r="G1232">
        <v>594</v>
      </c>
    </row>
    <row r="1233" spans="1:7" x14ac:dyDescent="0.2">
      <c r="A1233" t="s">
        <v>856</v>
      </c>
      <c r="B1233" t="s">
        <v>47</v>
      </c>
      <c r="C1233" t="s">
        <v>48</v>
      </c>
      <c r="D1233" t="s">
        <v>56</v>
      </c>
      <c r="E1233" t="s">
        <v>57</v>
      </c>
      <c r="F1233" t="s">
        <v>11</v>
      </c>
      <c r="G1233">
        <v>1</v>
      </c>
    </row>
    <row r="1234" spans="1:7" x14ac:dyDescent="0.2">
      <c r="A1234" t="s">
        <v>856</v>
      </c>
      <c r="B1234" t="s">
        <v>47</v>
      </c>
      <c r="C1234" t="s">
        <v>48</v>
      </c>
      <c r="D1234" t="s">
        <v>45</v>
      </c>
      <c r="G1234">
        <v>0</v>
      </c>
    </row>
    <row r="1235" spans="1:7" x14ac:dyDescent="0.2">
      <c r="A1235" t="s">
        <v>856</v>
      </c>
      <c r="B1235" t="s">
        <v>47</v>
      </c>
      <c r="C1235" t="s">
        <v>48</v>
      </c>
      <c r="D1235" t="s">
        <v>46</v>
      </c>
      <c r="G1235">
        <v>202</v>
      </c>
    </row>
    <row r="1236" spans="1:7" x14ac:dyDescent="0.2">
      <c r="A1236" t="s">
        <v>856</v>
      </c>
      <c r="B1236" t="s">
        <v>66</v>
      </c>
      <c r="C1236" t="s">
        <v>67</v>
      </c>
      <c r="D1236" t="s">
        <v>8</v>
      </c>
      <c r="G1236">
        <v>536</v>
      </c>
    </row>
    <row r="1237" spans="1:7" x14ac:dyDescent="0.2">
      <c r="A1237" t="s">
        <v>856</v>
      </c>
      <c r="B1237" t="s">
        <v>66</v>
      </c>
      <c r="C1237" t="s">
        <v>67</v>
      </c>
      <c r="D1237" t="s">
        <v>68</v>
      </c>
      <c r="E1237" t="s">
        <v>69</v>
      </c>
      <c r="F1237" t="s">
        <v>28</v>
      </c>
      <c r="G1237">
        <v>90</v>
      </c>
    </row>
    <row r="1238" spans="1:7" x14ac:dyDescent="0.2">
      <c r="A1238" t="s">
        <v>856</v>
      </c>
      <c r="B1238" t="s">
        <v>66</v>
      </c>
      <c r="C1238" t="s">
        <v>67</v>
      </c>
      <c r="D1238" t="s">
        <v>70</v>
      </c>
      <c r="E1238" t="s">
        <v>71</v>
      </c>
      <c r="F1238" t="s">
        <v>16</v>
      </c>
      <c r="G1238">
        <v>61</v>
      </c>
    </row>
    <row r="1239" spans="1:7" x14ac:dyDescent="0.2">
      <c r="A1239" t="s">
        <v>856</v>
      </c>
      <c r="B1239" t="s">
        <v>66</v>
      </c>
      <c r="C1239" t="s">
        <v>67</v>
      </c>
      <c r="D1239" t="s">
        <v>72</v>
      </c>
      <c r="E1239" t="s">
        <v>73</v>
      </c>
      <c r="F1239" t="s">
        <v>22</v>
      </c>
      <c r="G1239">
        <v>336</v>
      </c>
    </row>
    <row r="1240" spans="1:7" x14ac:dyDescent="0.2">
      <c r="A1240" t="s">
        <v>856</v>
      </c>
      <c r="B1240" t="s">
        <v>66</v>
      </c>
      <c r="C1240" t="s">
        <v>67</v>
      </c>
      <c r="D1240" t="s">
        <v>74</v>
      </c>
      <c r="E1240" t="s">
        <v>75</v>
      </c>
      <c r="F1240" t="s">
        <v>11</v>
      </c>
      <c r="G1240">
        <v>16</v>
      </c>
    </row>
    <row r="1241" spans="1:7" x14ac:dyDescent="0.2">
      <c r="A1241" t="s">
        <v>856</v>
      </c>
      <c r="B1241" t="s">
        <v>66</v>
      </c>
      <c r="C1241" t="s">
        <v>67</v>
      </c>
      <c r="D1241" t="s">
        <v>45</v>
      </c>
      <c r="G1241">
        <v>0</v>
      </c>
    </row>
    <row r="1242" spans="1:7" x14ac:dyDescent="0.2">
      <c r="A1242" t="s">
        <v>856</v>
      </c>
      <c r="B1242" t="s">
        <v>66</v>
      </c>
      <c r="C1242" t="s">
        <v>67</v>
      </c>
      <c r="D1242" t="s">
        <v>46</v>
      </c>
      <c r="G1242">
        <v>33</v>
      </c>
    </row>
    <row r="1243" spans="1:7" x14ac:dyDescent="0.2">
      <c r="A1243" t="s">
        <v>856</v>
      </c>
      <c r="B1243" t="s">
        <v>82</v>
      </c>
      <c r="C1243" t="s">
        <v>83</v>
      </c>
      <c r="D1243" t="s">
        <v>8</v>
      </c>
      <c r="G1243">
        <v>6080</v>
      </c>
    </row>
    <row r="1244" spans="1:7" x14ac:dyDescent="0.2">
      <c r="A1244" t="s">
        <v>856</v>
      </c>
      <c r="B1244" t="s">
        <v>82</v>
      </c>
      <c r="C1244" t="s">
        <v>83</v>
      </c>
      <c r="D1244" t="s">
        <v>84</v>
      </c>
      <c r="E1244" t="s">
        <v>85</v>
      </c>
      <c r="F1244" t="s">
        <v>11</v>
      </c>
      <c r="G1244">
        <v>64</v>
      </c>
    </row>
    <row r="1245" spans="1:7" x14ac:dyDescent="0.2">
      <c r="A1245" t="s">
        <v>856</v>
      </c>
      <c r="B1245" t="s">
        <v>82</v>
      </c>
      <c r="C1245" t="s">
        <v>83</v>
      </c>
      <c r="D1245" t="s">
        <v>86</v>
      </c>
      <c r="E1245" t="s">
        <v>87</v>
      </c>
      <c r="F1245" t="s">
        <v>88</v>
      </c>
      <c r="G1245">
        <v>155</v>
      </c>
    </row>
    <row r="1246" spans="1:7" x14ac:dyDescent="0.2">
      <c r="A1246" t="s">
        <v>856</v>
      </c>
      <c r="B1246" t="s">
        <v>82</v>
      </c>
      <c r="C1246" t="s">
        <v>83</v>
      </c>
      <c r="D1246" t="s">
        <v>89</v>
      </c>
      <c r="E1246" t="s">
        <v>90</v>
      </c>
      <c r="F1246" t="s">
        <v>28</v>
      </c>
      <c r="G1246">
        <v>472</v>
      </c>
    </row>
    <row r="1247" spans="1:7" x14ac:dyDescent="0.2">
      <c r="A1247" t="s">
        <v>856</v>
      </c>
      <c r="B1247" t="s">
        <v>82</v>
      </c>
      <c r="C1247" t="s">
        <v>83</v>
      </c>
      <c r="D1247" t="s">
        <v>91</v>
      </c>
      <c r="E1247" t="s">
        <v>92</v>
      </c>
      <c r="F1247" t="s">
        <v>22</v>
      </c>
      <c r="G1247">
        <v>5160</v>
      </c>
    </row>
    <row r="1248" spans="1:7" x14ac:dyDescent="0.2">
      <c r="A1248" t="s">
        <v>856</v>
      </c>
      <c r="B1248" t="s">
        <v>82</v>
      </c>
      <c r="C1248" t="s">
        <v>83</v>
      </c>
      <c r="D1248" t="s">
        <v>45</v>
      </c>
      <c r="G1248">
        <v>1</v>
      </c>
    </row>
    <row r="1249" spans="1:7" x14ac:dyDescent="0.2">
      <c r="A1249" t="s">
        <v>856</v>
      </c>
      <c r="B1249" t="s">
        <v>82</v>
      </c>
      <c r="C1249" t="s">
        <v>83</v>
      </c>
      <c r="D1249" t="s">
        <v>46</v>
      </c>
      <c r="G1249">
        <v>228</v>
      </c>
    </row>
    <row r="1250" spans="1:7" x14ac:dyDescent="0.2">
      <c r="A1250" t="s">
        <v>856</v>
      </c>
      <c r="B1250" t="s">
        <v>93</v>
      </c>
      <c r="C1250" t="s">
        <v>94</v>
      </c>
      <c r="D1250" t="s">
        <v>8</v>
      </c>
      <c r="G1250">
        <v>6615</v>
      </c>
    </row>
    <row r="1251" spans="1:7" x14ac:dyDescent="0.2">
      <c r="A1251" t="s">
        <v>856</v>
      </c>
      <c r="B1251" t="s">
        <v>93</v>
      </c>
      <c r="C1251" t="s">
        <v>94</v>
      </c>
      <c r="D1251" t="s">
        <v>95</v>
      </c>
      <c r="E1251" t="s">
        <v>96</v>
      </c>
      <c r="F1251" t="s">
        <v>22</v>
      </c>
      <c r="G1251">
        <v>3821</v>
      </c>
    </row>
    <row r="1252" spans="1:7" x14ac:dyDescent="0.2">
      <c r="A1252" t="s">
        <v>856</v>
      </c>
      <c r="B1252" t="s">
        <v>93</v>
      </c>
      <c r="C1252" t="s">
        <v>94</v>
      </c>
      <c r="D1252" t="s">
        <v>97</v>
      </c>
      <c r="E1252" t="s">
        <v>98</v>
      </c>
      <c r="F1252" t="s">
        <v>51</v>
      </c>
      <c r="G1252">
        <v>177</v>
      </c>
    </row>
    <row r="1253" spans="1:7" x14ac:dyDescent="0.2">
      <c r="A1253" t="s">
        <v>856</v>
      </c>
      <c r="B1253" t="s">
        <v>93</v>
      </c>
      <c r="C1253" t="s">
        <v>94</v>
      </c>
      <c r="D1253" t="s">
        <v>99</v>
      </c>
      <c r="E1253" t="s">
        <v>100</v>
      </c>
      <c r="F1253" t="s">
        <v>28</v>
      </c>
      <c r="G1253">
        <v>491</v>
      </c>
    </row>
    <row r="1254" spans="1:7" x14ac:dyDescent="0.2">
      <c r="A1254" t="s">
        <v>856</v>
      </c>
      <c r="B1254" t="s">
        <v>93</v>
      </c>
      <c r="C1254" t="s">
        <v>94</v>
      </c>
      <c r="D1254" t="s">
        <v>101</v>
      </c>
      <c r="E1254" t="s">
        <v>102</v>
      </c>
      <c r="F1254" t="s">
        <v>25</v>
      </c>
      <c r="G1254">
        <v>160</v>
      </c>
    </row>
    <row r="1255" spans="1:7" x14ac:dyDescent="0.2">
      <c r="A1255" t="s">
        <v>856</v>
      </c>
      <c r="B1255" t="s">
        <v>93</v>
      </c>
      <c r="C1255" t="s">
        <v>94</v>
      </c>
      <c r="D1255" t="s">
        <v>103</v>
      </c>
      <c r="E1255" t="s">
        <v>104</v>
      </c>
      <c r="F1255" t="s">
        <v>11</v>
      </c>
      <c r="G1255">
        <v>46</v>
      </c>
    </row>
    <row r="1256" spans="1:7" x14ac:dyDescent="0.2">
      <c r="A1256" t="s">
        <v>856</v>
      </c>
      <c r="B1256" t="s">
        <v>93</v>
      </c>
      <c r="C1256" t="s">
        <v>94</v>
      </c>
      <c r="D1256" t="s">
        <v>105</v>
      </c>
      <c r="E1256" t="s">
        <v>106</v>
      </c>
      <c r="F1256" t="s">
        <v>11</v>
      </c>
      <c r="G1256">
        <v>1697</v>
      </c>
    </row>
    <row r="1257" spans="1:7" x14ac:dyDescent="0.2">
      <c r="A1257" t="s">
        <v>856</v>
      </c>
      <c r="B1257" t="s">
        <v>93</v>
      </c>
      <c r="C1257" t="s">
        <v>94</v>
      </c>
      <c r="D1257" t="s">
        <v>107</v>
      </c>
      <c r="E1257" t="s">
        <v>108</v>
      </c>
      <c r="F1257" t="s">
        <v>11</v>
      </c>
      <c r="G1257">
        <v>0</v>
      </c>
    </row>
    <row r="1258" spans="1:7" x14ac:dyDescent="0.2">
      <c r="A1258" t="s">
        <v>856</v>
      </c>
      <c r="B1258" t="s">
        <v>93</v>
      </c>
      <c r="C1258" t="s">
        <v>94</v>
      </c>
      <c r="D1258" t="s">
        <v>45</v>
      </c>
      <c r="G1258">
        <v>0</v>
      </c>
    </row>
    <row r="1259" spans="1:7" x14ac:dyDescent="0.2">
      <c r="A1259" t="s">
        <v>856</v>
      </c>
      <c r="B1259" t="s">
        <v>93</v>
      </c>
      <c r="C1259" t="s">
        <v>94</v>
      </c>
      <c r="D1259" t="s">
        <v>46</v>
      </c>
      <c r="G1259">
        <v>190</v>
      </c>
    </row>
    <row r="1260" spans="1:7" x14ac:dyDescent="0.2">
      <c r="A1260" t="s">
        <v>856</v>
      </c>
      <c r="B1260" t="s">
        <v>109</v>
      </c>
      <c r="C1260" t="s">
        <v>110</v>
      </c>
      <c r="D1260" t="s">
        <v>8</v>
      </c>
      <c r="G1260">
        <v>6615</v>
      </c>
    </row>
    <row r="1261" spans="1:7" x14ac:dyDescent="0.2">
      <c r="A1261" t="s">
        <v>856</v>
      </c>
      <c r="B1261" t="s">
        <v>109</v>
      </c>
      <c r="C1261" t="s">
        <v>110</v>
      </c>
      <c r="D1261" t="s">
        <v>111</v>
      </c>
      <c r="E1261" t="s">
        <v>112</v>
      </c>
      <c r="F1261" t="s">
        <v>22</v>
      </c>
      <c r="G1261">
        <v>5032</v>
      </c>
    </row>
    <row r="1262" spans="1:7" x14ac:dyDescent="0.2">
      <c r="A1262" t="s">
        <v>856</v>
      </c>
      <c r="B1262" t="s">
        <v>109</v>
      </c>
      <c r="C1262" t="s">
        <v>110</v>
      </c>
      <c r="D1262" t="s">
        <v>113</v>
      </c>
      <c r="E1262" t="s">
        <v>114</v>
      </c>
      <c r="F1262" t="s">
        <v>28</v>
      </c>
      <c r="G1262">
        <v>535</v>
      </c>
    </row>
    <row r="1263" spans="1:7" x14ac:dyDescent="0.2">
      <c r="A1263" t="s">
        <v>856</v>
      </c>
      <c r="B1263" t="s">
        <v>109</v>
      </c>
      <c r="C1263" t="s">
        <v>110</v>
      </c>
      <c r="D1263" t="s">
        <v>115</v>
      </c>
      <c r="E1263" t="s">
        <v>116</v>
      </c>
      <c r="F1263" t="s">
        <v>25</v>
      </c>
      <c r="G1263">
        <v>209</v>
      </c>
    </row>
    <row r="1264" spans="1:7" x14ac:dyDescent="0.2">
      <c r="A1264" t="s">
        <v>856</v>
      </c>
      <c r="B1264" t="s">
        <v>109</v>
      </c>
      <c r="C1264" t="s">
        <v>110</v>
      </c>
      <c r="D1264" t="s">
        <v>117</v>
      </c>
      <c r="E1264" t="s">
        <v>118</v>
      </c>
      <c r="F1264" t="s">
        <v>11</v>
      </c>
      <c r="G1264">
        <v>354</v>
      </c>
    </row>
    <row r="1265" spans="1:7" x14ac:dyDescent="0.2">
      <c r="A1265" t="s">
        <v>856</v>
      </c>
      <c r="B1265" t="s">
        <v>109</v>
      </c>
      <c r="C1265" t="s">
        <v>110</v>
      </c>
      <c r="D1265" t="s">
        <v>119</v>
      </c>
      <c r="E1265" t="s">
        <v>120</v>
      </c>
      <c r="F1265" t="s">
        <v>88</v>
      </c>
      <c r="G1265">
        <v>211</v>
      </c>
    </row>
    <row r="1266" spans="1:7" x14ac:dyDescent="0.2">
      <c r="A1266" t="s">
        <v>856</v>
      </c>
      <c r="B1266" t="s">
        <v>109</v>
      </c>
      <c r="C1266" t="s">
        <v>110</v>
      </c>
      <c r="D1266" t="s">
        <v>45</v>
      </c>
      <c r="G1266">
        <v>0</v>
      </c>
    </row>
    <row r="1267" spans="1:7" x14ac:dyDescent="0.2">
      <c r="A1267" t="s">
        <v>856</v>
      </c>
      <c r="B1267" t="s">
        <v>109</v>
      </c>
      <c r="C1267" t="s">
        <v>110</v>
      </c>
      <c r="D1267" t="s">
        <v>46</v>
      </c>
      <c r="G1267">
        <v>274</v>
      </c>
    </row>
    <row r="1268" spans="1:7" x14ac:dyDescent="0.2">
      <c r="A1268" t="s">
        <v>856</v>
      </c>
      <c r="B1268" t="s">
        <v>121</v>
      </c>
      <c r="C1268" t="s">
        <v>122</v>
      </c>
      <c r="D1268" t="s">
        <v>8</v>
      </c>
      <c r="G1268">
        <v>6615</v>
      </c>
    </row>
    <row r="1269" spans="1:7" x14ac:dyDescent="0.2">
      <c r="A1269" t="s">
        <v>856</v>
      </c>
      <c r="B1269" t="s">
        <v>121</v>
      </c>
      <c r="C1269" t="s">
        <v>122</v>
      </c>
      <c r="D1269" t="s">
        <v>123</v>
      </c>
      <c r="E1269" t="s">
        <v>124</v>
      </c>
      <c r="F1269" t="s">
        <v>22</v>
      </c>
      <c r="G1269">
        <v>5271</v>
      </c>
    </row>
    <row r="1270" spans="1:7" x14ac:dyDescent="0.2">
      <c r="A1270" t="s">
        <v>856</v>
      </c>
      <c r="B1270" t="s">
        <v>121</v>
      </c>
      <c r="C1270" t="s">
        <v>122</v>
      </c>
      <c r="D1270" t="s">
        <v>125</v>
      </c>
      <c r="E1270" t="s">
        <v>126</v>
      </c>
      <c r="F1270" t="s">
        <v>16</v>
      </c>
      <c r="G1270">
        <v>412</v>
      </c>
    </row>
    <row r="1271" spans="1:7" x14ac:dyDescent="0.2">
      <c r="A1271" t="s">
        <v>856</v>
      </c>
      <c r="B1271" t="s">
        <v>121</v>
      </c>
      <c r="C1271" t="s">
        <v>122</v>
      </c>
      <c r="D1271" t="s">
        <v>127</v>
      </c>
      <c r="E1271" t="s">
        <v>128</v>
      </c>
      <c r="F1271" t="s">
        <v>28</v>
      </c>
      <c r="G1271">
        <v>576</v>
      </c>
    </row>
    <row r="1272" spans="1:7" x14ac:dyDescent="0.2">
      <c r="A1272" t="s">
        <v>856</v>
      </c>
      <c r="B1272" t="s">
        <v>121</v>
      </c>
      <c r="C1272" t="s">
        <v>122</v>
      </c>
      <c r="D1272" t="s">
        <v>45</v>
      </c>
      <c r="G1272">
        <v>0</v>
      </c>
    </row>
    <row r="1273" spans="1:7" x14ac:dyDescent="0.2">
      <c r="A1273" t="s">
        <v>856</v>
      </c>
      <c r="B1273" t="s">
        <v>121</v>
      </c>
      <c r="C1273" t="s">
        <v>122</v>
      </c>
      <c r="D1273" t="s">
        <v>46</v>
      </c>
      <c r="G1273">
        <v>356</v>
      </c>
    </row>
    <row r="1274" spans="1:7" x14ac:dyDescent="0.2">
      <c r="A1274" t="s">
        <v>856</v>
      </c>
      <c r="B1274" t="s">
        <v>129</v>
      </c>
      <c r="C1274" t="s">
        <v>130</v>
      </c>
      <c r="D1274" t="s">
        <v>8</v>
      </c>
      <c r="G1274">
        <v>6615</v>
      </c>
    </row>
    <row r="1275" spans="1:7" x14ac:dyDescent="0.2">
      <c r="A1275" t="s">
        <v>856</v>
      </c>
      <c r="B1275" t="s">
        <v>129</v>
      </c>
      <c r="C1275" t="s">
        <v>130</v>
      </c>
      <c r="D1275" t="s">
        <v>131</v>
      </c>
      <c r="E1275" t="s">
        <v>132</v>
      </c>
      <c r="F1275" t="s">
        <v>133</v>
      </c>
      <c r="G1275">
        <v>189</v>
      </c>
    </row>
    <row r="1276" spans="1:7" x14ac:dyDescent="0.2">
      <c r="A1276" t="s">
        <v>856</v>
      </c>
      <c r="B1276" t="s">
        <v>129</v>
      </c>
      <c r="C1276" t="s">
        <v>130</v>
      </c>
      <c r="D1276" t="s">
        <v>134</v>
      </c>
      <c r="E1276" t="s">
        <v>135</v>
      </c>
      <c r="F1276" t="s">
        <v>22</v>
      </c>
      <c r="G1276">
        <v>5315</v>
      </c>
    </row>
    <row r="1277" spans="1:7" x14ac:dyDescent="0.2">
      <c r="A1277" t="s">
        <v>856</v>
      </c>
      <c r="B1277" t="s">
        <v>129</v>
      </c>
      <c r="C1277" t="s">
        <v>130</v>
      </c>
      <c r="D1277" t="s">
        <v>136</v>
      </c>
      <c r="E1277" t="s">
        <v>137</v>
      </c>
      <c r="F1277" t="s">
        <v>28</v>
      </c>
      <c r="G1277">
        <v>601</v>
      </c>
    </row>
    <row r="1278" spans="1:7" x14ac:dyDescent="0.2">
      <c r="A1278" t="s">
        <v>856</v>
      </c>
      <c r="B1278" t="s">
        <v>129</v>
      </c>
      <c r="C1278" t="s">
        <v>130</v>
      </c>
      <c r="D1278" t="s">
        <v>45</v>
      </c>
      <c r="G1278">
        <v>0</v>
      </c>
    </row>
    <row r="1279" spans="1:7" x14ac:dyDescent="0.2">
      <c r="A1279" t="s">
        <v>856</v>
      </c>
      <c r="B1279" t="s">
        <v>129</v>
      </c>
      <c r="C1279" t="s">
        <v>130</v>
      </c>
      <c r="D1279" t="s">
        <v>46</v>
      </c>
      <c r="G1279">
        <v>510</v>
      </c>
    </row>
    <row r="1280" spans="1:7" x14ac:dyDescent="0.2">
      <c r="A1280" t="s">
        <v>856</v>
      </c>
      <c r="B1280" t="s">
        <v>218</v>
      </c>
      <c r="C1280" t="s">
        <v>219</v>
      </c>
      <c r="D1280" t="s">
        <v>8</v>
      </c>
      <c r="G1280">
        <v>6504</v>
      </c>
    </row>
    <row r="1281" spans="1:7" x14ac:dyDescent="0.2">
      <c r="A1281" t="s">
        <v>856</v>
      </c>
      <c r="B1281" t="s">
        <v>218</v>
      </c>
      <c r="C1281" t="s">
        <v>219</v>
      </c>
      <c r="D1281" t="s">
        <v>220</v>
      </c>
      <c r="E1281" t="s">
        <v>221</v>
      </c>
      <c r="F1281" t="s">
        <v>22</v>
      </c>
      <c r="G1281">
        <v>5465</v>
      </c>
    </row>
    <row r="1282" spans="1:7" x14ac:dyDescent="0.2">
      <c r="A1282" t="s">
        <v>856</v>
      </c>
      <c r="B1282" t="s">
        <v>218</v>
      </c>
      <c r="C1282" t="s">
        <v>219</v>
      </c>
      <c r="D1282" t="s">
        <v>45</v>
      </c>
      <c r="G1282">
        <v>0</v>
      </c>
    </row>
    <row r="1283" spans="1:7" x14ac:dyDescent="0.2">
      <c r="A1283" t="s">
        <v>856</v>
      </c>
      <c r="B1283" t="s">
        <v>218</v>
      </c>
      <c r="C1283" t="s">
        <v>219</v>
      </c>
      <c r="D1283" t="s">
        <v>46</v>
      </c>
      <c r="G1283">
        <v>1039</v>
      </c>
    </row>
    <row r="1284" spans="1:7" x14ac:dyDescent="0.2">
      <c r="A1284" t="s">
        <v>856</v>
      </c>
      <c r="B1284" t="s">
        <v>390</v>
      </c>
      <c r="C1284" t="s">
        <v>391</v>
      </c>
      <c r="D1284" t="s">
        <v>8</v>
      </c>
      <c r="G1284">
        <v>113</v>
      </c>
    </row>
    <row r="1285" spans="1:7" x14ac:dyDescent="0.2">
      <c r="A1285" t="s">
        <v>856</v>
      </c>
      <c r="B1285" t="s">
        <v>390</v>
      </c>
      <c r="C1285" t="s">
        <v>391</v>
      </c>
      <c r="D1285" t="s">
        <v>392</v>
      </c>
      <c r="E1285" t="s">
        <v>393</v>
      </c>
      <c r="F1285" t="s">
        <v>22</v>
      </c>
      <c r="G1285">
        <v>85</v>
      </c>
    </row>
    <row r="1286" spans="1:7" x14ac:dyDescent="0.2">
      <c r="A1286" t="s">
        <v>856</v>
      </c>
      <c r="B1286" t="s">
        <v>390</v>
      </c>
      <c r="C1286" t="s">
        <v>391</v>
      </c>
      <c r="D1286" t="s">
        <v>394</v>
      </c>
      <c r="E1286" t="s">
        <v>395</v>
      </c>
      <c r="F1286" t="s">
        <v>28</v>
      </c>
      <c r="G1286">
        <v>16</v>
      </c>
    </row>
    <row r="1287" spans="1:7" x14ac:dyDescent="0.2">
      <c r="A1287" t="s">
        <v>856</v>
      </c>
      <c r="B1287" t="s">
        <v>390</v>
      </c>
      <c r="C1287" t="s">
        <v>391</v>
      </c>
      <c r="D1287" t="s">
        <v>45</v>
      </c>
      <c r="G1287">
        <v>0</v>
      </c>
    </row>
    <row r="1288" spans="1:7" x14ac:dyDescent="0.2">
      <c r="A1288" t="s">
        <v>856</v>
      </c>
      <c r="B1288" t="s">
        <v>390</v>
      </c>
      <c r="C1288" t="s">
        <v>391</v>
      </c>
      <c r="D1288" t="s">
        <v>46</v>
      </c>
      <c r="G1288">
        <v>12</v>
      </c>
    </row>
    <row r="1289" spans="1:7" x14ac:dyDescent="0.2">
      <c r="A1289" t="s">
        <v>856</v>
      </c>
      <c r="B1289" t="s">
        <v>598</v>
      </c>
      <c r="C1289" t="s">
        <v>599</v>
      </c>
      <c r="D1289" t="s">
        <v>8</v>
      </c>
      <c r="G1289">
        <v>6502</v>
      </c>
    </row>
    <row r="1290" spans="1:7" x14ac:dyDescent="0.2">
      <c r="A1290" t="s">
        <v>856</v>
      </c>
      <c r="B1290" t="s">
        <v>598</v>
      </c>
      <c r="C1290" t="s">
        <v>599</v>
      </c>
      <c r="D1290" t="s">
        <v>600</v>
      </c>
      <c r="E1290" t="s">
        <v>601</v>
      </c>
      <c r="F1290" t="s">
        <v>22</v>
      </c>
      <c r="G1290">
        <v>5280</v>
      </c>
    </row>
    <row r="1291" spans="1:7" x14ac:dyDescent="0.2">
      <c r="A1291" t="s">
        <v>856</v>
      </c>
      <c r="B1291" t="s">
        <v>598</v>
      </c>
      <c r="C1291" t="s">
        <v>599</v>
      </c>
      <c r="D1291" t="s">
        <v>45</v>
      </c>
      <c r="G1291">
        <v>0</v>
      </c>
    </row>
    <row r="1292" spans="1:7" x14ac:dyDescent="0.2">
      <c r="A1292" t="s">
        <v>856</v>
      </c>
      <c r="B1292" t="s">
        <v>598</v>
      </c>
      <c r="C1292" t="s">
        <v>599</v>
      </c>
      <c r="D1292" t="s">
        <v>46</v>
      </c>
      <c r="G1292">
        <v>1222</v>
      </c>
    </row>
    <row r="1293" spans="1:7" x14ac:dyDescent="0.2">
      <c r="A1293" t="s">
        <v>856</v>
      </c>
      <c r="B1293" t="s">
        <v>692</v>
      </c>
      <c r="C1293" t="s">
        <v>693</v>
      </c>
      <c r="D1293" t="s">
        <v>8</v>
      </c>
      <c r="G1293">
        <v>6615</v>
      </c>
    </row>
    <row r="1294" spans="1:7" x14ac:dyDescent="0.2">
      <c r="A1294" t="s">
        <v>856</v>
      </c>
      <c r="B1294" t="s">
        <v>692</v>
      </c>
      <c r="C1294" t="s">
        <v>693</v>
      </c>
      <c r="D1294" t="s">
        <v>694</v>
      </c>
      <c r="E1294" t="s">
        <v>695</v>
      </c>
      <c r="G1294">
        <v>4264</v>
      </c>
    </row>
    <row r="1295" spans="1:7" x14ac:dyDescent="0.2">
      <c r="A1295" t="s">
        <v>856</v>
      </c>
      <c r="B1295" t="s">
        <v>692</v>
      </c>
      <c r="C1295" t="s">
        <v>693</v>
      </c>
      <c r="D1295" t="s">
        <v>696</v>
      </c>
      <c r="E1295" t="s">
        <v>697</v>
      </c>
      <c r="G1295">
        <v>1051</v>
      </c>
    </row>
    <row r="1296" spans="1:7" x14ac:dyDescent="0.2">
      <c r="A1296" t="s">
        <v>856</v>
      </c>
      <c r="B1296" t="s">
        <v>692</v>
      </c>
      <c r="C1296" t="s">
        <v>693</v>
      </c>
      <c r="D1296" t="s">
        <v>45</v>
      </c>
      <c r="G1296">
        <v>3</v>
      </c>
    </row>
    <row r="1297" spans="1:7" x14ac:dyDescent="0.2">
      <c r="A1297" t="s">
        <v>856</v>
      </c>
      <c r="B1297" t="s">
        <v>692</v>
      </c>
      <c r="C1297" t="s">
        <v>693</v>
      </c>
      <c r="D1297" t="s">
        <v>46</v>
      </c>
      <c r="G1297">
        <v>1297</v>
      </c>
    </row>
    <row r="1298" spans="1:7" x14ac:dyDescent="0.2">
      <c r="A1298" t="s">
        <v>856</v>
      </c>
      <c r="B1298" t="s">
        <v>698</v>
      </c>
      <c r="C1298" t="s">
        <v>699</v>
      </c>
      <c r="D1298" t="s">
        <v>8</v>
      </c>
      <c r="G1298">
        <v>6615</v>
      </c>
    </row>
    <row r="1299" spans="1:7" x14ac:dyDescent="0.2">
      <c r="A1299" t="s">
        <v>856</v>
      </c>
      <c r="B1299" t="s">
        <v>698</v>
      </c>
      <c r="C1299" t="s">
        <v>699</v>
      </c>
      <c r="D1299" t="s">
        <v>694</v>
      </c>
      <c r="E1299" t="s">
        <v>700</v>
      </c>
      <c r="G1299">
        <v>4225</v>
      </c>
    </row>
    <row r="1300" spans="1:7" x14ac:dyDescent="0.2">
      <c r="A1300" t="s">
        <v>856</v>
      </c>
      <c r="B1300" t="s">
        <v>698</v>
      </c>
      <c r="C1300" t="s">
        <v>699</v>
      </c>
      <c r="D1300" t="s">
        <v>696</v>
      </c>
      <c r="E1300" t="s">
        <v>701</v>
      </c>
      <c r="G1300">
        <v>1066</v>
      </c>
    </row>
    <row r="1301" spans="1:7" x14ac:dyDescent="0.2">
      <c r="A1301" t="s">
        <v>856</v>
      </c>
      <c r="B1301" t="s">
        <v>698</v>
      </c>
      <c r="C1301" t="s">
        <v>699</v>
      </c>
      <c r="D1301" t="s">
        <v>45</v>
      </c>
      <c r="G1301">
        <v>0</v>
      </c>
    </row>
    <row r="1302" spans="1:7" x14ac:dyDescent="0.2">
      <c r="A1302" t="s">
        <v>856</v>
      </c>
      <c r="B1302" t="s">
        <v>698</v>
      </c>
      <c r="C1302" t="s">
        <v>699</v>
      </c>
      <c r="D1302" t="s">
        <v>46</v>
      </c>
      <c r="G1302">
        <v>1324</v>
      </c>
    </row>
    <row r="1303" spans="1:7" x14ac:dyDescent="0.2">
      <c r="A1303" t="s">
        <v>856</v>
      </c>
      <c r="B1303" t="s">
        <v>762</v>
      </c>
      <c r="C1303" t="s">
        <v>763</v>
      </c>
      <c r="D1303" t="s">
        <v>8</v>
      </c>
      <c r="G1303">
        <v>6615</v>
      </c>
    </row>
    <row r="1304" spans="1:7" x14ac:dyDescent="0.2">
      <c r="A1304" t="s">
        <v>856</v>
      </c>
      <c r="B1304" t="s">
        <v>762</v>
      </c>
      <c r="C1304" t="s">
        <v>763</v>
      </c>
      <c r="D1304" t="s">
        <v>694</v>
      </c>
      <c r="E1304" t="s">
        <v>764</v>
      </c>
      <c r="G1304">
        <v>4171</v>
      </c>
    </row>
    <row r="1305" spans="1:7" x14ac:dyDescent="0.2">
      <c r="A1305" t="s">
        <v>856</v>
      </c>
      <c r="B1305" t="s">
        <v>762</v>
      </c>
      <c r="C1305" t="s">
        <v>763</v>
      </c>
      <c r="D1305" t="s">
        <v>696</v>
      </c>
      <c r="E1305" t="s">
        <v>765</v>
      </c>
      <c r="G1305">
        <v>1154</v>
      </c>
    </row>
    <row r="1306" spans="1:7" x14ac:dyDescent="0.2">
      <c r="A1306" t="s">
        <v>856</v>
      </c>
      <c r="B1306" t="s">
        <v>762</v>
      </c>
      <c r="C1306" t="s">
        <v>763</v>
      </c>
      <c r="D1306" t="s">
        <v>45</v>
      </c>
      <c r="G1306">
        <v>0</v>
      </c>
    </row>
    <row r="1307" spans="1:7" x14ac:dyDescent="0.2">
      <c r="A1307" t="s">
        <v>856</v>
      </c>
      <c r="B1307" t="s">
        <v>762</v>
      </c>
      <c r="C1307" t="s">
        <v>763</v>
      </c>
      <c r="D1307" t="s">
        <v>46</v>
      </c>
      <c r="G1307">
        <v>1290</v>
      </c>
    </row>
    <row r="1308" spans="1:7" x14ac:dyDescent="0.2">
      <c r="A1308" t="s">
        <v>856</v>
      </c>
      <c r="B1308" t="s">
        <v>766</v>
      </c>
      <c r="C1308" t="s">
        <v>767</v>
      </c>
      <c r="D1308" t="s">
        <v>8</v>
      </c>
      <c r="G1308">
        <v>6615</v>
      </c>
    </row>
    <row r="1309" spans="1:7" x14ac:dyDescent="0.2">
      <c r="A1309" t="s">
        <v>856</v>
      </c>
      <c r="B1309" t="s">
        <v>766</v>
      </c>
      <c r="C1309" t="s">
        <v>767</v>
      </c>
      <c r="D1309" t="s">
        <v>694</v>
      </c>
      <c r="E1309" t="s">
        <v>768</v>
      </c>
      <c r="G1309">
        <v>4244</v>
      </c>
    </row>
    <row r="1310" spans="1:7" x14ac:dyDescent="0.2">
      <c r="A1310" t="s">
        <v>856</v>
      </c>
      <c r="B1310" t="s">
        <v>766</v>
      </c>
      <c r="C1310" t="s">
        <v>767</v>
      </c>
      <c r="D1310" t="s">
        <v>696</v>
      </c>
      <c r="E1310" t="s">
        <v>769</v>
      </c>
      <c r="G1310">
        <v>1092</v>
      </c>
    </row>
    <row r="1311" spans="1:7" x14ac:dyDescent="0.2">
      <c r="A1311" t="s">
        <v>856</v>
      </c>
      <c r="B1311" t="s">
        <v>766</v>
      </c>
      <c r="C1311" t="s">
        <v>767</v>
      </c>
      <c r="D1311" t="s">
        <v>45</v>
      </c>
      <c r="G1311">
        <v>4</v>
      </c>
    </row>
    <row r="1312" spans="1:7" x14ac:dyDescent="0.2">
      <c r="A1312" t="s">
        <v>856</v>
      </c>
      <c r="B1312" t="s">
        <v>766</v>
      </c>
      <c r="C1312" t="s">
        <v>767</v>
      </c>
      <c r="D1312" t="s">
        <v>46</v>
      </c>
      <c r="G1312">
        <v>1275</v>
      </c>
    </row>
    <row r="1313" spans="1:7" x14ac:dyDescent="0.2">
      <c r="A1313" t="s">
        <v>856</v>
      </c>
      <c r="B1313" t="s">
        <v>770</v>
      </c>
      <c r="C1313" t="s">
        <v>771</v>
      </c>
      <c r="D1313" t="s">
        <v>8</v>
      </c>
      <c r="G1313">
        <v>6615</v>
      </c>
    </row>
    <row r="1314" spans="1:7" x14ac:dyDescent="0.2">
      <c r="A1314" t="s">
        <v>856</v>
      </c>
      <c r="B1314" t="s">
        <v>770</v>
      </c>
      <c r="C1314" t="s">
        <v>771</v>
      </c>
      <c r="D1314" t="s">
        <v>694</v>
      </c>
      <c r="E1314" t="s">
        <v>772</v>
      </c>
      <c r="G1314">
        <v>4252</v>
      </c>
    </row>
    <row r="1315" spans="1:7" x14ac:dyDescent="0.2">
      <c r="A1315" t="s">
        <v>856</v>
      </c>
      <c r="B1315" t="s">
        <v>770</v>
      </c>
      <c r="C1315" t="s">
        <v>771</v>
      </c>
      <c r="D1315" t="s">
        <v>696</v>
      </c>
      <c r="E1315" t="s">
        <v>773</v>
      </c>
      <c r="G1315">
        <v>1069</v>
      </c>
    </row>
    <row r="1316" spans="1:7" x14ac:dyDescent="0.2">
      <c r="A1316" t="s">
        <v>856</v>
      </c>
      <c r="B1316" t="s">
        <v>770</v>
      </c>
      <c r="C1316" t="s">
        <v>771</v>
      </c>
      <c r="D1316" t="s">
        <v>45</v>
      </c>
      <c r="G1316">
        <v>3</v>
      </c>
    </row>
    <row r="1317" spans="1:7" x14ac:dyDescent="0.2">
      <c r="A1317" t="s">
        <v>856</v>
      </c>
      <c r="B1317" t="s">
        <v>770</v>
      </c>
      <c r="C1317" t="s">
        <v>771</v>
      </c>
      <c r="D1317" t="s">
        <v>46</v>
      </c>
      <c r="G1317">
        <v>1291</v>
      </c>
    </row>
    <row r="1318" spans="1:7" x14ac:dyDescent="0.2">
      <c r="A1318" t="s">
        <v>856</v>
      </c>
      <c r="B1318" t="s">
        <v>774</v>
      </c>
      <c r="C1318" t="s">
        <v>775</v>
      </c>
      <c r="D1318" t="s">
        <v>8</v>
      </c>
      <c r="G1318">
        <v>6615</v>
      </c>
    </row>
    <row r="1319" spans="1:7" x14ac:dyDescent="0.2">
      <c r="A1319" t="s">
        <v>856</v>
      </c>
      <c r="B1319" t="s">
        <v>774</v>
      </c>
      <c r="C1319" t="s">
        <v>775</v>
      </c>
      <c r="D1319" t="s">
        <v>694</v>
      </c>
      <c r="E1319" t="s">
        <v>776</v>
      </c>
      <c r="G1319">
        <v>4204</v>
      </c>
    </row>
    <row r="1320" spans="1:7" x14ac:dyDescent="0.2">
      <c r="A1320" t="s">
        <v>856</v>
      </c>
      <c r="B1320" t="s">
        <v>774</v>
      </c>
      <c r="C1320" t="s">
        <v>775</v>
      </c>
      <c r="D1320" t="s">
        <v>696</v>
      </c>
      <c r="E1320" t="s">
        <v>777</v>
      </c>
      <c r="G1320">
        <v>1109</v>
      </c>
    </row>
    <row r="1321" spans="1:7" x14ac:dyDescent="0.2">
      <c r="A1321" t="s">
        <v>856</v>
      </c>
      <c r="B1321" t="s">
        <v>774</v>
      </c>
      <c r="C1321" t="s">
        <v>775</v>
      </c>
      <c r="D1321" t="s">
        <v>45</v>
      </c>
      <c r="G1321">
        <v>0</v>
      </c>
    </row>
    <row r="1322" spans="1:7" x14ac:dyDescent="0.2">
      <c r="A1322" t="s">
        <v>856</v>
      </c>
      <c r="B1322" t="s">
        <v>774</v>
      </c>
      <c r="C1322" t="s">
        <v>775</v>
      </c>
      <c r="D1322" t="s">
        <v>46</v>
      </c>
      <c r="G1322">
        <v>1302</v>
      </c>
    </row>
    <row r="1323" spans="1:7" x14ac:dyDescent="0.2">
      <c r="A1323" t="s">
        <v>856</v>
      </c>
      <c r="B1323" t="s">
        <v>778</v>
      </c>
      <c r="C1323" t="s">
        <v>779</v>
      </c>
      <c r="D1323" t="s">
        <v>8</v>
      </c>
      <c r="G1323">
        <v>6615</v>
      </c>
    </row>
    <row r="1324" spans="1:7" x14ac:dyDescent="0.2">
      <c r="A1324" t="s">
        <v>856</v>
      </c>
      <c r="B1324" t="s">
        <v>778</v>
      </c>
      <c r="C1324" t="s">
        <v>779</v>
      </c>
      <c r="D1324" t="s">
        <v>694</v>
      </c>
      <c r="E1324" t="s">
        <v>780</v>
      </c>
      <c r="G1324">
        <v>4211</v>
      </c>
    </row>
    <row r="1325" spans="1:7" x14ac:dyDescent="0.2">
      <c r="A1325" t="s">
        <v>856</v>
      </c>
      <c r="B1325" t="s">
        <v>778</v>
      </c>
      <c r="C1325" t="s">
        <v>779</v>
      </c>
      <c r="D1325" t="s">
        <v>696</v>
      </c>
      <c r="E1325" t="s">
        <v>781</v>
      </c>
      <c r="G1325">
        <v>1100</v>
      </c>
    </row>
    <row r="1326" spans="1:7" x14ac:dyDescent="0.2">
      <c r="A1326" t="s">
        <v>856</v>
      </c>
      <c r="B1326" t="s">
        <v>778</v>
      </c>
      <c r="C1326" t="s">
        <v>779</v>
      </c>
      <c r="D1326" t="s">
        <v>45</v>
      </c>
      <c r="G1326">
        <v>2</v>
      </c>
    </row>
    <row r="1327" spans="1:7" x14ac:dyDescent="0.2">
      <c r="A1327" t="s">
        <v>856</v>
      </c>
      <c r="B1327" t="s">
        <v>778</v>
      </c>
      <c r="C1327" t="s">
        <v>779</v>
      </c>
      <c r="D1327" t="s">
        <v>46</v>
      </c>
      <c r="G1327">
        <v>1302</v>
      </c>
    </row>
    <row r="1328" spans="1:7" x14ac:dyDescent="0.2">
      <c r="A1328" t="s">
        <v>856</v>
      </c>
      <c r="B1328" t="s">
        <v>782</v>
      </c>
      <c r="C1328" t="s">
        <v>783</v>
      </c>
      <c r="D1328" t="s">
        <v>8</v>
      </c>
      <c r="G1328">
        <v>6615</v>
      </c>
    </row>
    <row r="1329" spans="1:7" x14ac:dyDescent="0.2">
      <c r="A1329" t="s">
        <v>856</v>
      </c>
      <c r="B1329" t="s">
        <v>782</v>
      </c>
      <c r="C1329" t="s">
        <v>783</v>
      </c>
      <c r="D1329" t="s">
        <v>694</v>
      </c>
      <c r="E1329" t="s">
        <v>784</v>
      </c>
      <c r="G1329">
        <v>4069</v>
      </c>
    </row>
    <row r="1330" spans="1:7" x14ac:dyDescent="0.2">
      <c r="A1330" t="s">
        <v>856</v>
      </c>
      <c r="B1330" t="s">
        <v>782</v>
      </c>
      <c r="C1330" t="s">
        <v>783</v>
      </c>
      <c r="D1330" t="s">
        <v>696</v>
      </c>
      <c r="E1330" t="s">
        <v>785</v>
      </c>
      <c r="G1330">
        <v>1244</v>
      </c>
    </row>
    <row r="1331" spans="1:7" x14ac:dyDescent="0.2">
      <c r="A1331" t="s">
        <v>856</v>
      </c>
      <c r="B1331" t="s">
        <v>782</v>
      </c>
      <c r="C1331" t="s">
        <v>783</v>
      </c>
      <c r="D1331" t="s">
        <v>45</v>
      </c>
      <c r="G1331">
        <v>0</v>
      </c>
    </row>
    <row r="1332" spans="1:7" x14ac:dyDescent="0.2">
      <c r="A1332" t="s">
        <v>856</v>
      </c>
      <c r="B1332" t="s">
        <v>782</v>
      </c>
      <c r="C1332" t="s">
        <v>783</v>
      </c>
      <c r="D1332" t="s">
        <v>46</v>
      </c>
      <c r="G1332">
        <v>1302</v>
      </c>
    </row>
    <row r="1333" spans="1:7" x14ac:dyDescent="0.2">
      <c r="A1333" t="s">
        <v>856</v>
      </c>
      <c r="B1333" t="s">
        <v>826</v>
      </c>
      <c r="C1333" t="s">
        <v>827</v>
      </c>
      <c r="D1333" t="s">
        <v>8</v>
      </c>
      <c r="G1333">
        <v>6615</v>
      </c>
    </row>
    <row r="1334" spans="1:7" x14ac:dyDescent="0.2">
      <c r="A1334" t="s">
        <v>856</v>
      </c>
      <c r="B1334" t="s">
        <v>826</v>
      </c>
      <c r="C1334" t="s">
        <v>827</v>
      </c>
      <c r="D1334" t="s">
        <v>694</v>
      </c>
      <c r="E1334" t="s">
        <v>828</v>
      </c>
      <c r="G1334">
        <v>4268</v>
      </c>
    </row>
    <row r="1335" spans="1:7" x14ac:dyDescent="0.2">
      <c r="A1335" t="s">
        <v>856</v>
      </c>
      <c r="B1335" t="s">
        <v>826</v>
      </c>
      <c r="C1335" t="s">
        <v>827</v>
      </c>
      <c r="D1335" t="s">
        <v>696</v>
      </c>
      <c r="E1335" t="s">
        <v>829</v>
      </c>
      <c r="G1335">
        <v>1084</v>
      </c>
    </row>
    <row r="1336" spans="1:7" x14ac:dyDescent="0.2">
      <c r="A1336" t="s">
        <v>856</v>
      </c>
      <c r="B1336" t="s">
        <v>826</v>
      </c>
      <c r="C1336" t="s">
        <v>827</v>
      </c>
      <c r="D1336" t="s">
        <v>45</v>
      </c>
      <c r="G1336">
        <v>0</v>
      </c>
    </row>
    <row r="1337" spans="1:7" x14ac:dyDescent="0.2">
      <c r="A1337" t="s">
        <v>856</v>
      </c>
      <c r="B1337" t="s">
        <v>826</v>
      </c>
      <c r="C1337" t="s">
        <v>827</v>
      </c>
      <c r="D1337" t="s">
        <v>46</v>
      </c>
      <c r="G1337">
        <v>1263</v>
      </c>
    </row>
    <row r="1338" spans="1:7" x14ac:dyDescent="0.2">
      <c r="A1338" t="s">
        <v>856</v>
      </c>
      <c r="B1338" t="s">
        <v>834</v>
      </c>
      <c r="C1338" t="s">
        <v>835</v>
      </c>
      <c r="D1338" t="s">
        <v>8</v>
      </c>
      <c r="G1338">
        <v>6615</v>
      </c>
    </row>
    <row r="1339" spans="1:7" x14ac:dyDescent="0.2">
      <c r="A1339" t="s">
        <v>856</v>
      </c>
      <c r="B1339" t="s">
        <v>834</v>
      </c>
      <c r="C1339" t="s">
        <v>835</v>
      </c>
      <c r="D1339" t="s">
        <v>836</v>
      </c>
      <c r="E1339" t="s">
        <v>837</v>
      </c>
      <c r="G1339">
        <v>3580</v>
      </c>
    </row>
    <row r="1340" spans="1:7" x14ac:dyDescent="0.2">
      <c r="A1340" t="s">
        <v>856</v>
      </c>
      <c r="B1340" t="s">
        <v>834</v>
      </c>
      <c r="C1340" t="s">
        <v>835</v>
      </c>
      <c r="D1340" t="s">
        <v>838</v>
      </c>
      <c r="E1340" t="s">
        <v>839</v>
      </c>
      <c r="G1340">
        <v>2465</v>
      </c>
    </row>
    <row r="1341" spans="1:7" x14ac:dyDescent="0.2">
      <c r="A1341" t="s">
        <v>856</v>
      </c>
      <c r="B1341" t="s">
        <v>834</v>
      </c>
      <c r="C1341" t="s">
        <v>835</v>
      </c>
      <c r="D1341" t="s">
        <v>45</v>
      </c>
      <c r="G1341">
        <v>2</v>
      </c>
    </row>
    <row r="1342" spans="1:7" x14ac:dyDescent="0.2">
      <c r="A1342" t="s">
        <v>856</v>
      </c>
      <c r="B1342" t="s">
        <v>834</v>
      </c>
      <c r="C1342" t="s">
        <v>835</v>
      </c>
      <c r="D1342" t="s">
        <v>46</v>
      </c>
      <c r="G1342">
        <v>568</v>
      </c>
    </row>
    <row r="1343" spans="1:7" x14ac:dyDescent="0.2">
      <c r="A1343" t="s">
        <v>856</v>
      </c>
      <c r="B1343" t="s">
        <v>840</v>
      </c>
      <c r="C1343" t="s">
        <v>841</v>
      </c>
      <c r="D1343" t="s">
        <v>8</v>
      </c>
      <c r="G1343">
        <v>6615</v>
      </c>
    </row>
    <row r="1344" spans="1:7" x14ac:dyDescent="0.2">
      <c r="A1344" t="s">
        <v>856</v>
      </c>
      <c r="B1344" t="s">
        <v>840</v>
      </c>
      <c r="C1344" t="s">
        <v>841</v>
      </c>
      <c r="D1344" t="s">
        <v>836</v>
      </c>
      <c r="E1344" t="s">
        <v>842</v>
      </c>
      <c r="G1344">
        <v>5348</v>
      </c>
    </row>
    <row r="1345" spans="1:7" x14ac:dyDescent="0.2">
      <c r="A1345" t="s">
        <v>856</v>
      </c>
      <c r="B1345" t="s">
        <v>840</v>
      </c>
      <c r="C1345" t="s">
        <v>841</v>
      </c>
      <c r="D1345" t="s">
        <v>838</v>
      </c>
      <c r="E1345" t="s">
        <v>843</v>
      </c>
      <c r="G1345">
        <v>780</v>
      </c>
    </row>
    <row r="1346" spans="1:7" x14ac:dyDescent="0.2">
      <c r="A1346" t="s">
        <v>856</v>
      </c>
      <c r="B1346" t="s">
        <v>840</v>
      </c>
      <c r="C1346" t="s">
        <v>841</v>
      </c>
      <c r="D1346" t="s">
        <v>45</v>
      </c>
      <c r="G1346">
        <v>0</v>
      </c>
    </row>
    <row r="1347" spans="1:7" x14ac:dyDescent="0.2">
      <c r="A1347" t="s">
        <v>856</v>
      </c>
      <c r="B1347" t="s">
        <v>840</v>
      </c>
      <c r="C1347" t="s">
        <v>841</v>
      </c>
      <c r="D1347" t="s">
        <v>46</v>
      </c>
      <c r="G1347">
        <v>487</v>
      </c>
    </row>
    <row r="1348" spans="1:7" x14ac:dyDescent="0.2">
      <c r="A1348" t="s">
        <v>857</v>
      </c>
      <c r="B1348" t="s">
        <v>6</v>
      </c>
      <c r="C1348" t="s">
        <v>7</v>
      </c>
      <c r="D1348" t="s">
        <v>8</v>
      </c>
      <c r="G1348">
        <v>4560</v>
      </c>
    </row>
    <row r="1349" spans="1:7" x14ac:dyDescent="0.2">
      <c r="A1349" t="s">
        <v>857</v>
      </c>
      <c r="B1349" t="s">
        <v>6</v>
      </c>
      <c r="C1349" t="s">
        <v>7</v>
      </c>
      <c r="D1349" t="s">
        <v>9</v>
      </c>
      <c r="E1349" t="s">
        <v>10</v>
      </c>
      <c r="F1349" t="s">
        <v>11</v>
      </c>
      <c r="G1349">
        <v>6</v>
      </c>
    </row>
    <row r="1350" spans="1:7" x14ac:dyDescent="0.2">
      <c r="A1350" t="s">
        <v>857</v>
      </c>
      <c r="B1350" t="s">
        <v>6</v>
      </c>
      <c r="C1350" t="s">
        <v>7</v>
      </c>
      <c r="D1350" t="s">
        <v>12</v>
      </c>
      <c r="E1350" t="s">
        <v>13</v>
      </c>
      <c r="F1350" t="s">
        <v>11</v>
      </c>
      <c r="G1350">
        <v>3</v>
      </c>
    </row>
    <row r="1351" spans="1:7" x14ac:dyDescent="0.2">
      <c r="A1351" t="s">
        <v>857</v>
      </c>
      <c r="B1351" t="s">
        <v>6</v>
      </c>
      <c r="C1351" t="s">
        <v>7</v>
      </c>
      <c r="D1351" t="s">
        <v>14</v>
      </c>
      <c r="E1351" t="s">
        <v>15</v>
      </c>
      <c r="F1351" t="s">
        <v>16</v>
      </c>
      <c r="G1351">
        <v>16</v>
      </c>
    </row>
    <row r="1352" spans="1:7" x14ac:dyDescent="0.2">
      <c r="A1352" t="s">
        <v>857</v>
      </c>
      <c r="B1352" t="s">
        <v>6</v>
      </c>
      <c r="C1352" t="s">
        <v>7</v>
      </c>
      <c r="D1352" t="s">
        <v>17</v>
      </c>
      <c r="E1352" t="s">
        <v>18</v>
      </c>
      <c r="F1352" t="s">
        <v>19</v>
      </c>
      <c r="G1352">
        <v>11</v>
      </c>
    </row>
    <row r="1353" spans="1:7" x14ac:dyDescent="0.2">
      <c r="A1353" t="s">
        <v>857</v>
      </c>
      <c r="B1353" t="s">
        <v>6</v>
      </c>
      <c r="C1353" t="s">
        <v>7</v>
      </c>
      <c r="D1353" t="s">
        <v>20</v>
      </c>
      <c r="E1353" t="s">
        <v>21</v>
      </c>
      <c r="F1353" t="s">
        <v>22</v>
      </c>
      <c r="G1353">
        <v>3277</v>
      </c>
    </row>
    <row r="1354" spans="1:7" x14ac:dyDescent="0.2">
      <c r="A1354" t="s">
        <v>857</v>
      </c>
      <c r="B1354" t="s">
        <v>6</v>
      </c>
      <c r="C1354" t="s">
        <v>7</v>
      </c>
      <c r="D1354" t="s">
        <v>23</v>
      </c>
      <c r="E1354" t="s">
        <v>24</v>
      </c>
      <c r="F1354" t="s">
        <v>25</v>
      </c>
      <c r="G1354">
        <v>32</v>
      </c>
    </row>
    <row r="1355" spans="1:7" x14ac:dyDescent="0.2">
      <c r="A1355" t="s">
        <v>857</v>
      </c>
      <c r="B1355" t="s">
        <v>6</v>
      </c>
      <c r="C1355" t="s">
        <v>7</v>
      </c>
      <c r="D1355" t="s">
        <v>26</v>
      </c>
      <c r="E1355" t="s">
        <v>27</v>
      </c>
      <c r="F1355" t="s">
        <v>28</v>
      </c>
      <c r="G1355">
        <v>1137</v>
      </c>
    </row>
    <row r="1356" spans="1:7" x14ac:dyDescent="0.2">
      <c r="A1356" t="s">
        <v>857</v>
      </c>
      <c r="B1356" t="s">
        <v>6</v>
      </c>
      <c r="C1356" t="s">
        <v>7</v>
      </c>
      <c r="D1356" t="s">
        <v>29</v>
      </c>
      <c r="E1356" t="s">
        <v>30</v>
      </c>
      <c r="F1356" t="s">
        <v>11</v>
      </c>
      <c r="G1356">
        <v>4</v>
      </c>
    </row>
    <row r="1357" spans="1:7" x14ac:dyDescent="0.2">
      <c r="A1357" t="s">
        <v>857</v>
      </c>
      <c r="B1357" t="s">
        <v>6</v>
      </c>
      <c r="C1357" t="s">
        <v>7</v>
      </c>
      <c r="D1357" t="s">
        <v>31</v>
      </c>
      <c r="E1357" t="s">
        <v>32</v>
      </c>
      <c r="F1357" t="s">
        <v>11</v>
      </c>
      <c r="G1357">
        <v>0</v>
      </c>
    </row>
    <row r="1358" spans="1:7" x14ac:dyDescent="0.2">
      <c r="A1358" t="s">
        <v>857</v>
      </c>
      <c r="B1358" t="s">
        <v>6</v>
      </c>
      <c r="C1358" t="s">
        <v>7</v>
      </c>
      <c r="D1358" t="s">
        <v>33</v>
      </c>
      <c r="E1358" t="s">
        <v>34</v>
      </c>
      <c r="F1358" t="s">
        <v>11</v>
      </c>
      <c r="G1358">
        <v>2</v>
      </c>
    </row>
    <row r="1359" spans="1:7" x14ac:dyDescent="0.2">
      <c r="A1359" t="s">
        <v>857</v>
      </c>
      <c r="B1359" t="s">
        <v>6</v>
      </c>
      <c r="C1359" t="s">
        <v>7</v>
      </c>
      <c r="D1359" t="s">
        <v>35</v>
      </c>
      <c r="E1359" t="s">
        <v>36</v>
      </c>
      <c r="F1359" t="s">
        <v>11</v>
      </c>
      <c r="G1359">
        <v>0</v>
      </c>
    </row>
    <row r="1360" spans="1:7" x14ac:dyDescent="0.2">
      <c r="A1360" t="s">
        <v>857</v>
      </c>
      <c r="B1360" t="s">
        <v>6</v>
      </c>
      <c r="C1360" t="s">
        <v>7</v>
      </c>
      <c r="D1360" t="s">
        <v>37</v>
      </c>
      <c r="E1360" t="s">
        <v>38</v>
      </c>
      <c r="F1360" t="s">
        <v>11</v>
      </c>
      <c r="G1360">
        <v>0</v>
      </c>
    </row>
    <row r="1361" spans="1:7" x14ac:dyDescent="0.2">
      <c r="A1361" t="s">
        <v>857</v>
      </c>
      <c r="B1361" t="s">
        <v>6</v>
      </c>
      <c r="C1361" t="s">
        <v>7</v>
      </c>
      <c r="D1361" t="s">
        <v>39</v>
      </c>
      <c r="E1361" t="s">
        <v>40</v>
      </c>
      <c r="F1361" t="s">
        <v>11</v>
      </c>
      <c r="G1361">
        <v>0</v>
      </c>
    </row>
    <row r="1362" spans="1:7" x14ac:dyDescent="0.2">
      <c r="A1362" t="s">
        <v>857</v>
      </c>
      <c r="B1362" t="s">
        <v>6</v>
      </c>
      <c r="C1362" t="s">
        <v>7</v>
      </c>
      <c r="D1362" t="s">
        <v>41</v>
      </c>
      <c r="E1362" t="s">
        <v>42</v>
      </c>
      <c r="F1362" t="s">
        <v>11</v>
      </c>
      <c r="G1362">
        <v>0</v>
      </c>
    </row>
    <row r="1363" spans="1:7" x14ac:dyDescent="0.2">
      <c r="A1363" t="s">
        <v>857</v>
      </c>
      <c r="B1363" t="s">
        <v>6</v>
      </c>
      <c r="C1363" t="s">
        <v>7</v>
      </c>
      <c r="D1363" t="s">
        <v>43</v>
      </c>
      <c r="E1363" t="s">
        <v>44</v>
      </c>
      <c r="F1363" t="s">
        <v>11</v>
      </c>
      <c r="G1363">
        <v>0</v>
      </c>
    </row>
    <row r="1364" spans="1:7" x14ac:dyDescent="0.2">
      <c r="A1364" t="s">
        <v>857</v>
      </c>
      <c r="B1364" t="s">
        <v>6</v>
      </c>
      <c r="C1364" t="s">
        <v>7</v>
      </c>
      <c r="D1364" t="s">
        <v>45</v>
      </c>
      <c r="G1364">
        <v>2</v>
      </c>
    </row>
    <row r="1365" spans="1:7" x14ac:dyDescent="0.2">
      <c r="A1365" t="s">
        <v>857</v>
      </c>
      <c r="B1365" t="s">
        <v>6</v>
      </c>
      <c r="C1365" t="s">
        <v>7</v>
      </c>
      <c r="D1365" t="s">
        <v>46</v>
      </c>
      <c r="G1365">
        <v>42</v>
      </c>
    </row>
    <row r="1366" spans="1:7" x14ac:dyDescent="0.2">
      <c r="A1366" t="s">
        <v>857</v>
      </c>
      <c r="B1366" t="s">
        <v>47</v>
      </c>
      <c r="C1366" t="s">
        <v>48</v>
      </c>
      <c r="D1366" t="s">
        <v>8</v>
      </c>
      <c r="G1366">
        <v>4560</v>
      </c>
    </row>
    <row r="1367" spans="1:7" x14ac:dyDescent="0.2">
      <c r="A1367" t="s">
        <v>857</v>
      </c>
      <c r="B1367" t="s">
        <v>47</v>
      </c>
      <c r="C1367" t="s">
        <v>48</v>
      </c>
      <c r="D1367" t="s">
        <v>49</v>
      </c>
      <c r="E1367" t="s">
        <v>50</v>
      </c>
      <c r="F1367" t="s">
        <v>51</v>
      </c>
      <c r="G1367">
        <v>240</v>
      </c>
    </row>
    <row r="1368" spans="1:7" x14ac:dyDescent="0.2">
      <c r="A1368" t="s">
        <v>857</v>
      </c>
      <c r="B1368" t="s">
        <v>47</v>
      </c>
      <c r="C1368" t="s">
        <v>48</v>
      </c>
      <c r="D1368" t="s">
        <v>52</v>
      </c>
      <c r="E1368" t="s">
        <v>53</v>
      </c>
      <c r="F1368" t="s">
        <v>22</v>
      </c>
      <c r="G1368">
        <v>3143</v>
      </c>
    </row>
    <row r="1369" spans="1:7" x14ac:dyDescent="0.2">
      <c r="A1369" t="s">
        <v>857</v>
      </c>
      <c r="B1369" t="s">
        <v>47</v>
      </c>
      <c r="C1369" t="s">
        <v>48</v>
      </c>
      <c r="D1369" t="s">
        <v>54</v>
      </c>
      <c r="E1369" t="s">
        <v>55</v>
      </c>
      <c r="F1369" t="s">
        <v>28</v>
      </c>
      <c r="G1369">
        <v>1003</v>
      </c>
    </row>
    <row r="1370" spans="1:7" x14ac:dyDescent="0.2">
      <c r="A1370" t="s">
        <v>857</v>
      </c>
      <c r="B1370" t="s">
        <v>47</v>
      </c>
      <c r="C1370" t="s">
        <v>48</v>
      </c>
      <c r="D1370" t="s">
        <v>56</v>
      </c>
      <c r="E1370" t="s">
        <v>57</v>
      </c>
      <c r="F1370" t="s">
        <v>11</v>
      </c>
      <c r="G1370">
        <v>0</v>
      </c>
    </row>
    <row r="1371" spans="1:7" x14ac:dyDescent="0.2">
      <c r="A1371" t="s">
        <v>857</v>
      </c>
      <c r="B1371" t="s">
        <v>47</v>
      </c>
      <c r="C1371" t="s">
        <v>48</v>
      </c>
      <c r="D1371" t="s">
        <v>45</v>
      </c>
      <c r="G1371">
        <v>1</v>
      </c>
    </row>
    <row r="1372" spans="1:7" x14ac:dyDescent="0.2">
      <c r="A1372" t="s">
        <v>857</v>
      </c>
      <c r="B1372" t="s">
        <v>47</v>
      </c>
      <c r="C1372" t="s">
        <v>48</v>
      </c>
      <c r="D1372" t="s">
        <v>46</v>
      </c>
      <c r="G1372">
        <v>149</v>
      </c>
    </row>
    <row r="1373" spans="1:7" x14ac:dyDescent="0.2">
      <c r="A1373" t="s">
        <v>857</v>
      </c>
      <c r="B1373" t="s">
        <v>66</v>
      </c>
      <c r="C1373" t="s">
        <v>67</v>
      </c>
      <c r="D1373" t="s">
        <v>8</v>
      </c>
      <c r="G1373">
        <v>4560</v>
      </c>
    </row>
    <row r="1374" spans="1:7" x14ac:dyDescent="0.2">
      <c r="A1374" t="s">
        <v>857</v>
      </c>
      <c r="B1374" t="s">
        <v>66</v>
      </c>
      <c r="C1374" t="s">
        <v>67</v>
      </c>
      <c r="D1374" t="s">
        <v>68</v>
      </c>
      <c r="E1374" t="s">
        <v>69</v>
      </c>
      <c r="F1374" t="s">
        <v>28</v>
      </c>
      <c r="G1374">
        <v>943</v>
      </c>
    </row>
    <row r="1375" spans="1:7" x14ac:dyDescent="0.2">
      <c r="A1375" t="s">
        <v>857</v>
      </c>
      <c r="B1375" t="s">
        <v>66</v>
      </c>
      <c r="C1375" t="s">
        <v>67</v>
      </c>
      <c r="D1375" t="s">
        <v>70</v>
      </c>
      <c r="E1375" t="s">
        <v>71</v>
      </c>
      <c r="F1375" t="s">
        <v>16</v>
      </c>
      <c r="G1375">
        <v>208</v>
      </c>
    </row>
    <row r="1376" spans="1:7" x14ac:dyDescent="0.2">
      <c r="A1376" t="s">
        <v>857</v>
      </c>
      <c r="B1376" t="s">
        <v>66</v>
      </c>
      <c r="C1376" t="s">
        <v>67</v>
      </c>
      <c r="D1376" t="s">
        <v>72</v>
      </c>
      <c r="E1376" t="s">
        <v>73</v>
      </c>
      <c r="F1376" t="s">
        <v>22</v>
      </c>
      <c r="G1376">
        <v>3050</v>
      </c>
    </row>
    <row r="1377" spans="1:7" x14ac:dyDescent="0.2">
      <c r="A1377" t="s">
        <v>857</v>
      </c>
      <c r="B1377" t="s">
        <v>66</v>
      </c>
      <c r="C1377" t="s">
        <v>67</v>
      </c>
      <c r="D1377" t="s">
        <v>74</v>
      </c>
      <c r="E1377" t="s">
        <v>75</v>
      </c>
      <c r="F1377" t="s">
        <v>11</v>
      </c>
      <c r="G1377">
        <v>98</v>
      </c>
    </row>
    <row r="1378" spans="1:7" x14ac:dyDescent="0.2">
      <c r="A1378" t="s">
        <v>857</v>
      </c>
      <c r="B1378" t="s">
        <v>66</v>
      </c>
      <c r="C1378" t="s">
        <v>67</v>
      </c>
      <c r="D1378" t="s">
        <v>45</v>
      </c>
      <c r="G1378">
        <v>1</v>
      </c>
    </row>
    <row r="1379" spans="1:7" x14ac:dyDescent="0.2">
      <c r="A1379" t="s">
        <v>857</v>
      </c>
      <c r="B1379" t="s">
        <v>66</v>
      </c>
      <c r="C1379" t="s">
        <v>67</v>
      </c>
      <c r="D1379" t="s">
        <v>46</v>
      </c>
      <c r="G1379">
        <v>260</v>
      </c>
    </row>
    <row r="1380" spans="1:7" x14ac:dyDescent="0.2">
      <c r="A1380" t="s">
        <v>857</v>
      </c>
      <c r="B1380" t="s">
        <v>93</v>
      </c>
      <c r="C1380" t="s">
        <v>94</v>
      </c>
      <c r="D1380" t="s">
        <v>8</v>
      </c>
      <c r="G1380">
        <v>4560</v>
      </c>
    </row>
    <row r="1381" spans="1:7" x14ac:dyDescent="0.2">
      <c r="A1381" t="s">
        <v>857</v>
      </c>
      <c r="B1381" t="s">
        <v>93</v>
      </c>
      <c r="C1381" t="s">
        <v>94</v>
      </c>
      <c r="D1381" t="s">
        <v>95</v>
      </c>
      <c r="E1381" t="s">
        <v>96</v>
      </c>
      <c r="F1381" t="s">
        <v>22</v>
      </c>
      <c r="G1381">
        <v>2628</v>
      </c>
    </row>
    <row r="1382" spans="1:7" x14ac:dyDescent="0.2">
      <c r="A1382" t="s">
        <v>857</v>
      </c>
      <c r="B1382" t="s">
        <v>93</v>
      </c>
      <c r="C1382" t="s">
        <v>94</v>
      </c>
      <c r="D1382" t="s">
        <v>97</v>
      </c>
      <c r="E1382" t="s">
        <v>98</v>
      </c>
      <c r="F1382" t="s">
        <v>51</v>
      </c>
      <c r="G1382">
        <v>64</v>
      </c>
    </row>
    <row r="1383" spans="1:7" x14ac:dyDescent="0.2">
      <c r="A1383" t="s">
        <v>857</v>
      </c>
      <c r="B1383" t="s">
        <v>93</v>
      </c>
      <c r="C1383" t="s">
        <v>94</v>
      </c>
      <c r="D1383" t="s">
        <v>99</v>
      </c>
      <c r="E1383" t="s">
        <v>100</v>
      </c>
      <c r="F1383" t="s">
        <v>28</v>
      </c>
      <c r="G1383">
        <v>859</v>
      </c>
    </row>
    <row r="1384" spans="1:7" x14ac:dyDescent="0.2">
      <c r="A1384" t="s">
        <v>857</v>
      </c>
      <c r="B1384" t="s">
        <v>93</v>
      </c>
      <c r="C1384" t="s">
        <v>94</v>
      </c>
      <c r="D1384" t="s">
        <v>101</v>
      </c>
      <c r="E1384" t="s">
        <v>102</v>
      </c>
      <c r="F1384" t="s">
        <v>25</v>
      </c>
      <c r="G1384">
        <v>107</v>
      </c>
    </row>
    <row r="1385" spans="1:7" x14ac:dyDescent="0.2">
      <c r="A1385" t="s">
        <v>857</v>
      </c>
      <c r="B1385" t="s">
        <v>93</v>
      </c>
      <c r="C1385" t="s">
        <v>94</v>
      </c>
      <c r="D1385" t="s">
        <v>103</v>
      </c>
      <c r="E1385" t="s">
        <v>104</v>
      </c>
      <c r="F1385" t="s">
        <v>11</v>
      </c>
      <c r="G1385">
        <v>10</v>
      </c>
    </row>
    <row r="1386" spans="1:7" x14ac:dyDescent="0.2">
      <c r="A1386" t="s">
        <v>857</v>
      </c>
      <c r="B1386" t="s">
        <v>93</v>
      </c>
      <c r="C1386" t="s">
        <v>94</v>
      </c>
      <c r="D1386" t="s">
        <v>105</v>
      </c>
      <c r="E1386" t="s">
        <v>106</v>
      </c>
      <c r="F1386" t="s">
        <v>11</v>
      </c>
      <c r="G1386">
        <v>717</v>
      </c>
    </row>
    <row r="1387" spans="1:7" x14ac:dyDescent="0.2">
      <c r="A1387" t="s">
        <v>857</v>
      </c>
      <c r="B1387" t="s">
        <v>93</v>
      </c>
      <c r="C1387" t="s">
        <v>94</v>
      </c>
      <c r="D1387" t="s">
        <v>107</v>
      </c>
      <c r="E1387" t="s">
        <v>108</v>
      </c>
      <c r="F1387" t="s">
        <v>11</v>
      </c>
      <c r="G1387">
        <v>0</v>
      </c>
    </row>
    <row r="1388" spans="1:7" x14ac:dyDescent="0.2">
      <c r="A1388" t="s">
        <v>857</v>
      </c>
      <c r="B1388" t="s">
        <v>93</v>
      </c>
      <c r="C1388" t="s">
        <v>94</v>
      </c>
      <c r="D1388" t="s">
        <v>45</v>
      </c>
      <c r="G1388">
        <v>2</v>
      </c>
    </row>
    <row r="1389" spans="1:7" x14ac:dyDescent="0.2">
      <c r="A1389" t="s">
        <v>857</v>
      </c>
      <c r="B1389" t="s">
        <v>93</v>
      </c>
      <c r="C1389" t="s">
        <v>94</v>
      </c>
      <c r="D1389" t="s">
        <v>46</v>
      </c>
      <c r="G1389">
        <v>150</v>
      </c>
    </row>
    <row r="1390" spans="1:7" x14ac:dyDescent="0.2">
      <c r="A1390" t="s">
        <v>857</v>
      </c>
      <c r="B1390" t="s">
        <v>109</v>
      </c>
      <c r="C1390" t="s">
        <v>110</v>
      </c>
      <c r="D1390" t="s">
        <v>8</v>
      </c>
      <c r="G1390">
        <v>4560</v>
      </c>
    </row>
    <row r="1391" spans="1:7" x14ac:dyDescent="0.2">
      <c r="A1391" t="s">
        <v>857</v>
      </c>
      <c r="B1391" t="s">
        <v>109</v>
      </c>
      <c r="C1391" t="s">
        <v>110</v>
      </c>
      <c r="D1391" t="s">
        <v>111</v>
      </c>
      <c r="E1391" t="s">
        <v>112</v>
      </c>
      <c r="F1391" t="s">
        <v>22</v>
      </c>
      <c r="G1391">
        <v>3117</v>
      </c>
    </row>
    <row r="1392" spans="1:7" x14ac:dyDescent="0.2">
      <c r="A1392" t="s">
        <v>857</v>
      </c>
      <c r="B1392" t="s">
        <v>109</v>
      </c>
      <c r="C1392" t="s">
        <v>110</v>
      </c>
      <c r="D1392" t="s">
        <v>113</v>
      </c>
      <c r="E1392" t="s">
        <v>114</v>
      </c>
      <c r="F1392" t="s">
        <v>28</v>
      </c>
      <c r="G1392">
        <v>900</v>
      </c>
    </row>
    <row r="1393" spans="1:7" x14ac:dyDescent="0.2">
      <c r="A1393" t="s">
        <v>857</v>
      </c>
      <c r="B1393" t="s">
        <v>109</v>
      </c>
      <c r="C1393" t="s">
        <v>110</v>
      </c>
      <c r="D1393" t="s">
        <v>115</v>
      </c>
      <c r="E1393" t="s">
        <v>116</v>
      </c>
      <c r="F1393" t="s">
        <v>25</v>
      </c>
      <c r="G1393">
        <v>98</v>
      </c>
    </row>
    <row r="1394" spans="1:7" x14ac:dyDescent="0.2">
      <c r="A1394" t="s">
        <v>857</v>
      </c>
      <c r="B1394" t="s">
        <v>109</v>
      </c>
      <c r="C1394" t="s">
        <v>110</v>
      </c>
      <c r="D1394" t="s">
        <v>117</v>
      </c>
      <c r="E1394" t="s">
        <v>118</v>
      </c>
      <c r="F1394" t="s">
        <v>11</v>
      </c>
      <c r="G1394">
        <v>104</v>
      </c>
    </row>
    <row r="1395" spans="1:7" x14ac:dyDescent="0.2">
      <c r="A1395" t="s">
        <v>857</v>
      </c>
      <c r="B1395" t="s">
        <v>109</v>
      </c>
      <c r="C1395" t="s">
        <v>110</v>
      </c>
      <c r="D1395" t="s">
        <v>119</v>
      </c>
      <c r="E1395" t="s">
        <v>120</v>
      </c>
      <c r="F1395" t="s">
        <v>88</v>
      </c>
      <c r="G1395">
        <v>134</v>
      </c>
    </row>
    <row r="1396" spans="1:7" x14ac:dyDescent="0.2">
      <c r="A1396" t="s">
        <v>857</v>
      </c>
      <c r="B1396" t="s">
        <v>109</v>
      </c>
      <c r="C1396" t="s">
        <v>110</v>
      </c>
      <c r="D1396" t="s">
        <v>45</v>
      </c>
      <c r="G1396">
        <v>0</v>
      </c>
    </row>
    <row r="1397" spans="1:7" x14ac:dyDescent="0.2">
      <c r="A1397" t="s">
        <v>857</v>
      </c>
      <c r="B1397" t="s">
        <v>109</v>
      </c>
      <c r="C1397" t="s">
        <v>110</v>
      </c>
      <c r="D1397" t="s">
        <v>46</v>
      </c>
      <c r="G1397">
        <v>207</v>
      </c>
    </row>
    <row r="1398" spans="1:7" x14ac:dyDescent="0.2">
      <c r="A1398" t="s">
        <v>857</v>
      </c>
      <c r="B1398" t="s">
        <v>121</v>
      </c>
      <c r="C1398" t="s">
        <v>122</v>
      </c>
      <c r="D1398" t="s">
        <v>8</v>
      </c>
      <c r="G1398">
        <v>4560</v>
      </c>
    </row>
    <row r="1399" spans="1:7" x14ac:dyDescent="0.2">
      <c r="A1399" t="s">
        <v>857</v>
      </c>
      <c r="B1399" t="s">
        <v>121</v>
      </c>
      <c r="C1399" t="s">
        <v>122</v>
      </c>
      <c r="D1399" t="s">
        <v>123</v>
      </c>
      <c r="E1399" t="s">
        <v>124</v>
      </c>
      <c r="F1399" t="s">
        <v>22</v>
      </c>
      <c r="G1399">
        <v>3135</v>
      </c>
    </row>
    <row r="1400" spans="1:7" x14ac:dyDescent="0.2">
      <c r="A1400" t="s">
        <v>857</v>
      </c>
      <c r="B1400" t="s">
        <v>121</v>
      </c>
      <c r="C1400" t="s">
        <v>122</v>
      </c>
      <c r="D1400" t="s">
        <v>125</v>
      </c>
      <c r="E1400" t="s">
        <v>126</v>
      </c>
      <c r="F1400" t="s">
        <v>16</v>
      </c>
      <c r="G1400">
        <v>132</v>
      </c>
    </row>
    <row r="1401" spans="1:7" x14ac:dyDescent="0.2">
      <c r="A1401" t="s">
        <v>857</v>
      </c>
      <c r="B1401" t="s">
        <v>121</v>
      </c>
      <c r="C1401" t="s">
        <v>122</v>
      </c>
      <c r="D1401" t="s">
        <v>127</v>
      </c>
      <c r="E1401" t="s">
        <v>128</v>
      </c>
      <c r="F1401" t="s">
        <v>28</v>
      </c>
      <c r="G1401">
        <v>963</v>
      </c>
    </row>
    <row r="1402" spans="1:7" x14ac:dyDescent="0.2">
      <c r="A1402" t="s">
        <v>857</v>
      </c>
      <c r="B1402" t="s">
        <v>121</v>
      </c>
      <c r="C1402" t="s">
        <v>122</v>
      </c>
      <c r="D1402" t="s">
        <v>45</v>
      </c>
      <c r="G1402">
        <v>1</v>
      </c>
    </row>
    <row r="1403" spans="1:7" x14ac:dyDescent="0.2">
      <c r="A1403" t="s">
        <v>857</v>
      </c>
      <c r="B1403" t="s">
        <v>121</v>
      </c>
      <c r="C1403" t="s">
        <v>122</v>
      </c>
      <c r="D1403" t="s">
        <v>46</v>
      </c>
      <c r="G1403">
        <v>329</v>
      </c>
    </row>
    <row r="1404" spans="1:7" x14ac:dyDescent="0.2">
      <c r="A1404" t="s">
        <v>857</v>
      </c>
      <c r="B1404" t="s">
        <v>129</v>
      </c>
      <c r="C1404" t="s">
        <v>130</v>
      </c>
      <c r="D1404" t="s">
        <v>8</v>
      </c>
      <c r="G1404">
        <v>4560</v>
      </c>
    </row>
    <row r="1405" spans="1:7" x14ac:dyDescent="0.2">
      <c r="A1405" t="s">
        <v>857</v>
      </c>
      <c r="B1405" t="s">
        <v>129</v>
      </c>
      <c r="C1405" t="s">
        <v>130</v>
      </c>
      <c r="D1405" t="s">
        <v>131</v>
      </c>
      <c r="E1405" t="s">
        <v>132</v>
      </c>
      <c r="F1405" t="s">
        <v>133</v>
      </c>
      <c r="G1405">
        <v>125</v>
      </c>
    </row>
    <row r="1406" spans="1:7" x14ac:dyDescent="0.2">
      <c r="A1406" t="s">
        <v>857</v>
      </c>
      <c r="B1406" t="s">
        <v>129</v>
      </c>
      <c r="C1406" t="s">
        <v>130</v>
      </c>
      <c r="D1406" t="s">
        <v>134</v>
      </c>
      <c r="E1406" t="s">
        <v>135</v>
      </c>
      <c r="F1406" t="s">
        <v>22</v>
      </c>
      <c r="G1406">
        <v>3186</v>
      </c>
    </row>
    <row r="1407" spans="1:7" x14ac:dyDescent="0.2">
      <c r="A1407" t="s">
        <v>857</v>
      </c>
      <c r="B1407" t="s">
        <v>129</v>
      </c>
      <c r="C1407" t="s">
        <v>130</v>
      </c>
      <c r="D1407" t="s">
        <v>136</v>
      </c>
      <c r="E1407" t="s">
        <v>137</v>
      </c>
      <c r="F1407" t="s">
        <v>28</v>
      </c>
      <c r="G1407">
        <v>908</v>
      </c>
    </row>
    <row r="1408" spans="1:7" x14ac:dyDescent="0.2">
      <c r="A1408" t="s">
        <v>857</v>
      </c>
      <c r="B1408" t="s">
        <v>129</v>
      </c>
      <c r="C1408" t="s">
        <v>130</v>
      </c>
      <c r="D1408" t="s">
        <v>45</v>
      </c>
      <c r="G1408">
        <v>0</v>
      </c>
    </row>
    <row r="1409" spans="1:7" x14ac:dyDescent="0.2">
      <c r="A1409" t="s">
        <v>857</v>
      </c>
      <c r="B1409" t="s">
        <v>129</v>
      </c>
      <c r="C1409" t="s">
        <v>130</v>
      </c>
      <c r="D1409" t="s">
        <v>46</v>
      </c>
      <c r="G1409">
        <v>341</v>
      </c>
    </row>
    <row r="1410" spans="1:7" x14ac:dyDescent="0.2">
      <c r="A1410" t="s">
        <v>857</v>
      </c>
      <c r="B1410" t="s">
        <v>210</v>
      </c>
      <c r="C1410" t="s">
        <v>211</v>
      </c>
      <c r="D1410" t="s">
        <v>8</v>
      </c>
      <c r="G1410">
        <v>3492</v>
      </c>
    </row>
    <row r="1411" spans="1:7" x14ac:dyDescent="0.2">
      <c r="A1411" t="s">
        <v>857</v>
      </c>
      <c r="B1411" t="s">
        <v>210</v>
      </c>
      <c r="C1411" t="s">
        <v>211</v>
      </c>
      <c r="D1411" t="s">
        <v>212</v>
      </c>
      <c r="E1411" t="s">
        <v>213</v>
      </c>
      <c r="F1411" t="s">
        <v>11</v>
      </c>
      <c r="G1411">
        <v>90</v>
      </c>
    </row>
    <row r="1412" spans="1:7" x14ac:dyDescent="0.2">
      <c r="A1412" t="s">
        <v>857</v>
      </c>
      <c r="B1412" t="s">
        <v>210</v>
      </c>
      <c r="C1412" t="s">
        <v>211</v>
      </c>
      <c r="D1412" t="s">
        <v>214</v>
      </c>
      <c r="E1412" t="s">
        <v>215</v>
      </c>
      <c r="F1412" t="s">
        <v>28</v>
      </c>
      <c r="G1412">
        <v>879</v>
      </c>
    </row>
    <row r="1413" spans="1:7" x14ac:dyDescent="0.2">
      <c r="A1413" t="s">
        <v>857</v>
      </c>
      <c r="B1413" t="s">
        <v>210</v>
      </c>
      <c r="C1413" t="s">
        <v>211</v>
      </c>
      <c r="D1413" t="s">
        <v>216</v>
      </c>
      <c r="E1413" t="s">
        <v>217</v>
      </c>
      <c r="F1413" t="s">
        <v>22</v>
      </c>
      <c r="G1413">
        <v>2232</v>
      </c>
    </row>
    <row r="1414" spans="1:7" x14ac:dyDescent="0.2">
      <c r="A1414" t="s">
        <v>857</v>
      </c>
      <c r="B1414" t="s">
        <v>210</v>
      </c>
      <c r="C1414" t="s">
        <v>211</v>
      </c>
      <c r="D1414" t="s">
        <v>45</v>
      </c>
      <c r="G1414">
        <v>0</v>
      </c>
    </row>
    <row r="1415" spans="1:7" x14ac:dyDescent="0.2">
      <c r="A1415" t="s">
        <v>857</v>
      </c>
      <c r="B1415" t="s">
        <v>210</v>
      </c>
      <c r="C1415" t="s">
        <v>211</v>
      </c>
      <c r="D1415" t="s">
        <v>46</v>
      </c>
      <c r="G1415">
        <v>291</v>
      </c>
    </row>
    <row r="1416" spans="1:7" x14ac:dyDescent="0.2">
      <c r="A1416" t="s">
        <v>857</v>
      </c>
      <c r="B1416" t="s">
        <v>218</v>
      </c>
      <c r="C1416" t="s">
        <v>219</v>
      </c>
      <c r="D1416" t="s">
        <v>8</v>
      </c>
      <c r="G1416">
        <v>1068</v>
      </c>
    </row>
    <row r="1417" spans="1:7" x14ac:dyDescent="0.2">
      <c r="A1417" t="s">
        <v>857</v>
      </c>
      <c r="B1417" t="s">
        <v>218</v>
      </c>
      <c r="C1417" t="s">
        <v>219</v>
      </c>
      <c r="D1417" t="s">
        <v>220</v>
      </c>
      <c r="E1417" t="s">
        <v>221</v>
      </c>
      <c r="F1417" t="s">
        <v>22</v>
      </c>
      <c r="G1417">
        <v>883</v>
      </c>
    </row>
    <row r="1418" spans="1:7" x14ac:dyDescent="0.2">
      <c r="A1418" t="s">
        <v>857</v>
      </c>
      <c r="B1418" t="s">
        <v>218</v>
      </c>
      <c r="C1418" t="s">
        <v>219</v>
      </c>
      <c r="D1418" t="s">
        <v>45</v>
      </c>
      <c r="G1418">
        <v>0</v>
      </c>
    </row>
    <row r="1419" spans="1:7" x14ac:dyDescent="0.2">
      <c r="A1419" t="s">
        <v>857</v>
      </c>
      <c r="B1419" t="s">
        <v>218</v>
      </c>
      <c r="C1419" t="s">
        <v>219</v>
      </c>
      <c r="D1419" t="s">
        <v>46</v>
      </c>
      <c r="G1419">
        <v>185</v>
      </c>
    </row>
    <row r="1420" spans="1:7" x14ac:dyDescent="0.2">
      <c r="A1420" t="s">
        <v>857</v>
      </c>
      <c r="B1420" t="s">
        <v>612</v>
      </c>
      <c r="C1420" t="s">
        <v>613</v>
      </c>
      <c r="D1420" t="s">
        <v>8</v>
      </c>
      <c r="G1420">
        <v>4560</v>
      </c>
    </row>
    <row r="1421" spans="1:7" x14ac:dyDescent="0.2">
      <c r="A1421" t="s">
        <v>857</v>
      </c>
      <c r="B1421" t="s">
        <v>612</v>
      </c>
      <c r="C1421" t="s">
        <v>613</v>
      </c>
      <c r="D1421" t="s">
        <v>614</v>
      </c>
      <c r="E1421" t="s">
        <v>615</v>
      </c>
      <c r="F1421" t="s">
        <v>22</v>
      </c>
      <c r="G1421">
        <v>3129</v>
      </c>
    </row>
    <row r="1422" spans="1:7" x14ac:dyDescent="0.2">
      <c r="A1422" t="s">
        <v>857</v>
      </c>
      <c r="B1422" t="s">
        <v>612</v>
      </c>
      <c r="C1422" t="s">
        <v>613</v>
      </c>
      <c r="D1422" t="s">
        <v>616</v>
      </c>
      <c r="E1422" t="s">
        <v>617</v>
      </c>
      <c r="F1422" t="s">
        <v>28</v>
      </c>
      <c r="G1422">
        <v>1153</v>
      </c>
    </row>
    <row r="1423" spans="1:7" x14ac:dyDescent="0.2">
      <c r="A1423" t="s">
        <v>857</v>
      </c>
      <c r="B1423" t="s">
        <v>612</v>
      </c>
      <c r="C1423" t="s">
        <v>613</v>
      </c>
      <c r="D1423" t="s">
        <v>45</v>
      </c>
      <c r="G1423">
        <v>1</v>
      </c>
    </row>
    <row r="1424" spans="1:7" x14ac:dyDescent="0.2">
      <c r="A1424" t="s">
        <v>857</v>
      </c>
      <c r="B1424" t="s">
        <v>612</v>
      </c>
      <c r="C1424" t="s">
        <v>613</v>
      </c>
      <c r="D1424" t="s">
        <v>46</v>
      </c>
      <c r="G1424">
        <v>277</v>
      </c>
    </row>
    <row r="1425" spans="1:7" x14ac:dyDescent="0.2">
      <c r="A1425" t="s">
        <v>857</v>
      </c>
      <c r="B1425" t="s">
        <v>688</v>
      </c>
      <c r="C1425" t="s">
        <v>689</v>
      </c>
      <c r="D1425" t="s">
        <v>8</v>
      </c>
      <c r="G1425">
        <v>4560</v>
      </c>
    </row>
    <row r="1426" spans="1:7" x14ac:dyDescent="0.2">
      <c r="A1426" t="s">
        <v>857</v>
      </c>
      <c r="B1426" t="s">
        <v>688</v>
      </c>
      <c r="C1426" t="s">
        <v>689</v>
      </c>
      <c r="D1426" t="s">
        <v>690</v>
      </c>
      <c r="E1426" t="s">
        <v>691</v>
      </c>
      <c r="F1426" t="s">
        <v>22</v>
      </c>
      <c r="G1426">
        <v>3365</v>
      </c>
    </row>
    <row r="1427" spans="1:7" x14ac:dyDescent="0.2">
      <c r="A1427" t="s">
        <v>857</v>
      </c>
      <c r="B1427" t="s">
        <v>688</v>
      </c>
      <c r="C1427" t="s">
        <v>689</v>
      </c>
      <c r="D1427" t="s">
        <v>45</v>
      </c>
      <c r="G1427">
        <v>0</v>
      </c>
    </row>
    <row r="1428" spans="1:7" x14ac:dyDescent="0.2">
      <c r="A1428" t="s">
        <v>857</v>
      </c>
      <c r="B1428" t="s">
        <v>688</v>
      </c>
      <c r="C1428" t="s">
        <v>689</v>
      </c>
      <c r="D1428" t="s">
        <v>46</v>
      </c>
      <c r="G1428">
        <v>1195</v>
      </c>
    </row>
    <row r="1429" spans="1:7" x14ac:dyDescent="0.2">
      <c r="A1429" t="s">
        <v>857</v>
      </c>
      <c r="B1429" t="s">
        <v>692</v>
      </c>
      <c r="C1429" t="s">
        <v>693</v>
      </c>
      <c r="D1429" t="s">
        <v>8</v>
      </c>
      <c r="G1429">
        <v>4560</v>
      </c>
    </row>
    <row r="1430" spans="1:7" x14ac:dyDescent="0.2">
      <c r="A1430" t="s">
        <v>857</v>
      </c>
      <c r="B1430" t="s">
        <v>692</v>
      </c>
      <c r="C1430" t="s">
        <v>693</v>
      </c>
      <c r="D1430" t="s">
        <v>694</v>
      </c>
      <c r="E1430" t="s">
        <v>695</v>
      </c>
      <c r="G1430">
        <v>2891</v>
      </c>
    </row>
    <row r="1431" spans="1:7" x14ac:dyDescent="0.2">
      <c r="A1431" t="s">
        <v>857</v>
      </c>
      <c r="B1431" t="s">
        <v>692</v>
      </c>
      <c r="C1431" t="s">
        <v>693</v>
      </c>
      <c r="D1431" t="s">
        <v>696</v>
      </c>
      <c r="E1431" t="s">
        <v>697</v>
      </c>
      <c r="G1431">
        <v>586</v>
      </c>
    </row>
    <row r="1432" spans="1:7" x14ac:dyDescent="0.2">
      <c r="A1432" t="s">
        <v>857</v>
      </c>
      <c r="B1432" t="s">
        <v>692</v>
      </c>
      <c r="C1432" t="s">
        <v>693</v>
      </c>
      <c r="D1432" t="s">
        <v>45</v>
      </c>
      <c r="G1432">
        <v>2</v>
      </c>
    </row>
    <row r="1433" spans="1:7" x14ac:dyDescent="0.2">
      <c r="A1433" t="s">
        <v>857</v>
      </c>
      <c r="B1433" t="s">
        <v>692</v>
      </c>
      <c r="C1433" t="s">
        <v>693</v>
      </c>
      <c r="D1433" t="s">
        <v>46</v>
      </c>
      <c r="G1433">
        <v>1081</v>
      </c>
    </row>
    <row r="1434" spans="1:7" x14ac:dyDescent="0.2">
      <c r="A1434" t="s">
        <v>857</v>
      </c>
      <c r="B1434" t="s">
        <v>698</v>
      </c>
      <c r="C1434" t="s">
        <v>699</v>
      </c>
      <c r="D1434" t="s">
        <v>8</v>
      </c>
      <c r="G1434">
        <v>4560</v>
      </c>
    </row>
    <row r="1435" spans="1:7" x14ac:dyDescent="0.2">
      <c r="A1435" t="s">
        <v>857</v>
      </c>
      <c r="B1435" t="s">
        <v>698</v>
      </c>
      <c r="C1435" t="s">
        <v>699</v>
      </c>
      <c r="D1435" t="s">
        <v>694</v>
      </c>
      <c r="E1435" t="s">
        <v>700</v>
      </c>
      <c r="G1435">
        <v>2860</v>
      </c>
    </row>
    <row r="1436" spans="1:7" x14ac:dyDescent="0.2">
      <c r="A1436" t="s">
        <v>857</v>
      </c>
      <c r="B1436" t="s">
        <v>698</v>
      </c>
      <c r="C1436" t="s">
        <v>699</v>
      </c>
      <c r="D1436" t="s">
        <v>696</v>
      </c>
      <c r="E1436" t="s">
        <v>701</v>
      </c>
      <c r="G1436">
        <v>575</v>
      </c>
    </row>
    <row r="1437" spans="1:7" x14ac:dyDescent="0.2">
      <c r="A1437" t="s">
        <v>857</v>
      </c>
      <c r="B1437" t="s">
        <v>698</v>
      </c>
      <c r="C1437" t="s">
        <v>699</v>
      </c>
      <c r="D1437" t="s">
        <v>45</v>
      </c>
      <c r="G1437">
        <v>0</v>
      </c>
    </row>
    <row r="1438" spans="1:7" x14ac:dyDescent="0.2">
      <c r="A1438" t="s">
        <v>857</v>
      </c>
      <c r="B1438" t="s">
        <v>698</v>
      </c>
      <c r="C1438" t="s">
        <v>699</v>
      </c>
      <c r="D1438" t="s">
        <v>46</v>
      </c>
      <c r="G1438">
        <v>1125</v>
      </c>
    </row>
    <row r="1439" spans="1:7" x14ac:dyDescent="0.2">
      <c r="A1439" t="s">
        <v>857</v>
      </c>
      <c r="B1439" t="s">
        <v>834</v>
      </c>
      <c r="C1439" t="s">
        <v>835</v>
      </c>
      <c r="D1439" t="s">
        <v>8</v>
      </c>
      <c r="G1439">
        <v>4560</v>
      </c>
    </row>
    <row r="1440" spans="1:7" x14ac:dyDescent="0.2">
      <c r="A1440" t="s">
        <v>857</v>
      </c>
      <c r="B1440" t="s">
        <v>834</v>
      </c>
      <c r="C1440" t="s">
        <v>835</v>
      </c>
      <c r="D1440" t="s">
        <v>836</v>
      </c>
      <c r="E1440" t="s">
        <v>837</v>
      </c>
      <c r="G1440">
        <v>2754</v>
      </c>
    </row>
    <row r="1441" spans="1:7" x14ac:dyDescent="0.2">
      <c r="A1441" t="s">
        <v>857</v>
      </c>
      <c r="B1441" t="s">
        <v>834</v>
      </c>
      <c r="C1441" t="s">
        <v>835</v>
      </c>
      <c r="D1441" t="s">
        <v>838</v>
      </c>
      <c r="E1441" t="s">
        <v>839</v>
      </c>
      <c r="G1441">
        <v>1339</v>
      </c>
    </row>
    <row r="1442" spans="1:7" x14ac:dyDescent="0.2">
      <c r="A1442" t="s">
        <v>857</v>
      </c>
      <c r="B1442" t="s">
        <v>834</v>
      </c>
      <c r="C1442" t="s">
        <v>835</v>
      </c>
      <c r="D1442" t="s">
        <v>45</v>
      </c>
      <c r="G1442">
        <v>0</v>
      </c>
    </row>
    <row r="1443" spans="1:7" x14ac:dyDescent="0.2">
      <c r="A1443" t="s">
        <v>857</v>
      </c>
      <c r="B1443" t="s">
        <v>834</v>
      </c>
      <c r="C1443" t="s">
        <v>835</v>
      </c>
      <c r="D1443" t="s">
        <v>46</v>
      </c>
      <c r="G1443">
        <v>467</v>
      </c>
    </row>
    <row r="1444" spans="1:7" x14ac:dyDescent="0.2">
      <c r="A1444" t="s">
        <v>857</v>
      </c>
      <c r="B1444" t="s">
        <v>840</v>
      </c>
      <c r="C1444" t="s">
        <v>841</v>
      </c>
      <c r="D1444" t="s">
        <v>8</v>
      </c>
      <c r="G1444">
        <v>4560</v>
      </c>
    </row>
    <row r="1445" spans="1:7" x14ac:dyDescent="0.2">
      <c r="A1445" t="s">
        <v>857</v>
      </c>
      <c r="B1445" t="s">
        <v>840</v>
      </c>
      <c r="C1445" t="s">
        <v>841</v>
      </c>
      <c r="D1445" t="s">
        <v>836</v>
      </c>
      <c r="E1445" t="s">
        <v>842</v>
      </c>
      <c r="G1445">
        <v>3651</v>
      </c>
    </row>
    <row r="1446" spans="1:7" x14ac:dyDescent="0.2">
      <c r="A1446" t="s">
        <v>857</v>
      </c>
      <c r="B1446" t="s">
        <v>840</v>
      </c>
      <c r="C1446" t="s">
        <v>841</v>
      </c>
      <c r="D1446" t="s">
        <v>838</v>
      </c>
      <c r="E1446" t="s">
        <v>843</v>
      </c>
      <c r="G1446">
        <v>521</v>
      </c>
    </row>
    <row r="1447" spans="1:7" x14ac:dyDescent="0.2">
      <c r="A1447" t="s">
        <v>857</v>
      </c>
      <c r="B1447" t="s">
        <v>840</v>
      </c>
      <c r="C1447" t="s">
        <v>841</v>
      </c>
      <c r="D1447" t="s">
        <v>45</v>
      </c>
      <c r="G1447">
        <v>1</v>
      </c>
    </row>
    <row r="1448" spans="1:7" x14ac:dyDescent="0.2">
      <c r="A1448" t="s">
        <v>857</v>
      </c>
      <c r="B1448" t="s">
        <v>840</v>
      </c>
      <c r="C1448" t="s">
        <v>841</v>
      </c>
      <c r="D1448" t="s">
        <v>46</v>
      </c>
      <c r="G1448">
        <v>387</v>
      </c>
    </row>
    <row r="1449" spans="1:7" x14ac:dyDescent="0.2">
      <c r="A1449" t="s">
        <v>858</v>
      </c>
      <c r="B1449" t="s">
        <v>6</v>
      </c>
      <c r="C1449" t="s">
        <v>7</v>
      </c>
      <c r="D1449" t="s">
        <v>8</v>
      </c>
      <c r="G1449">
        <v>6500</v>
      </c>
    </row>
    <row r="1450" spans="1:7" x14ac:dyDescent="0.2">
      <c r="A1450" t="s">
        <v>858</v>
      </c>
      <c r="B1450" t="s">
        <v>6</v>
      </c>
      <c r="C1450" t="s">
        <v>7</v>
      </c>
      <c r="D1450" t="s">
        <v>9</v>
      </c>
      <c r="E1450" t="s">
        <v>10</v>
      </c>
      <c r="F1450" t="s">
        <v>11</v>
      </c>
      <c r="G1450">
        <v>2</v>
      </c>
    </row>
    <row r="1451" spans="1:7" x14ac:dyDescent="0.2">
      <c r="A1451" t="s">
        <v>858</v>
      </c>
      <c r="B1451" t="s">
        <v>6</v>
      </c>
      <c r="C1451" t="s">
        <v>7</v>
      </c>
      <c r="D1451" t="s">
        <v>12</v>
      </c>
      <c r="E1451" t="s">
        <v>13</v>
      </c>
      <c r="F1451" t="s">
        <v>11</v>
      </c>
      <c r="G1451">
        <v>9</v>
      </c>
    </row>
    <row r="1452" spans="1:7" x14ac:dyDescent="0.2">
      <c r="A1452" t="s">
        <v>858</v>
      </c>
      <c r="B1452" t="s">
        <v>6</v>
      </c>
      <c r="C1452" t="s">
        <v>7</v>
      </c>
      <c r="D1452" t="s">
        <v>14</v>
      </c>
      <c r="E1452" t="s">
        <v>15</v>
      </c>
      <c r="F1452" t="s">
        <v>16</v>
      </c>
      <c r="G1452">
        <v>42</v>
      </c>
    </row>
    <row r="1453" spans="1:7" x14ac:dyDescent="0.2">
      <c r="A1453" t="s">
        <v>858</v>
      </c>
      <c r="B1453" t="s">
        <v>6</v>
      </c>
      <c r="C1453" t="s">
        <v>7</v>
      </c>
      <c r="D1453" t="s">
        <v>17</v>
      </c>
      <c r="E1453" t="s">
        <v>18</v>
      </c>
      <c r="F1453" t="s">
        <v>19</v>
      </c>
      <c r="G1453">
        <v>8</v>
      </c>
    </row>
    <row r="1454" spans="1:7" x14ac:dyDescent="0.2">
      <c r="A1454" t="s">
        <v>858</v>
      </c>
      <c r="B1454" t="s">
        <v>6</v>
      </c>
      <c r="C1454" t="s">
        <v>7</v>
      </c>
      <c r="D1454" t="s">
        <v>20</v>
      </c>
      <c r="E1454" t="s">
        <v>21</v>
      </c>
      <c r="F1454" t="s">
        <v>22</v>
      </c>
      <c r="G1454">
        <v>5558</v>
      </c>
    </row>
    <row r="1455" spans="1:7" x14ac:dyDescent="0.2">
      <c r="A1455" t="s">
        <v>858</v>
      </c>
      <c r="B1455" t="s">
        <v>6</v>
      </c>
      <c r="C1455" t="s">
        <v>7</v>
      </c>
      <c r="D1455" t="s">
        <v>23</v>
      </c>
      <c r="E1455" t="s">
        <v>24</v>
      </c>
      <c r="F1455" t="s">
        <v>25</v>
      </c>
      <c r="G1455">
        <v>45</v>
      </c>
    </row>
    <row r="1456" spans="1:7" x14ac:dyDescent="0.2">
      <c r="A1456" t="s">
        <v>858</v>
      </c>
      <c r="B1456" t="s">
        <v>6</v>
      </c>
      <c r="C1456" t="s">
        <v>7</v>
      </c>
      <c r="D1456" t="s">
        <v>26</v>
      </c>
      <c r="E1456" t="s">
        <v>27</v>
      </c>
      <c r="F1456" t="s">
        <v>28</v>
      </c>
      <c r="G1456">
        <v>713</v>
      </c>
    </row>
    <row r="1457" spans="1:7" x14ac:dyDescent="0.2">
      <c r="A1457" t="s">
        <v>858</v>
      </c>
      <c r="B1457" t="s">
        <v>6</v>
      </c>
      <c r="C1457" t="s">
        <v>7</v>
      </c>
      <c r="D1457" t="s">
        <v>29</v>
      </c>
      <c r="E1457" t="s">
        <v>30</v>
      </c>
      <c r="F1457" t="s">
        <v>11</v>
      </c>
      <c r="G1457">
        <v>8</v>
      </c>
    </row>
    <row r="1458" spans="1:7" x14ac:dyDescent="0.2">
      <c r="A1458" t="s">
        <v>858</v>
      </c>
      <c r="B1458" t="s">
        <v>6</v>
      </c>
      <c r="C1458" t="s">
        <v>7</v>
      </c>
      <c r="D1458" t="s">
        <v>31</v>
      </c>
      <c r="E1458" t="s">
        <v>32</v>
      </c>
      <c r="F1458" t="s">
        <v>11</v>
      </c>
      <c r="G1458">
        <v>0</v>
      </c>
    </row>
    <row r="1459" spans="1:7" x14ac:dyDescent="0.2">
      <c r="A1459" t="s">
        <v>858</v>
      </c>
      <c r="B1459" t="s">
        <v>6</v>
      </c>
      <c r="C1459" t="s">
        <v>7</v>
      </c>
      <c r="D1459" t="s">
        <v>33</v>
      </c>
      <c r="E1459" t="s">
        <v>34</v>
      </c>
      <c r="F1459" t="s">
        <v>11</v>
      </c>
      <c r="G1459">
        <v>1</v>
      </c>
    </row>
    <row r="1460" spans="1:7" x14ac:dyDescent="0.2">
      <c r="A1460" t="s">
        <v>858</v>
      </c>
      <c r="B1460" t="s">
        <v>6</v>
      </c>
      <c r="C1460" t="s">
        <v>7</v>
      </c>
      <c r="D1460" t="s">
        <v>35</v>
      </c>
      <c r="E1460" t="s">
        <v>36</v>
      </c>
      <c r="F1460" t="s">
        <v>11</v>
      </c>
      <c r="G1460">
        <v>1</v>
      </c>
    </row>
    <row r="1461" spans="1:7" x14ac:dyDescent="0.2">
      <c r="A1461" t="s">
        <v>858</v>
      </c>
      <c r="B1461" t="s">
        <v>6</v>
      </c>
      <c r="C1461" t="s">
        <v>7</v>
      </c>
      <c r="D1461" t="s">
        <v>37</v>
      </c>
      <c r="E1461" t="s">
        <v>38</v>
      </c>
      <c r="F1461" t="s">
        <v>11</v>
      </c>
      <c r="G1461">
        <v>0</v>
      </c>
    </row>
    <row r="1462" spans="1:7" x14ac:dyDescent="0.2">
      <c r="A1462" t="s">
        <v>858</v>
      </c>
      <c r="B1462" t="s">
        <v>6</v>
      </c>
      <c r="C1462" t="s">
        <v>7</v>
      </c>
      <c r="D1462" t="s">
        <v>39</v>
      </c>
      <c r="E1462" t="s">
        <v>40</v>
      </c>
      <c r="F1462" t="s">
        <v>11</v>
      </c>
      <c r="G1462">
        <v>0</v>
      </c>
    </row>
    <row r="1463" spans="1:7" x14ac:dyDescent="0.2">
      <c r="A1463" t="s">
        <v>858</v>
      </c>
      <c r="B1463" t="s">
        <v>6</v>
      </c>
      <c r="C1463" t="s">
        <v>7</v>
      </c>
      <c r="D1463" t="s">
        <v>41</v>
      </c>
      <c r="E1463" t="s">
        <v>42</v>
      </c>
      <c r="F1463" t="s">
        <v>11</v>
      </c>
      <c r="G1463">
        <v>0</v>
      </c>
    </row>
    <row r="1464" spans="1:7" x14ac:dyDescent="0.2">
      <c r="A1464" t="s">
        <v>858</v>
      </c>
      <c r="B1464" t="s">
        <v>6</v>
      </c>
      <c r="C1464" t="s">
        <v>7</v>
      </c>
      <c r="D1464" t="s">
        <v>43</v>
      </c>
      <c r="E1464" t="s">
        <v>44</v>
      </c>
      <c r="F1464" t="s">
        <v>11</v>
      </c>
      <c r="G1464">
        <v>0</v>
      </c>
    </row>
    <row r="1465" spans="1:7" x14ac:dyDescent="0.2">
      <c r="A1465" t="s">
        <v>858</v>
      </c>
      <c r="B1465" t="s">
        <v>6</v>
      </c>
      <c r="C1465" t="s">
        <v>7</v>
      </c>
      <c r="D1465" t="s">
        <v>45</v>
      </c>
      <c r="G1465">
        <v>1</v>
      </c>
    </row>
    <row r="1466" spans="1:7" x14ac:dyDescent="0.2">
      <c r="A1466" t="s">
        <v>858</v>
      </c>
      <c r="B1466" t="s">
        <v>6</v>
      </c>
      <c r="C1466" t="s">
        <v>7</v>
      </c>
      <c r="D1466" t="s">
        <v>46</v>
      </c>
      <c r="G1466">
        <v>48</v>
      </c>
    </row>
    <row r="1467" spans="1:7" x14ac:dyDescent="0.2">
      <c r="A1467" t="s">
        <v>858</v>
      </c>
      <c r="B1467" t="s">
        <v>47</v>
      </c>
      <c r="C1467" t="s">
        <v>48</v>
      </c>
      <c r="D1467" t="s">
        <v>8</v>
      </c>
      <c r="G1467">
        <v>6500</v>
      </c>
    </row>
    <row r="1468" spans="1:7" x14ac:dyDescent="0.2">
      <c r="A1468" t="s">
        <v>858</v>
      </c>
      <c r="B1468" t="s">
        <v>47</v>
      </c>
      <c r="C1468" t="s">
        <v>48</v>
      </c>
      <c r="D1468" t="s">
        <v>49</v>
      </c>
      <c r="E1468" t="s">
        <v>50</v>
      </c>
      <c r="F1468" t="s">
        <v>51</v>
      </c>
      <c r="G1468">
        <v>487</v>
      </c>
    </row>
    <row r="1469" spans="1:7" x14ac:dyDescent="0.2">
      <c r="A1469" t="s">
        <v>858</v>
      </c>
      <c r="B1469" t="s">
        <v>47</v>
      </c>
      <c r="C1469" t="s">
        <v>48</v>
      </c>
      <c r="D1469" t="s">
        <v>52</v>
      </c>
      <c r="E1469" t="s">
        <v>53</v>
      </c>
      <c r="F1469" t="s">
        <v>22</v>
      </c>
      <c r="G1469">
        <v>5309</v>
      </c>
    </row>
    <row r="1470" spans="1:7" x14ac:dyDescent="0.2">
      <c r="A1470" t="s">
        <v>858</v>
      </c>
      <c r="B1470" t="s">
        <v>47</v>
      </c>
      <c r="C1470" t="s">
        <v>48</v>
      </c>
      <c r="D1470" t="s">
        <v>54</v>
      </c>
      <c r="E1470" t="s">
        <v>55</v>
      </c>
      <c r="F1470" t="s">
        <v>28</v>
      </c>
      <c r="G1470">
        <v>518</v>
      </c>
    </row>
    <row r="1471" spans="1:7" x14ac:dyDescent="0.2">
      <c r="A1471" t="s">
        <v>858</v>
      </c>
      <c r="B1471" t="s">
        <v>47</v>
      </c>
      <c r="C1471" t="s">
        <v>48</v>
      </c>
      <c r="D1471" t="s">
        <v>56</v>
      </c>
      <c r="E1471" t="s">
        <v>57</v>
      </c>
      <c r="F1471" t="s">
        <v>11</v>
      </c>
      <c r="G1471">
        <v>1</v>
      </c>
    </row>
    <row r="1472" spans="1:7" x14ac:dyDescent="0.2">
      <c r="A1472" t="s">
        <v>858</v>
      </c>
      <c r="B1472" t="s">
        <v>47</v>
      </c>
      <c r="C1472" t="s">
        <v>48</v>
      </c>
      <c r="D1472" t="s">
        <v>45</v>
      </c>
      <c r="G1472">
        <v>0</v>
      </c>
    </row>
    <row r="1473" spans="1:7" x14ac:dyDescent="0.2">
      <c r="A1473" t="s">
        <v>858</v>
      </c>
      <c r="B1473" t="s">
        <v>47</v>
      </c>
      <c r="C1473" t="s">
        <v>48</v>
      </c>
      <c r="D1473" t="s">
        <v>46</v>
      </c>
      <c r="G1473">
        <v>144</v>
      </c>
    </row>
    <row r="1474" spans="1:7" x14ac:dyDescent="0.2">
      <c r="A1474" t="s">
        <v>858</v>
      </c>
      <c r="B1474" t="s">
        <v>66</v>
      </c>
      <c r="C1474" t="s">
        <v>67</v>
      </c>
      <c r="D1474" t="s">
        <v>8</v>
      </c>
      <c r="G1474">
        <v>6500</v>
      </c>
    </row>
    <row r="1475" spans="1:7" x14ac:dyDescent="0.2">
      <c r="A1475" t="s">
        <v>858</v>
      </c>
      <c r="B1475" t="s">
        <v>66</v>
      </c>
      <c r="C1475" t="s">
        <v>67</v>
      </c>
      <c r="D1475" t="s">
        <v>68</v>
      </c>
      <c r="E1475" t="s">
        <v>69</v>
      </c>
      <c r="F1475" t="s">
        <v>28</v>
      </c>
      <c r="G1475">
        <v>539</v>
      </c>
    </row>
    <row r="1476" spans="1:7" x14ac:dyDescent="0.2">
      <c r="A1476" t="s">
        <v>858</v>
      </c>
      <c r="B1476" t="s">
        <v>66</v>
      </c>
      <c r="C1476" t="s">
        <v>67</v>
      </c>
      <c r="D1476" t="s">
        <v>70</v>
      </c>
      <c r="E1476" t="s">
        <v>71</v>
      </c>
      <c r="F1476" t="s">
        <v>16</v>
      </c>
      <c r="G1476">
        <v>464</v>
      </c>
    </row>
    <row r="1477" spans="1:7" x14ac:dyDescent="0.2">
      <c r="A1477" t="s">
        <v>858</v>
      </c>
      <c r="B1477" t="s">
        <v>66</v>
      </c>
      <c r="C1477" t="s">
        <v>67</v>
      </c>
      <c r="D1477" t="s">
        <v>72</v>
      </c>
      <c r="E1477" t="s">
        <v>73</v>
      </c>
      <c r="F1477" t="s">
        <v>22</v>
      </c>
      <c r="G1477">
        <v>5102</v>
      </c>
    </row>
    <row r="1478" spans="1:7" x14ac:dyDescent="0.2">
      <c r="A1478" t="s">
        <v>858</v>
      </c>
      <c r="B1478" t="s">
        <v>66</v>
      </c>
      <c r="C1478" t="s">
        <v>67</v>
      </c>
      <c r="D1478" t="s">
        <v>74</v>
      </c>
      <c r="E1478" t="s">
        <v>75</v>
      </c>
      <c r="F1478" t="s">
        <v>11</v>
      </c>
      <c r="G1478">
        <v>100</v>
      </c>
    </row>
    <row r="1479" spans="1:7" x14ac:dyDescent="0.2">
      <c r="A1479" t="s">
        <v>858</v>
      </c>
      <c r="B1479" t="s">
        <v>66</v>
      </c>
      <c r="C1479" t="s">
        <v>67</v>
      </c>
      <c r="D1479" t="s">
        <v>45</v>
      </c>
      <c r="G1479">
        <v>1</v>
      </c>
    </row>
    <row r="1480" spans="1:7" x14ac:dyDescent="0.2">
      <c r="A1480" t="s">
        <v>858</v>
      </c>
      <c r="B1480" t="s">
        <v>66</v>
      </c>
      <c r="C1480" t="s">
        <v>67</v>
      </c>
      <c r="D1480" t="s">
        <v>46</v>
      </c>
      <c r="G1480">
        <v>294</v>
      </c>
    </row>
    <row r="1481" spans="1:7" x14ac:dyDescent="0.2">
      <c r="A1481" t="s">
        <v>858</v>
      </c>
      <c r="B1481" t="s">
        <v>93</v>
      </c>
      <c r="C1481" t="s">
        <v>94</v>
      </c>
      <c r="D1481" t="s">
        <v>8</v>
      </c>
      <c r="G1481">
        <v>6500</v>
      </c>
    </row>
    <row r="1482" spans="1:7" x14ac:dyDescent="0.2">
      <c r="A1482" t="s">
        <v>858</v>
      </c>
      <c r="B1482" t="s">
        <v>93</v>
      </c>
      <c r="C1482" t="s">
        <v>94</v>
      </c>
      <c r="D1482" t="s">
        <v>95</v>
      </c>
      <c r="E1482" t="s">
        <v>96</v>
      </c>
      <c r="F1482" t="s">
        <v>22</v>
      </c>
      <c r="G1482">
        <v>3708</v>
      </c>
    </row>
    <row r="1483" spans="1:7" x14ac:dyDescent="0.2">
      <c r="A1483" t="s">
        <v>858</v>
      </c>
      <c r="B1483" t="s">
        <v>93</v>
      </c>
      <c r="C1483" t="s">
        <v>94</v>
      </c>
      <c r="D1483" t="s">
        <v>97</v>
      </c>
      <c r="E1483" t="s">
        <v>98</v>
      </c>
      <c r="F1483" t="s">
        <v>51</v>
      </c>
      <c r="G1483">
        <v>166</v>
      </c>
    </row>
    <row r="1484" spans="1:7" x14ac:dyDescent="0.2">
      <c r="A1484" t="s">
        <v>858</v>
      </c>
      <c r="B1484" t="s">
        <v>93</v>
      </c>
      <c r="C1484" t="s">
        <v>94</v>
      </c>
      <c r="D1484" t="s">
        <v>99</v>
      </c>
      <c r="E1484" t="s">
        <v>100</v>
      </c>
      <c r="F1484" t="s">
        <v>28</v>
      </c>
      <c r="G1484">
        <v>499</v>
      </c>
    </row>
    <row r="1485" spans="1:7" x14ac:dyDescent="0.2">
      <c r="A1485" t="s">
        <v>858</v>
      </c>
      <c r="B1485" t="s">
        <v>93</v>
      </c>
      <c r="C1485" t="s">
        <v>94</v>
      </c>
      <c r="D1485" t="s">
        <v>101</v>
      </c>
      <c r="E1485" t="s">
        <v>102</v>
      </c>
      <c r="F1485" t="s">
        <v>25</v>
      </c>
      <c r="G1485">
        <v>204</v>
      </c>
    </row>
    <row r="1486" spans="1:7" x14ac:dyDescent="0.2">
      <c r="A1486" t="s">
        <v>858</v>
      </c>
      <c r="B1486" t="s">
        <v>93</v>
      </c>
      <c r="C1486" t="s">
        <v>94</v>
      </c>
      <c r="D1486" t="s">
        <v>103</v>
      </c>
      <c r="E1486" t="s">
        <v>104</v>
      </c>
      <c r="F1486" t="s">
        <v>11</v>
      </c>
      <c r="G1486">
        <v>23</v>
      </c>
    </row>
    <row r="1487" spans="1:7" x14ac:dyDescent="0.2">
      <c r="A1487" t="s">
        <v>858</v>
      </c>
      <c r="B1487" t="s">
        <v>93</v>
      </c>
      <c r="C1487" t="s">
        <v>94</v>
      </c>
      <c r="D1487" t="s">
        <v>105</v>
      </c>
      <c r="E1487" t="s">
        <v>106</v>
      </c>
      <c r="F1487" t="s">
        <v>11</v>
      </c>
      <c r="G1487">
        <v>1706</v>
      </c>
    </row>
    <row r="1488" spans="1:7" x14ac:dyDescent="0.2">
      <c r="A1488" t="s">
        <v>858</v>
      </c>
      <c r="B1488" t="s">
        <v>93</v>
      </c>
      <c r="C1488" t="s">
        <v>94</v>
      </c>
      <c r="D1488" t="s">
        <v>107</v>
      </c>
      <c r="E1488" t="s">
        <v>108</v>
      </c>
      <c r="F1488" t="s">
        <v>11</v>
      </c>
      <c r="G1488">
        <v>0</v>
      </c>
    </row>
    <row r="1489" spans="1:7" x14ac:dyDescent="0.2">
      <c r="A1489" t="s">
        <v>858</v>
      </c>
      <c r="B1489" t="s">
        <v>93</v>
      </c>
      <c r="C1489" t="s">
        <v>94</v>
      </c>
      <c r="D1489" t="s">
        <v>45</v>
      </c>
      <c r="G1489">
        <v>2</v>
      </c>
    </row>
    <row r="1490" spans="1:7" x14ac:dyDescent="0.2">
      <c r="A1490" t="s">
        <v>858</v>
      </c>
      <c r="B1490" t="s">
        <v>93</v>
      </c>
      <c r="C1490" t="s">
        <v>94</v>
      </c>
      <c r="D1490" t="s">
        <v>46</v>
      </c>
      <c r="G1490">
        <v>172</v>
      </c>
    </row>
    <row r="1491" spans="1:7" x14ac:dyDescent="0.2">
      <c r="A1491" t="s">
        <v>858</v>
      </c>
      <c r="B1491" t="s">
        <v>109</v>
      </c>
      <c r="C1491" t="s">
        <v>110</v>
      </c>
      <c r="D1491" t="s">
        <v>8</v>
      </c>
      <c r="G1491">
        <v>6500</v>
      </c>
    </row>
    <row r="1492" spans="1:7" x14ac:dyDescent="0.2">
      <c r="A1492" t="s">
        <v>858</v>
      </c>
      <c r="B1492" t="s">
        <v>109</v>
      </c>
      <c r="C1492" t="s">
        <v>110</v>
      </c>
      <c r="D1492" t="s">
        <v>111</v>
      </c>
      <c r="E1492" t="s">
        <v>112</v>
      </c>
      <c r="F1492" t="s">
        <v>22</v>
      </c>
      <c r="G1492">
        <v>5120</v>
      </c>
    </row>
    <row r="1493" spans="1:7" x14ac:dyDescent="0.2">
      <c r="A1493" t="s">
        <v>858</v>
      </c>
      <c r="B1493" t="s">
        <v>109</v>
      </c>
      <c r="C1493" t="s">
        <v>110</v>
      </c>
      <c r="D1493" t="s">
        <v>113</v>
      </c>
      <c r="E1493" t="s">
        <v>114</v>
      </c>
      <c r="F1493" t="s">
        <v>28</v>
      </c>
      <c r="G1493">
        <v>520</v>
      </c>
    </row>
    <row r="1494" spans="1:7" x14ac:dyDescent="0.2">
      <c r="A1494" t="s">
        <v>858</v>
      </c>
      <c r="B1494" t="s">
        <v>109</v>
      </c>
      <c r="C1494" t="s">
        <v>110</v>
      </c>
      <c r="D1494" t="s">
        <v>115</v>
      </c>
      <c r="E1494" t="s">
        <v>116</v>
      </c>
      <c r="F1494" t="s">
        <v>25</v>
      </c>
      <c r="G1494">
        <v>240</v>
      </c>
    </row>
    <row r="1495" spans="1:7" x14ac:dyDescent="0.2">
      <c r="A1495" t="s">
        <v>858</v>
      </c>
      <c r="B1495" t="s">
        <v>109</v>
      </c>
      <c r="C1495" t="s">
        <v>110</v>
      </c>
      <c r="D1495" t="s">
        <v>117</v>
      </c>
      <c r="E1495" t="s">
        <v>118</v>
      </c>
      <c r="F1495" t="s">
        <v>11</v>
      </c>
      <c r="G1495">
        <v>193</v>
      </c>
    </row>
    <row r="1496" spans="1:7" x14ac:dyDescent="0.2">
      <c r="A1496" t="s">
        <v>858</v>
      </c>
      <c r="B1496" t="s">
        <v>109</v>
      </c>
      <c r="C1496" t="s">
        <v>110</v>
      </c>
      <c r="D1496" t="s">
        <v>119</v>
      </c>
      <c r="E1496" t="s">
        <v>120</v>
      </c>
      <c r="F1496" t="s">
        <v>88</v>
      </c>
      <c r="G1496">
        <v>204</v>
      </c>
    </row>
    <row r="1497" spans="1:7" x14ac:dyDescent="0.2">
      <c r="A1497" t="s">
        <v>858</v>
      </c>
      <c r="B1497" t="s">
        <v>109</v>
      </c>
      <c r="C1497" t="s">
        <v>110</v>
      </c>
      <c r="D1497" t="s">
        <v>45</v>
      </c>
      <c r="G1497">
        <v>0</v>
      </c>
    </row>
    <row r="1498" spans="1:7" x14ac:dyDescent="0.2">
      <c r="A1498" t="s">
        <v>858</v>
      </c>
      <c r="B1498" t="s">
        <v>109</v>
      </c>
      <c r="C1498" t="s">
        <v>110</v>
      </c>
      <c r="D1498" t="s">
        <v>46</v>
      </c>
      <c r="G1498">
        <v>223</v>
      </c>
    </row>
    <row r="1499" spans="1:7" x14ac:dyDescent="0.2">
      <c r="A1499" t="s">
        <v>858</v>
      </c>
      <c r="B1499" t="s">
        <v>121</v>
      </c>
      <c r="C1499" t="s">
        <v>122</v>
      </c>
      <c r="D1499" t="s">
        <v>8</v>
      </c>
      <c r="G1499">
        <v>6500</v>
      </c>
    </row>
    <row r="1500" spans="1:7" x14ac:dyDescent="0.2">
      <c r="A1500" t="s">
        <v>858</v>
      </c>
      <c r="B1500" t="s">
        <v>121</v>
      </c>
      <c r="C1500" t="s">
        <v>122</v>
      </c>
      <c r="D1500" t="s">
        <v>123</v>
      </c>
      <c r="E1500" t="s">
        <v>124</v>
      </c>
      <c r="F1500" t="s">
        <v>22</v>
      </c>
      <c r="G1500">
        <v>5268</v>
      </c>
    </row>
    <row r="1501" spans="1:7" x14ac:dyDescent="0.2">
      <c r="A1501" t="s">
        <v>858</v>
      </c>
      <c r="B1501" t="s">
        <v>121</v>
      </c>
      <c r="C1501" t="s">
        <v>122</v>
      </c>
      <c r="D1501" t="s">
        <v>125</v>
      </c>
      <c r="E1501" t="s">
        <v>126</v>
      </c>
      <c r="F1501" t="s">
        <v>16</v>
      </c>
      <c r="G1501">
        <v>438</v>
      </c>
    </row>
    <row r="1502" spans="1:7" x14ac:dyDescent="0.2">
      <c r="A1502" t="s">
        <v>858</v>
      </c>
      <c r="B1502" t="s">
        <v>121</v>
      </c>
      <c r="C1502" t="s">
        <v>122</v>
      </c>
      <c r="D1502" t="s">
        <v>127</v>
      </c>
      <c r="E1502" t="s">
        <v>128</v>
      </c>
      <c r="F1502" t="s">
        <v>28</v>
      </c>
      <c r="G1502">
        <v>527</v>
      </c>
    </row>
    <row r="1503" spans="1:7" x14ac:dyDescent="0.2">
      <c r="A1503" t="s">
        <v>858</v>
      </c>
      <c r="B1503" t="s">
        <v>121</v>
      </c>
      <c r="C1503" t="s">
        <v>122</v>
      </c>
      <c r="D1503" t="s">
        <v>45</v>
      </c>
      <c r="G1503">
        <v>0</v>
      </c>
    </row>
    <row r="1504" spans="1:7" x14ac:dyDescent="0.2">
      <c r="A1504" t="s">
        <v>858</v>
      </c>
      <c r="B1504" t="s">
        <v>121</v>
      </c>
      <c r="C1504" t="s">
        <v>122</v>
      </c>
      <c r="D1504" t="s">
        <v>46</v>
      </c>
      <c r="G1504">
        <v>267</v>
      </c>
    </row>
    <row r="1505" spans="1:7" x14ac:dyDescent="0.2">
      <c r="A1505" t="s">
        <v>858</v>
      </c>
      <c r="B1505" t="s">
        <v>129</v>
      </c>
      <c r="C1505" t="s">
        <v>130</v>
      </c>
      <c r="D1505" t="s">
        <v>8</v>
      </c>
      <c r="G1505">
        <v>6500</v>
      </c>
    </row>
    <row r="1506" spans="1:7" x14ac:dyDescent="0.2">
      <c r="A1506" t="s">
        <v>858</v>
      </c>
      <c r="B1506" t="s">
        <v>129</v>
      </c>
      <c r="C1506" t="s">
        <v>130</v>
      </c>
      <c r="D1506" t="s">
        <v>131</v>
      </c>
      <c r="E1506" t="s">
        <v>132</v>
      </c>
      <c r="F1506" t="s">
        <v>133</v>
      </c>
      <c r="G1506">
        <v>179</v>
      </c>
    </row>
    <row r="1507" spans="1:7" x14ac:dyDescent="0.2">
      <c r="A1507" t="s">
        <v>858</v>
      </c>
      <c r="B1507" t="s">
        <v>129</v>
      </c>
      <c r="C1507" t="s">
        <v>130</v>
      </c>
      <c r="D1507" t="s">
        <v>134</v>
      </c>
      <c r="E1507" t="s">
        <v>135</v>
      </c>
      <c r="F1507" t="s">
        <v>22</v>
      </c>
      <c r="G1507">
        <v>5341</v>
      </c>
    </row>
    <row r="1508" spans="1:7" x14ac:dyDescent="0.2">
      <c r="A1508" t="s">
        <v>858</v>
      </c>
      <c r="B1508" t="s">
        <v>129</v>
      </c>
      <c r="C1508" t="s">
        <v>130</v>
      </c>
      <c r="D1508" t="s">
        <v>136</v>
      </c>
      <c r="E1508" t="s">
        <v>137</v>
      </c>
      <c r="F1508" t="s">
        <v>28</v>
      </c>
      <c r="G1508">
        <v>624</v>
      </c>
    </row>
    <row r="1509" spans="1:7" x14ac:dyDescent="0.2">
      <c r="A1509" t="s">
        <v>858</v>
      </c>
      <c r="B1509" t="s">
        <v>129</v>
      </c>
      <c r="C1509" t="s">
        <v>130</v>
      </c>
      <c r="D1509" t="s">
        <v>45</v>
      </c>
      <c r="G1509">
        <v>0</v>
      </c>
    </row>
    <row r="1510" spans="1:7" x14ac:dyDescent="0.2">
      <c r="A1510" t="s">
        <v>858</v>
      </c>
      <c r="B1510" t="s">
        <v>129</v>
      </c>
      <c r="C1510" t="s">
        <v>130</v>
      </c>
      <c r="D1510" t="s">
        <v>46</v>
      </c>
      <c r="G1510">
        <v>356</v>
      </c>
    </row>
    <row r="1511" spans="1:7" x14ac:dyDescent="0.2">
      <c r="A1511" t="s">
        <v>858</v>
      </c>
      <c r="B1511" t="s">
        <v>218</v>
      </c>
      <c r="C1511" t="s">
        <v>219</v>
      </c>
      <c r="D1511" t="s">
        <v>8</v>
      </c>
      <c r="G1511">
        <v>3370</v>
      </c>
    </row>
    <row r="1512" spans="1:7" x14ac:dyDescent="0.2">
      <c r="A1512" t="s">
        <v>858</v>
      </c>
      <c r="B1512" t="s">
        <v>218</v>
      </c>
      <c r="C1512" t="s">
        <v>219</v>
      </c>
      <c r="D1512" t="s">
        <v>220</v>
      </c>
      <c r="E1512" t="s">
        <v>221</v>
      </c>
      <c r="F1512" t="s">
        <v>22</v>
      </c>
      <c r="G1512">
        <v>2810</v>
      </c>
    </row>
    <row r="1513" spans="1:7" x14ac:dyDescent="0.2">
      <c r="A1513" t="s">
        <v>858</v>
      </c>
      <c r="B1513" t="s">
        <v>218</v>
      </c>
      <c r="C1513" t="s">
        <v>219</v>
      </c>
      <c r="D1513" t="s">
        <v>45</v>
      </c>
      <c r="G1513">
        <v>0</v>
      </c>
    </row>
    <row r="1514" spans="1:7" x14ac:dyDescent="0.2">
      <c r="A1514" t="s">
        <v>858</v>
      </c>
      <c r="B1514" t="s">
        <v>218</v>
      </c>
      <c r="C1514" t="s">
        <v>219</v>
      </c>
      <c r="D1514" t="s">
        <v>46</v>
      </c>
      <c r="G1514">
        <v>560</v>
      </c>
    </row>
    <row r="1515" spans="1:7" x14ac:dyDescent="0.2">
      <c r="A1515" t="s">
        <v>858</v>
      </c>
      <c r="B1515" t="s">
        <v>390</v>
      </c>
      <c r="C1515" t="s">
        <v>391</v>
      </c>
      <c r="D1515" t="s">
        <v>8</v>
      </c>
      <c r="G1515">
        <v>6500</v>
      </c>
    </row>
    <row r="1516" spans="1:7" x14ac:dyDescent="0.2">
      <c r="A1516" t="s">
        <v>858</v>
      </c>
      <c r="B1516" t="s">
        <v>390</v>
      </c>
      <c r="C1516" t="s">
        <v>391</v>
      </c>
      <c r="D1516" t="s">
        <v>392</v>
      </c>
      <c r="E1516" t="s">
        <v>393</v>
      </c>
      <c r="F1516" t="s">
        <v>22</v>
      </c>
      <c r="G1516">
        <v>4467</v>
      </c>
    </row>
    <row r="1517" spans="1:7" x14ac:dyDescent="0.2">
      <c r="A1517" t="s">
        <v>858</v>
      </c>
      <c r="B1517" t="s">
        <v>390</v>
      </c>
      <c r="C1517" t="s">
        <v>391</v>
      </c>
      <c r="D1517" t="s">
        <v>394</v>
      </c>
      <c r="E1517" t="s">
        <v>395</v>
      </c>
      <c r="F1517" t="s">
        <v>28</v>
      </c>
      <c r="G1517">
        <v>1722</v>
      </c>
    </row>
    <row r="1518" spans="1:7" x14ac:dyDescent="0.2">
      <c r="A1518" t="s">
        <v>858</v>
      </c>
      <c r="B1518" t="s">
        <v>390</v>
      </c>
      <c r="C1518" t="s">
        <v>391</v>
      </c>
      <c r="D1518" t="s">
        <v>45</v>
      </c>
      <c r="G1518">
        <v>0</v>
      </c>
    </row>
    <row r="1519" spans="1:7" x14ac:dyDescent="0.2">
      <c r="A1519" t="s">
        <v>858</v>
      </c>
      <c r="B1519" t="s">
        <v>390</v>
      </c>
      <c r="C1519" t="s">
        <v>391</v>
      </c>
      <c r="D1519" t="s">
        <v>46</v>
      </c>
      <c r="G1519">
        <v>311</v>
      </c>
    </row>
    <row r="1520" spans="1:7" x14ac:dyDescent="0.2">
      <c r="A1520" t="s">
        <v>858</v>
      </c>
      <c r="B1520" t="s">
        <v>692</v>
      </c>
      <c r="C1520" t="s">
        <v>693</v>
      </c>
      <c r="D1520" t="s">
        <v>8</v>
      </c>
      <c r="G1520">
        <v>6500</v>
      </c>
    </row>
    <row r="1521" spans="1:7" x14ac:dyDescent="0.2">
      <c r="A1521" t="s">
        <v>858</v>
      </c>
      <c r="B1521" t="s">
        <v>692</v>
      </c>
      <c r="C1521" t="s">
        <v>693</v>
      </c>
      <c r="D1521" t="s">
        <v>694</v>
      </c>
      <c r="E1521" t="s">
        <v>695</v>
      </c>
      <c r="G1521">
        <v>4213</v>
      </c>
    </row>
    <row r="1522" spans="1:7" x14ac:dyDescent="0.2">
      <c r="A1522" t="s">
        <v>858</v>
      </c>
      <c r="B1522" t="s">
        <v>692</v>
      </c>
      <c r="C1522" t="s">
        <v>693</v>
      </c>
      <c r="D1522" t="s">
        <v>696</v>
      </c>
      <c r="E1522" t="s">
        <v>697</v>
      </c>
      <c r="G1522">
        <v>1266</v>
      </c>
    </row>
    <row r="1523" spans="1:7" x14ac:dyDescent="0.2">
      <c r="A1523" t="s">
        <v>858</v>
      </c>
      <c r="B1523" t="s">
        <v>692</v>
      </c>
      <c r="C1523" t="s">
        <v>693</v>
      </c>
      <c r="D1523" t="s">
        <v>45</v>
      </c>
      <c r="G1523">
        <v>1</v>
      </c>
    </row>
    <row r="1524" spans="1:7" x14ac:dyDescent="0.2">
      <c r="A1524" t="s">
        <v>858</v>
      </c>
      <c r="B1524" t="s">
        <v>692</v>
      </c>
      <c r="C1524" t="s">
        <v>693</v>
      </c>
      <c r="D1524" t="s">
        <v>46</v>
      </c>
      <c r="G1524">
        <v>1020</v>
      </c>
    </row>
    <row r="1525" spans="1:7" x14ac:dyDescent="0.2">
      <c r="A1525" t="s">
        <v>858</v>
      </c>
      <c r="B1525" t="s">
        <v>698</v>
      </c>
      <c r="C1525" t="s">
        <v>699</v>
      </c>
      <c r="D1525" t="s">
        <v>8</v>
      </c>
      <c r="G1525">
        <v>6500</v>
      </c>
    </row>
    <row r="1526" spans="1:7" x14ac:dyDescent="0.2">
      <c r="A1526" t="s">
        <v>858</v>
      </c>
      <c r="B1526" t="s">
        <v>698</v>
      </c>
      <c r="C1526" t="s">
        <v>699</v>
      </c>
      <c r="D1526" t="s">
        <v>694</v>
      </c>
      <c r="E1526" t="s">
        <v>700</v>
      </c>
      <c r="G1526">
        <v>4123</v>
      </c>
    </row>
    <row r="1527" spans="1:7" x14ac:dyDescent="0.2">
      <c r="A1527" t="s">
        <v>858</v>
      </c>
      <c r="B1527" t="s">
        <v>698</v>
      </c>
      <c r="C1527" t="s">
        <v>699</v>
      </c>
      <c r="D1527" t="s">
        <v>696</v>
      </c>
      <c r="E1527" t="s">
        <v>701</v>
      </c>
      <c r="G1527">
        <v>1302</v>
      </c>
    </row>
    <row r="1528" spans="1:7" x14ac:dyDescent="0.2">
      <c r="A1528" t="s">
        <v>858</v>
      </c>
      <c r="B1528" t="s">
        <v>698</v>
      </c>
      <c r="C1528" t="s">
        <v>699</v>
      </c>
      <c r="D1528" t="s">
        <v>45</v>
      </c>
      <c r="G1528">
        <v>2</v>
      </c>
    </row>
    <row r="1529" spans="1:7" x14ac:dyDescent="0.2">
      <c r="A1529" t="s">
        <v>858</v>
      </c>
      <c r="B1529" t="s">
        <v>698</v>
      </c>
      <c r="C1529" t="s">
        <v>699</v>
      </c>
      <c r="D1529" t="s">
        <v>46</v>
      </c>
      <c r="G1529">
        <v>1073</v>
      </c>
    </row>
    <row r="1530" spans="1:7" x14ac:dyDescent="0.2">
      <c r="A1530" t="s">
        <v>858</v>
      </c>
      <c r="B1530" t="s">
        <v>762</v>
      </c>
      <c r="C1530" t="s">
        <v>763</v>
      </c>
      <c r="D1530" t="s">
        <v>8</v>
      </c>
      <c r="G1530">
        <v>6500</v>
      </c>
    </row>
    <row r="1531" spans="1:7" x14ac:dyDescent="0.2">
      <c r="A1531" t="s">
        <v>858</v>
      </c>
      <c r="B1531" t="s">
        <v>762</v>
      </c>
      <c r="C1531" t="s">
        <v>763</v>
      </c>
      <c r="D1531" t="s">
        <v>694</v>
      </c>
      <c r="E1531" t="s">
        <v>764</v>
      </c>
      <c r="G1531">
        <v>4023</v>
      </c>
    </row>
    <row r="1532" spans="1:7" x14ac:dyDescent="0.2">
      <c r="A1532" t="s">
        <v>858</v>
      </c>
      <c r="B1532" t="s">
        <v>762</v>
      </c>
      <c r="C1532" t="s">
        <v>763</v>
      </c>
      <c r="D1532" t="s">
        <v>696</v>
      </c>
      <c r="E1532" t="s">
        <v>765</v>
      </c>
      <c r="G1532">
        <v>1400</v>
      </c>
    </row>
    <row r="1533" spans="1:7" x14ac:dyDescent="0.2">
      <c r="A1533" t="s">
        <v>858</v>
      </c>
      <c r="B1533" t="s">
        <v>762</v>
      </c>
      <c r="C1533" t="s">
        <v>763</v>
      </c>
      <c r="D1533" t="s">
        <v>45</v>
      </c>
      <c r="G1533">
        <v>3</v>
      </c>
    </row>
    <row r="1534" spans="1:7" x14ac:dyDescent="0.2">
      <c r="A1534" t="s">
        <v>858</v>
      </c>
      <c r="B1534" t="s">
        <v>762</v>
      </c>
      <c r="C1534" t="s">
        <v>763</v>
      </c>
      <c r="D1534" t="s">
        <v>46</v>
      </c>
      <c r="G1534">
        <v>1074</v>
      </c>
    </row>
    <row r="1535" spans="1:7" x14ac:dyDescent="0.2">
      <c r="A1535" t="s">
        <v>858</v>
      </c>
      <c r="B1535" t="s">
        <v>766</v>
      </c>
      <c r="C1535" t="s">
        <v>767</v>
      </c>
      <c r="D1535" t="s">
        <v>8</v>
      </c>
      <c r="G1535">
        <v>6500</v>
      </c>
    </row>
    <row r="1536" spans="1:7" x14ac:dyDescent="0.2">
      <c r="A1536" t="s">
        <v>858</v>
      </c>
      <c r="B1536" t="s">
        <v>766</v>
      </c>
      <c r="C1536" t="s">
        <v>767</v>
      </c>
      <c r="D1536" t="s">
        <v>694</v>
      </c>
      <c r="E1536" t="s">
        <v>768</v>
      </c>
      <c r="G1536">
        <v>4153</v>
      </c>
    </row>
    <row r="1537" spans="1:7" x14ac:dyDescent="0.2">
      <c r="A1537" t="s">
        <v>858</v>
      </c>
      <c r="B1537" t="s">
        <v>766</v>
      </c>
      <c r="C1537" t="s">
        <v>767</v>
      </c>
      <c r="D1537" t="s">
        <v>696</v>
      </c>
      <c r="E1537" t="s">
        <v>769</v>
      </c>
      <c r="G1537">
        <v>1284</v>
      </c>
    </row>
    <row r="1538" spans="1:7" x14ac:dyDescent="0.2">
      <c r="A1538" t="s">
        <v>858</v>
      </c>
      <c r="B1538" t="s">
        <v>766</v>
      </c>
      <c r="C1538" t="s">
        <v>767</v>
      </c>
      <c r="D1538" t="s">
        <v>45</v>
      </c>
      <c r="G1538">
        <v>1</v>
      </c>
    </row>
    <row r="1539" spans="1:7" x14ac:dyDescent="0.2">
      <c r="A1539" t="s">
        <v>858</v>
      </c>
      <c r="B1539" t="s">
        <v>766</v>
      </c>
      <c r="C1539" t="s">
        <v>767</v>
      </c>
      <c r="D1539" t="s">
        <v>46</v>
      </c>
      <c r="G1539">
        <v>1062</v>
      </c>
    </row>
    <row r="1540" spans="1:7" x14ac:dyDescent="0.2">
      <c r="A1540" t="s">
        <v>858</v>
      </c>
      <c r="B1540" t="s">
        <v>770</v>
      </c>
      <c r="C1540" t="s">
        <v>771</v>
      </c>
      <c r="D1540" t="s">
        <v>8</v>
      </c>
      <c r="G1540">
        <v>6500</v>
      </c>
    </row>
    <row r="1541" spans="1:7" x14ac:dyDescent="0.2">
      <c r="A1541" t="s">
        <v>858</v>
      </c>
      <c r="B1541" t="s">
        <v>770</v>
      </c>
      <c r="C1541" t="s">
        <v>771</v>
      </c>
      <c r="D1541" t="s">
        <v>694</v>
      </c>
      <c r="E1541" t="s">
        <v>772</v>
      </c>
      <c r="G1541">
        <v>4089</v>
      </c>
    </row>
    <row r="1542" spans="1:7" x14ac:dyDescent="0.2">
      <c r="A1542" t="s">
        <v>858</v>
      </c>
      <c r="B1542" t="s">
        <v>770</v>
      </c>
      <c r="C1542" t="s">
        <v>771</v>
      </c>
      <c r="D1542" t="s">
        <v>696</v>
      </c>
      <c r="E1542" t="s">
        <v>773</v>
      </c>
      <c r="G1542">
        <v>1323</v>
      </c>
    </row>
    <row r="1543" spans="1:7" x14ac:dyDescent="0.2">
      <c r="A1543" t="s">
        <v>858</v>
      </c>
      <c r="B1543" t="s">
        <v>770</v>
      </c>
      <c r="C1543" t="s">
        <v>771</v>
      </c>
      <c r="D1543" t="s">
        <v>45</v>
      </c>
      <c r="G1543">
        <v>1</v>
      </c>
    </row>
    <row r="1544" spans="1:7" x14ac:dyDescent="0.2">
      <c r="A1544" t="s">
        <v>858</v>
      </c>
      <c r="B1544" t="s">
        <v>770</v>
      </c>
      <c r="C1544" t="s">
        <v>771</v>
      </c>
      <c r="D1544" t="s">
        <v>46</v>
      </c>
      <c r="G1544">
        <v>1087</v>
      </c>
    </row>
    <row r="1545" spans="1:7" x14ac:dyDescent="0.2">
      <c r="A1545" t="s">
        <v>858</v>
      </c>
      <c r="B1545" t="s">
        <v>774</v>
      </c>
      <c r="C1545" t="s">
        <v>775</v>
      </c>
      <c r="D1545" t="s">
        <v>8</v>
      </c>
      <c r="G1545">
        <v>6500</v>
      </c>
    </row>
    <row r="1546" spans="1:7" x14ac:dyDescent="0.2">
      <c r="A1546" t="s">
        <v>858</v>
      </c>
      <c r="B1546" t="s">
        <v>774</v>
      </c>
      <c r="C1546" t="s">
        <v>775</v>
      </c>
      <c r="D1546" t="s">
        <v>694</v>
      </c>
      <c r="E1546" t="s">
        <v>776</v>
      </c>
      <c r="G1546">
        <v>4084</v>
      </c>
    </row>
    <row r="1547" spans="1:7" x14ac:dyDescent="0.2">
      <c r="A1547" t="s">
        <v>858</v>
      </c>
      <c r="B1547" t="s">
        <v>774</v>
      </c>
      <c r="C1547" t="s">
        <v>775</v>
      </c>
      <c r="D1547" t="s">
        <v>696</v>
      </c>
      <c r="E1547" t="s">
        <v>777</v>
      </c>
      <c r="G1547">
        <v>1315</v>
      </c>
    </row>
    <row r="1548" spans="1:7" x14ac:dyDescent="0.2">
      <c r="A1548" t="s">
        <v>858</v>
      </c>
      <c r="B1548" t="s">
        <v>774</v>
      </c>
      <c r="C1548" t="s">
        <v>775</v>
      </c>
      <c r="D1548" t="s">
        <v>45</v>
      </c>
      <c r="G1548">
        <v>3</v>
      </c>
    </row>
    <row r="1549" spans="1:7" x14ac:dyDescent="0.2">
      <c r="A1549" t="s">
        <v>858</v>
      </c>
      <c r="B1549" t="s">
        <v>774</v>
      </c>
      <c r="C1549" t="s">
        <v>775</v>
      </c>
      <c r="D1549" t="s">
        <v>46</v>
      </c>
      <c r="G1549">
        <v>1098</v>
      </c>
    </row>
    <row r="1550" spans="1:7" x14ac:dyDescent="0.2">
      <c r="A1550" t="s">
        <v>858</v>
      </c>
      <c r="B1550" t="s">
        <v>778</v>
      </c>
      <c r="C1550" t="s">
        <v>779</v>
      </c>
      <c r="D1550" t="s">
        <v>8</v>
      </c>
      <c r="G1550">
        <v>6500</v>
      </c>
    </row>
    <row r="1551" spans="1:7" x14ac:dyDescent="0.2">
      <c r="A1551" t="s">
        <v>858</v>
      </c>
      <c r="B1551" t="s">
        <v>778</v>
      </c>
      <c r="C1551" t="s">
        <v>779</v>
      </c>
      <c r="D1551" t="s">
        <v>694</v>
      </c>
      <c r="E1551" t="s">
        <v>780</v>
      </c>
      <c r="G1551">
        <v>4065</v>
      </c>
    </row>
    <row r="1552" spans="1:7" x14ac:dyDescent="0.2">
      <c r="A1552" t="s">
        <v>858</v>
      </c>
      <c r="B1552" t="s">
        <v>778</v>
      </c>
      <c r="C1552" t="s">
        <v>779</v>
      </c>
      <c r="D1552" t="s">
        <v>696</v>
      </c>
      <c r="E1552" t="s">
        <v>781</v>
      </c>
      <c r="G1552">
        <v>1349</v>
      </c>
    </row>
    <row r="1553" spans="1:7" x14ac:dyDescent="0.2">
      <c r="A1553" t="s">
        <v>858</v>
      </c>
      <c r="B1553" t="s">
        <v>778</v>
      </c>
      <c r="C1553" t="s">
        <v>779</v>
      </c>
      <c r="D1553" t="s">
        <v>45</v>
      </c>
      <c r="G1553">
        <v>0</v>
      </c>
    </row>
    <row r="1554" spans="1:7" x14ac:dyDescent="0.2">
      <c r="A1554" t="s">
        <v>858</v>
      </c>
      <c r="B1554" t="s">
        <v>778</v>
      </c>
      <c r="C1554" t="s">
        <v>779</v>
      </c>
      <c r="D1554" t="s">
        <v>46</v>
      </c>
      <c r="G1554">
        <v>1086</v>
      </c>
    </row>
    <row r="1555" spans="1:7" x14ac:dyDescent="0.2">
      <c r="A1555" t="s">
        <v>858</v>
      </c>
      <c r="B1555" t="s">
        <v>782</v>
      </c>
      <c r="C1555" t="s">
        <v>783</v>
      </c>
      <c r="D1555" t="s">
        <v>8</v>
      </c>
      <c r="G1555">
        <v>6500</v>
      </c>
    </row>
    <row r="1556" spans="1:7" x14ac:dyDescent="0.2">
      <c r="A1556" t="s">
        <v>858</v>
      </c>
      <c r="B1556" t="s">
        <v>782</v>
      </c>
      <c r="C1556" t="s">
        <v>783</v>
      </c>
      <c r="D1556" t="s">
        <v>694</v>
      </c>
      <c r="E1556" t="s">
        <v>784</v>
      </c>
      <c r="G1556">
        <v>3957</v>
      </c>
    </row>
    <row r="1557" spans="1:7" x14ac:dyDescent="0.2">
      <c r="A1557" t="s">
        <v>858</v>
      </c>
      <c r="B1557" t="s">
        <v>782</v>
      </c>
      <c r="C1557" t="s">
        <v>783</v>
      </c>
      <c r="D1557" t="s">
        <v>696</v>
      </c>
      <c r="E1557" t="s">
        <v>785</v>
      </c>
      <c r="G1557">
        <v>1462</v>
      </c>
    </row>
    <row r="1558" spans="1:7" x14ac:dyDescent="0.2">
      <c r="A1558" t="s">
        <v>858</v>
      </c>
      <c r="B1558" t="s">
        <v>782</v>
      </c>
      <c r="C1558" t="s">
        <v>783</v>
      </c>
      <c r="D1558" t="s">
        <v>45</v>
      </c>
      <c r="G1558">
        <v>2</v>
      </c>
    </row>
    <row r="1559" spans="1:7" x14ac:dyDescent="0.2">
      <c r="A1559" t="s">
        <v>858</v>
      </c>
      <c r="B1559" t="s">
        <v>782</v>
      </c>
      <c r="C1559" t="s">
        <v>783</v>
      </c>
      <c r="D1559" t="s">
        <v>46</v>
      </c>
      <c r="G1559">
        <v>1079</v>
      </c>
    </row>
    <row r="1560" spans="1:7" x14ac:dyDescent="0.2">
      <c r="A1560" t="s">
        <v>858</v>
      </c>
      <c r="B1560" t="s">
        <v>826</v>
      </c>
      <c r="C1560" t="s">
        <v>827</v>
      </c>
      <c r="D1560" t="s">
        <v>8</v>
      </c>
      <c r="G1560">
        <v>6500</v>
      </c>
    </row>
    <row r="1561" spans="1:7" x14ac:dyDescent="0.2">
      <c r="A1561" t="s">
        <v>858</v>
      </c>
      <c r="B1561" t="s">
        <v>826</v>
      </c>
      <c r="C1561" t="s">
        <v>827</v>
      </c>
      <c r="D1561" t="s">
        <v>694</v>
      </c>
      <c r="E1561" t="s">
        <v>828</v>
      </c>
      <c r="G1561">
        <v>4135</v>
      </c>
    </row>
    <row r="1562" spans="1:7" x14ac:dyDescent="0.2">
      <c r="A1562" t="s">
        <v>858</v>
      </c>
      <c r="B1562" t="s">
        <v>826</v>
      </c>
      <c r="C1562" t="s">
        <v>827</v>
      </c>
      <c r="D1562" t="s">
        <v>696</v>
      </c>
      <c r="E1562" t="s">
        <v>829</v>
      </c>
      <c r="G1562">
        <v>1309</v>
      </c>
    </row>
    <row r="1563" spans="1:7" x14ac:dyDescent="0.2">
      <c r="A1563" t="s">
        <v>858</v>
      </c>
      <c r="B1563" t="s">
        <v>826</v>
      </c>
      <c r="C1563" t="s">
        <v>827</v>
      </c>
      <c r="D1563" t="s">
        <v>45</v>
      </c>
      <c r="G1563">
        <v>2</v>
      </c>
    </row>
    <row r="1564" spans="1:7" x14ac:dyDescent="0.2">
      <c r="A1564" t="s">
        <v>858</v>
      </c>
      <c r="B1564" t="s">
        <v>826</v>
      </c>
      <c r="C1564" t="s">
        <v>827</v>
      </c>
      <c r="D1564" t="s">
        <v>46</v>
      </c>
      <c r="G1564">
        <v>1054</v>
      </c>
    </row>
    <row r="1565" spans="1:7" x14ac:dyDescent="0.2">
      <c r="A1565" t="s">
        <v>858</v>
      </c>
      <c r="B1565" t="s">
        <v>834</v>
      </c>
      <c r="C1565" t="s">
        <v>835</v>
      </c>
      <c r="D1565" t="s">
        <v>8</v>
      </c>
      <c r="G1565">
        <v>6500</v>
      </c>
    </row>
    <row r="1566" spans="1:7" x14ac:dyDescent="0.2">
      <c r="A1566" t="s">
        <v>858</v>
      </c>
      <c r="B1566" t="s">
        <v>834</v>
      </c>
      <c r="C1566" t="s">
        <v>835</v>
      </c>
      <c r="D1566" t="s">
        <v>836</v>
      </c>
      <c r="E1566" t="s">
        <v>837</v>
      </c>
      <c r="G1566">
        <v>3858</v>
      </c>
    </row>
    <row r="1567" spans="1:7" x14ac:dyDescent="0.2">
      <c r="A1567" t="s">
        <v>858</v>
      </c>
      <c r="B1567" t="s">
        <v>834</v>
      </c>
      <c r="C1567" t="s">
        <v>835</v>
      </c>
      <c r="D1567" t="s">
        <v>838</v>
      </c>
      <c r="E1567" t="s">
        <v>839</v>
      </c>
      <c r="G1567">
        <v>2197</v>
      </c>
    </row>
    <row r="1568" spans="1:7" x14ac:dyDescent="0.2">
      <c r="A1568" t="s">
        <v>858</v>
      </c>
      <c r="B1568" t="s">
        <v>834</v>
      </c>
      <c r="C1568" t="s">
        <v>835</v>
      </c>
      <c r="D1568" t="s">
        <v>45</v>
      </c>
      <c r="G1568">
        <v>1</v>
      </c>
    </row>
    <row r="1569" spans="1:7" x14ac:dyDescent="0.2">
      <c r="A1569" t="s">
        <v>858</v>
      </c>
      <c r="B1569" t="s">
        <v>834</v>
      </c>
      <c r="C1569" t="s">
        <v>835</v>
      </c>
      <c r="D1569" t="s">
        <v>46</v>
      </c>
      <c r="G1569">
        <v>444</v>
      </c>
    </row>
    <row r="1570" spans="1:7" x14ac:dyDescent="0.2">
      <c r="A1570" t="s">
        <v>858</v>
      </c>
      <c r="B1570" t="s">
        <v>840</v>
      </c>
      <c r="C1570" t="s">
        <v>841</v>
      </c>
      <c r="D1570" t="s">
        <v>8</v>
      </c>
      <c r="G1570">
        <v>6500</v>
      </c>
    </row>
    <row r="1571" spans="1:7" x14ac:dyDescent="0.2">
      <c r="A1571" t="s">
        <v>858</v>
      </c>
      <c r="B1571" t="s">
        <v>840</v>
      </c>
      <c r="C1571" t="s">
        <v>841</v>
      </c>
      <c r="D1571" t="s">
        <v>836</v>
      </c>
      <c r="E1571" t="s">
        <v>842</v>
      </c>
      <c r="G1571">
        <v>5406</v>
      </c>
    </row>
    <row r="1572" spans="1:7" x14ac:dyDescent="0.2">
      <c r="A1572" t="s">
        <v>858</v>
      </c>
      <c r="B1572" t="s">
        <v>840</v>
      </c>
      <c r="C1572" t="s">
        <v>841</v>
      </c>
      <c r="D1572" t="s">
        <v>838</v>
      </c>
      <c r="E1572" t="s">
        <v>843</v>
      </c>
      <c r="G1572">
        <v>737</v>
      </c>
    </row>
    <row r="1573" spans="1:7" x14ac:dyDescent="0.2">
      <c r="A1573" t="s">
        <v>858</v>
      </c>
      <c r="B1573" t="s">
        <v>840</v>
      </c>
      <c r="C1573" t="s">
        <v>841</v>
      </c>
      <c r="D1573" t="s">
        <v>45</v>
      </c>
      <c r="G1573">
        <v>0</v>
      </c>
    </row>
    <row r="1574" spans="1:7" x14ac:dyDescent="0.2">
      <c r="A1574" t="s">
        <v>858</v>
      </c>
      <c r="B1574" t="s">
        <v>840</v>
      </c>
      <c r="C1574" t="s">
        <v>841</v>
      </c>
      <c r="D1574" t="s">
        <v>46</v>
      </c>
      <c r="G1574">
        <v>357</v>
      </c>
    </row>
    <row r="1575" spans="1:7" x14ac:dyDescent="0.2">
      <c r="A1575" t="s">
        <v>859</v>
      </c>
      <c r="B1575" t="s">
        <v>6</v>
      </c>
      <c r="C1575" t="s">
        <v>7</v>
      </c>
      <c r="D1575" t="s">
        <v>8</v>
      </c>
      <c r="G1575">
        <v>7005</v>
      </c>
    </row>
    <row r="1576" spans="1:7" x14ac:dyDescent="0.2">
      <c r="A1576" t="s">
        <v>859</v>
      </c>
      <c r="B1576" t="s">
        <v>6</v>
      </c>
      <c r="C1576" t="s">
        <v>7</v>
      </c>
      <c r="D1576" t="s">
        <v>9</v>
      </c>
      <c r="E1576" t="s">
        <v>10</v>
      </c>
      <c r="F1576" t="s">
        <v>11</v>
      </c>
      <c r="G1576">
        <v>2</v>
      </c>
    </row>
    <row r="1577" spans="1:7" x14ac:dyDescent="0.2">
      <c r="A1577" t="s">
        <v>859</v>
      </c>
      <c r="B1577" t="s">
        <v>6</v>
      </c>
      <c r="C1577" t="s">
        <v>7</v>
      </c>
      <c r="D1577" t="s">
        <v>12</v>
      </c>
      <c r="E1577" t="s">
        <v>13</v>
      </c>
      <c r="F1577" t="s">
        <v>11</v>
      </c>
      <c r="G1577">
        <v>10</v>
      </c>
    </row>
    <row r="1578" spans="1:7" x14ac:dyDescent="0.2">
      <c r="A1578" t="s">
        <v>859</v>
      </c>
      <c r="B1578" t="s">
        <v>6</v>
      </c>
      <c r="C1578" t="s">
        <v>7</v>
      </c>
      <c r="D1578" t="s">
        <v>14</v>
      </c>
      <c r="E1578" t="s">
        <v>15</v>
      </c>
      <c r="F1578" t="s">
        <v>16</v>
      </c>
      <c r="G1578">
        <v>60</v>
      </c>
    </row>
    <row r="1579" spans="1:7" x14ac:dyDescent="0.2">
      <c r="A1579" t="s">
        <v>859</v>
      </c>
      <c r="B1579" t="s">
        <v>6</v>
      </c>
      <c r="C1579" t="s">
        <v>7</v>
      </c>
      <c r="D1579" t="s">
        <v>17</v>
      </c>
      <c r="E1579" t="s">
        <v>18</v>
      </c>
      <c r="F1579" t="s">
        <v>19</v>
      </c>
      <c r="G1579">
        <v>22</v>
      </c>
    </row>
    <row r="1580" spans="1:7" x14ac:dyDescent="0.2">
      <c r="A1580" t="s">
        <v>859</v>
      </c>
      <c r="B1580" t="s">
        <v>6</v>
      </c>
      <c r="C1580" t="s">
        <v>7</v>
      </c>
      <c r="D1580" t="s">
        <v>20</v>
      </c>
      <c r="E1580" t="s">
        <v>21</v>
      </c>
      <c r="F1580" t="s">
        <v>22</v>
      </c>
      <c r="G1580">
        <v>5300</v>
      </c>
    </row>
    <row r="1581" spans="1:7" x14ac:dyDescent="0.2">
      <c r="A1581" t="s">
        <v>859</v>
      </c>
      <c r="B1581" t="s">
        <v>6</v>
      </c>
      <c r="C1581" t="s">
        <v>7</v>
      </c>
      <c r="D1581" t="s">
        <v>23</v>
      </c>
      <c r="E1581" t="s">
        <v>24</v>
      </c>
      <c r="F1581" t="s">
        <v>25</v>
      </c>
      <c r="G1581">
        <v>104</v>
      </c>
    </row>
    <row r="1582" spans="1:7" x14ac:dyDescent="0.2">
      <c r="A1582" t="s">
        <v>859</v>
      </c>
      <c r="B1582" t="s">
        <v>6</v>
      </c>
      <c r="C1582" t="s">
        <v>7</v>
      </c>
      <c r="D1582" t="s">
        <v>26</v>
      </c>
      <c r="E1582" t="s">
        <v>27</v>
      </c>
      <c r="F1582" t="s">
        <v>28</v>
      </c>
      <c r="G1582">
        <v>1256</v>
      </c>
    </row>
    <row r="1583" spans="1:7" x14ac:dyDescent="0.2">
      <c r="A1583" t="s">
        <v>859</v>
      </c>
      <c r="B1583" t="s">
        <v>6</v>
      </c>
      <c r="C1583" t="s">
        <v>7</v>
      </c>
      <c r="D1583" t="s">
        <v>29</v>
      </c>
      <c r="E1583" t="s">
        <v>30</v>
      </c>
      <c r="F1583" t="s">
        <v>11</v>
      </c>
      <c r="G1583">
        <v>3</v>
      </c>
    </row>
    <row r="1584" spans="1:7" x14ac:dyDescent="0.2">
      <c r="A1584" t="s">
        <v>859</v>
      </c>
      <c r="B1584" t="s">
        <v>6</v>
      </c>
      <c r="C1584" t="s">
        <v>7</v>
      </c>
      <c r="D1584" t="s">
        <v>31</v>
      </c>
      <c r="E1584" t="s">
        <v>32</v>
      </c>
      <c r="F1584" t="s">
        <v>11</v>
      </c>
      <c r="G1584">
        <v>0</v>
      </c>
    </row>
    <row r="1585" spans="1:7" x14ac:dyDescent="0.2">
      <c r="A1585" t="s">
        <v>859</v>
      </c>
      <c r="B1585" t="s">
        <v>6</v>
      </c>
      <c r="C1585" t="s">
        <v>7</v>
      </c>
      <c r="D1585" t="s">
        <v>33</v>
      </c>
      <c r="E1585" t="s">
        <v>34</v>
      </c>
      <c r="F1585" t="s">
        <v>11</v>
      </c>
      <c r="G1585">
        <v>3</v>
      </c>
    </row>
    <row r="1586" spans="1:7" x14ac:dyDescent="0.2">
      <c r="A1586" t="s">
        <v>859</v>
      </c>
      <c r="B1586" t="s">
        <v>6</v>
      </c>
      <c r="C1586" t="s">
        <v>7</v>
      </c>
      <c r="D1586" t="s">
        <v>35</v>
      </c>
      <c r="E1586" t="s">
        <v>36</v>
      </c>
      <c r="F1586" t="s">
        <v>11</v>
      </c>
      <c r="G1586">
        <v>0</v>
      </c>
    </row>
    <row r="1587" spans="1:7" x14ac:dyDescent="0.2">
      <c r="A1587" t="s">
        <v>859</v>
      </c>
      <c r="B1587" t="s">
        <v>6</v>
      </c>
      <c r="C1587" t="s">
        <v>7</v>
      </c>
      <c r="D1587" t="s">
        <v>37</v>
      </c>
      <c r="E1587" t="s">
        <v>38</v>
      </c>
      <c r="F1587" t="s">
        <v>11</v>
      </c>
      <c r="G1587">
        <v>0</v>
      </c>
    </row>
    <row r="1588" spans="1:7" x14ac:dyDescent="0.2">
      <c r="A1588" t="s">
        <v>859</v>
      </c>
      <c r="B1588" t="s">
        <v>6</v>
      </c>
      <c r="C1588" t="s">
        <v>7</v>
      </c>
      <c r="D1588" t="s">
        <v>39</v>
      </c>
      <c r="E1588" t="s">
        <v>40</v>
      </c>
      <c r="F1588" t="s">
        <v>11</v>
      </c>
      <c r="G1588">
        <v>0</v>
      </c>
    </row>
    <row r="1589" spans="1:7" x14ac:dyDescent="0.2">
      <c r="A1589" t="s">
        <v>859</v>
      </c>
      <c r="B1589" t="s">
        <v>6</v>
      </c>
      <c r="C1589" t="s">
        <v>7</v>
      </c>
      <c r="D1589" t="s">
        <v>41</v>
      </c>
      <c r="E1589" t="s">
        <v>42</v>
      </c>
      <c r="F1589" t="s">
        <v>11</v>
      </c>
      <c r="G1589">
        <v>0</v>
      </c>
    </row>
    <row r="1590" spans="1:7" x14ac:dyDescent="0.2">
      <c r="A1590" t="s">
        <v>859</v>
      </c>
      <c r="B1590" t="s">
        <v>6</v>
      </c>
      <c r="C1590" t="s">
        <v>7</v>
      </c>
      <c r="D1590" t="s">
        <v>43</v>
      </c>
      <c r="E1590" t="s">
        <v>44</v>
      </c>
      <c r="F1590" t="s">
        <v>11</v>
      </c>
      <c r="G1590">
        <v>0</v>
      </c>
    </row>
    <row r="1591" spans="1:7" x14ac:dyDescent="0.2">
      <c r="A1591" t="s">
        <v>859</v>
      </c>
      <c r="B1591" t="s">
        <v>6</v>
      </c>
      <c r="C1591" t="s">
        <v>7</v>
      </c>
      <c r="D1591" t="s">
        <v>45</v>
      </c>
      <c r="G1591">
        <v>26</v>
      </c>
    </row>
    <row r="1592" spans="1:7" x14ac:dyDescent="0.2">
      <c r="A1592" t="s">
        <v>859</v>
      </c>
      <c r="B1592" t="s">
        <v>6</v>
      </c>
      <c r="C1592" t="s">
        <v>7</v>
      </c>
      <c r="D1592" t="s">
        <v>46</v>
      </c>
      <c r="G1592">
        <v>29</v>
      </c>
    </row>
    <row r="1593" spans="1:7" x14ac:dyDescent="0.2">
      <c r="A1593" t="s">
        <v>859</v>
      </c>
      <c r="B1593" t="s">
        <v>47</v>
      </c>
      <c r="C1593" t="s">
        <v>48</v>
      </c>
      <c r="D1593" t="s">
        <v>8</v>
      </c>
      <c r="G1593">
        <v>7005</v>
      </c>
    </row>
    <row r="1594" spans="1:7" x14ac:dyDescent="0.2">
      <c r="A1594" t="s">
        <v>859</v>
      </c>
      <c r="B1594" t="s">
        <v>47</v>
      </c>
      <c r="C1594" t="s">
        <v>48</v>
      </c>
      <c r="D1594" t="s">
        <v>49</v>
      </c>
      <c r="E1594" t="s">
        <v>50</v>
      </c>
      <c r="F1594" t="s">
        <v>51</v>
      </c>
      <c r="G1594">
        <v>372</v>
      </c>
    </row>
    <row r="1595" spans="1:7" x14ac:dyDescent="0.2">
      <c r="A1595" t="s">
        <v>859</v>
      </c>
      <c r="B1595" t="s">
        <v>47</v>
      </c>
      <c r="C1595" t="s">
        <v>48</v>
      </c>
      <c r="D1595" t="s">
        <v>52</v>
      </c>
      <c r="E1595" t="s">
        <v>53</v>
      </c>
      <c r="F1595" t="s">
        <v>22</v>
      </c>
      <c r="G1595">
        <v>5506</v>
      </c>
    </row>
    <row r="1596" spans="1:7" x14ac:dyDescent="0.2">
      <c r="A1596" t="s">
        <v>859</v>
      </c>
      <c r="B1596" t="s">
        <v>47</v>
      </c>
      <c r="C1596" t="s">
        <v>48</v>
      </c>
      <c r="D1596" t="s">
        <v>54</v>
      </c>
      <c r="E1596" t="s">
        <v>55</v>
      </c>
      <c r="F1596" t="s">
        <v>28</v>
      </c>
      <c r="G1596">
        <v>911</v>
      </c>
    </row>
    <row r="1597" spans="1:7" x14ac:dyDescent="0.2">
      <c r="A1597" t="s">
        <v>859</v>
      </c>
      <c r="B1597" t="s">
        <v>47</v>
      </c>
      <c r="C1597" t="s">
        <v>48</v>
      </c>
      <c r="D1597" t="s">
        <v>56</v>
      </c>
      <c r="E1597" t="s">
        <v>57</v>
      </c>
      <c r="F1597" t="s">
        <v>11</v>
      </c>
      <c r="G1597">
        <v>3</v>
      </c>
    </row>
    <row r="1598" spans="1:7" x14ac:dyDescent="0.2">
      <c r="A1598" t="s">
        <v>859</v>
      </c>
      <c r="B1598" t="s">
        <v>47</v>
      </c>
      <c r="C1598" t="s">
        <v>48</v>
      </c>
      <c r="D1598" t="s">
        <v>45</v>
      </c>
      <c r="G1598">
        <v>2</v>
      </c>
    </row>
    <row r="1599" spans="1:7" x14ac:dyDescent="0.2">
      <c r="A1599" t="s">
        <v>859</v>
      </c>
      <c r="B1599" t="s">
        <v>47</v>
      </c>
      <c r="C1599" t="s">
        <v>48</v>
      </c>
      <c r="D1599" t="s">
        <v>46</v>
      </c>
      <c r="G1599">
        <v>171</v>
      </c>
    </row>
    <row r="1600" spans="1:7" x14ac:dyDescent="0.2">
      <c r="A1600" t="s">
        <v>859</v>
      </c>
      <c r="B1600" t="s">
        <v>58</v>
      </c>
      <c r="C1600" t="s">
        <v>59</v>
      </c>
      <c r="D1600" t="s">
        <v>8</v>
      </c>
      <c r="G1600">
        <v>7005</v>
      </c>
    </row>
    <row r="1601" spans="1:7" x14ac:dyDescent="0.2">
      <c r="A1601" t="s">
        <v>859</v>
      </c>
      <c r="B1601" t="s">
        <v>58</v>
      </c>
      <c r="C1601" t="s">
        <v>59</v>
      </c>
      <c r="D1601" t="s">
        <v>60</v>
      </c>
      <c r="E1601" t="s">
        <v>61</v>
      </c>
      <c r="F1601" t="s">
        <v>28</v>
      </c>
      <c r="G1601">
        <v>903</v>
      </c>
    </row>
    <row r="1602" spans="1:7" x14ac:dyDescent="0.2">
      <c r="A1602" t="s">
        <v>859</v>
      </c>
      <c r="B1602" t="s">
        <v>58</v>
      </c>
      <c r="C1602" t="s">
        <v>59</v>
      </c>
      <c r="D1602" t="s">
        <v>62</v>
      </c>
      <c r="E1602" t="s">
        <v>63</v>
      </c>
      <c r="F1602" t="s">
        <v>25</v>
      </c>
      <c r="G1602">
        <v>256</v>
      </c>
    </row>
    <row r="1603" spans="1:7" x14ac:dyDescent="0.2">
      <c r="A1603" t="s">
        <v>859</v>
      </c>
      <c r="B1603" t="s">
        <v>58</v>
      </c>
      <c r="C1603" t="s">
        <v>59</v>
      </c>
      <c r="D1603" t="s">
        <v>64</v>
      </c>
      <c r="E1603" t="s">
        <v>65</v>
      </c>
      <c r="F1603" t="s">
        <v>22</v>
      </c>
      <c r="G1603">
        <v>5575</v>
      </c>
    </row>
    <row r="1604" spans="1:7" x14ac:dyDescent="0.2">
      <c r="A1604" t="s">
        <v>859</v>
      </c>
      <c r="B1604" t="s">
        <v>58</v>
      </c>
      <c r="C1604" t="s">
        <v>59</v>
      </c>
      <c r="D1604" t="s">
        <v>45</v>
      </c>
      <c r="G1604">
        <v>2</v>
      </c>
    </row>
    <row r="1605" spans="1:7" x14ac:dyDescent="0.2">
      <c r="A1605" t="s">
        <v>859</v>
      </c>
      <c r="B1605" t="s">
        <v>58</v>
      </c>
      <c r="C1605" t="s">
        <v>59</v>
      </c>
      <c r="D1605" t="s">
        <v>46</v>
      </c>
      <c r="G1605">
        <v>269</v>
      </c>
    </row>
    <row r="1606" spans="1:7" x14ac:dyDescent="0.2">
      <c r="A1606" t="s">
        <v>859</v>
      </c>
      <c r="B1606" t="s">
        <v>93</v>
      </c>
      <c r="C1606" t="s">
        <v>94</v>
      </c>
      <c r="D1606" t="s">
        <v>8</v>
      </c>
      <c r="G1606">
        <v>7002</v>
      </c>
    </row>
    <row r="1607" spans="1:7" x14ac:dyDescent="0.2">
      <c r="A1607" t="s">
        <v>859</v>
      </c>
      <c r="B1607" t="s">
        <v>93</v>
      </c>
      <c r="C1607" t="s">
        <v>94</v>
      </c>
      <c r="D1607" t="s">
        <v>95</v>
      </c>
      <c r="E1607" t="s">
        <v>96</v>
      </c>
      <c r="F1607" t="s">
        <v>22</v>
      </c>
      <c r="G1607">
        <v>4293</v>
      </c>
    </row>
    <row r="1608" spans="1:7" x14ac:dyDescent="0.2">
      <c r="A1608" t="s">
        <v>859</v>
      </c>
      <c r="B1608" t="s">
        <v>93</v>
      </c>
      <c r="C1608" t="s">
        <v>94</v>
      </c>
      <c r="D1608" t="s">
        <v>97</v>
      </c>
      <c r="E1608" t="s">
        <v>98</v>
      </c>
      <c r="F1608" t="s">
        <v>51</v>
      </c>
      <c r="G1608">
        <v>130</v>
      </c>
    </row>
    <row r="1609" spans="1:7" x14ac:dyDescent="0.2">
      <c r="A1609" t="s">
        <v>859</v>
      </c>
      <c r="B1609" t="s">
        <v>93</v>
      </c>
      <c r="C1609" t="s">
        <v>94</v>
      </c>
      <c r="D1609" t="s">
        <v>99</v>
      </c>
      <c r="E1609" t="s">
        <v>100</v>
      </c>
      <c r="F1609" t="s">
        <v>28</v>
      </c>
      <c r="G1609">
        <v>772</v>
      </c>
    </row>
    <row r="1610" spans="1:7" x14ac:dyDescent="0.2">
      <c r="A1610" t="s">
        <v>859</v>
      </c>
      <c r="B1610" t="s">
        <v>93</v>
      </c>
      <c r="C1610" t="s">
        <v>94</v>
      </c>
      <c r="D1610" t="s">
        <v>101</v>
      </c>
      <c r="E1610" t="s">
        <v>102</v>
      </c>
      <c r="F1610" t="s">
        <v>25</v>
      </c>
      <c r="G1610">
        <v>216</v>
      </c>
    </row>
    <row r="1611" spans="1:7" x14ac:dyDescent="0.2">
      <c r="A1611" t="s">
        <v>859</v>
      </c>
      <c r="B1611" t="s">
        <v>93</v>
      </c>
      <c r="C1611" t="s">
        <v>94</v>
      </c>
      <c r="D1611" t="s">
        <v>103</v>
      </c>
      <c r="E1611" t="s">
        <v>104</v>
      </c>
      <c r="F1611" t="s">
        <v>11</v>
      </c>
      <c r="G1611">
        <v>18</v>
      </c>
    </row>
    <row r="1612" spans="1:7" x14ac:dyDescent="0.2">
      <c r="A1612" t="s">
        <v>859</v>
      </c>
      <c r="B1612" t="s">
        <v>93</v>
      </c>
      <c r="C1612" t="s">
        <v>94</v>
      </c>
      <c r="D1612" t="s">
        <v>105</v>
      </c>
      <c r="E1612" t="s">
        <v>106</v>
      </c>
      <c r="F1612" t="s">
        <v>11</v>
      </c>
      <c r="G1612">
        <v>1373</v>
      </c>
    </row>
    <row r="1613" spans="1:7" x14ac:dyDescent="0.2">
      <c r="A1613" t="s">
        <v>859</v>
      </c>
      <c r="B1613" t="s">
        <v>93</v>
      </c>
      <c r="C1613" t="s">
        <v>94</v>
      </c>
      <c r="D1613" t="s">
        <v>107</v>
      </c>
      <c r="E1613" t="s">
        <v>108</v>
      </c>
      <c r="F1613" t="s">
        <v>11</v>
      </c>
      <c r="G1613">
        <v>1</v>
      </c>
    </row>
    <row r="1614" spans="1:7" x14ac:dyDescent="0.2">
      <c r="A1614" t="s">
        <v>859</v>
      </c>
      <c r="B1614" t="s">
        <v>93</v>
      </c>
      <c r="C1614" t="s">
        <v>94</v>
      </c>
      <c r="D1614" t="s">
        <v>45</v>
      </c>
      <c r="G1614">
        <v>1</v>
      </c>
    </row>
    <row r="1615" spans="1:7" x14ac:dyDescent="0.2">
      <c r="A1615" t="s">
        <v>859</v>
      </c>
      <c r="B1615" t="s">
        <v>93</v>
      </c>
      <c r="C1615" t="s">
        <v>94</v>
      </c>
      <c r="D1615" t="s">
        <v>46</v>
      </c>
      <c r="G1615">
        <v>176</v>
      </c>
    </row>
    <row r="1616" spans="1:7" x14ac:dyDescent="0.2">
      <c r="A1616" t="s">
        <v>859</v>
      </c>
      <c r="B1616" t="s">
        <v>109</v>
      </c>
      <c r="C1616" t="s">
        <v>110</v>
      </c>
      <c r="D1616" t="s">
        <v>8</v>
      </c>
      <c r="G1616">
        <v>7002</v>
      </c>
    </row>
    <row r="1617" spans="1:7" x14ac:dyDescent="0.2">
      <c r="A1617" t="s">
        <v>859</v>
      </c>
      <c r="B1617" t="s">
        <v>109</v>
      </c>
      <c r="C1617" t="s">
        <v>110</v>
      </c>
      <c r="D1617" t="s">
        <v>111</v>
      </c>
      <c r="E1617" t="s">
        <v>112</v>
      </c>
      <c r="F1617" t="s">
        <v>22</v>
      </c>
      <c r="G1617">
        <v>5249</v>
      </c>
    </row>
    <row r="1618" spans="1:7" x14ac:dyDescent="0.2">
      <c r="A1618" t="s">
        <v>859</v>
      </c>
      <c r="B1618" t="s">
        <v>109</v>
      </c>
      <c r="C1618" t="s">
        <v>110</v>
      </c>
      <c r="D1618" t="s">
        <v>113</v>
      </c>
      <c r="E1618" t="s">
        <v>114</v>
      </c>
      <c r="F1618" t="s">
        <v>28</v>
      </c>
      <c r="G1618">
        <v>807</v>
      </c>
    </row>
    <row r="1619" spans="1:7" x14ac:dyDescent="0.2">
      <c r="A1619" t="s">
        <v>859</v>
      </c>
      <c r="B1619" t="s">
        <v>109</v>
      </c>
      <c r="C1619" t="s">
        <v>110</v>
      </c>
      <c r="D1619" t="s">
        <v>115</v>
      </c>
      <c r="E1619" t="s">
        <v>116</v>
      </c>
      <c r="F1619" t="s">
        <v>25</v>
      </c>
      <c r="G1619">
        <v>252</v>
      </c>
    </row>
    <row r="1620" spans="1:7" x14ac:dyDescent="0.2">
      <c r="A1620" t="s">
        <v>859</v>
      </c>
      <c r="B1620" t="s">
        <v>109</v>
      </c>
      <c r="C1620" t="s">
        <v>110</v>
      </c>
      <c r="D1620" t="s">
        <v>117</v>
      </c>
      <c r="E1620" t="s">
        <v>118</v>
      </c>
      <c r="F1620" t="s">
        <v>11</v>
      </c>
      <c r="G1620">
        <v>188</v>
      </c>
    </row>
    <row r="1621" spans="1:7" x14ac:dyDescent="0.2">
      <c r="A1621" t="s">
        <v>859</v>
      </c>
      <c r="B1621" t="s">
        <v>109</v>
      </c>
      <c r="C1621" t="s">
        <v>110</v>
      </c>
      <c r="D1621" t="s">
        <v>119</v>
      </c>
      <c r="E1621" t="s">
        <v>120</v>
      </c>
      <c r="F1621" t="s">
        <v>88</v>
      </c>
      <c r="G1621">
        <v>259</v>
      </c>
    </row>
    <row r="1622" spans="1:7" x14ac:dyDescent="0.2">
      <c r="A1622" t="s">
        <v>859</v>
      </c>
      <c r="B1622" t="s">
        <v>109</v>
      </c>
      <c r="C1622" t="s">
        <v>110</v>
      </c>
      <c r="D1622" t="s">
        <v>45</v>
      </c>
      <c r="G1622">
        <v>0</v>
      </c>
    </row>
    <row r="1623" spans="1:7" x14ac:dyDescent="0.2">
      <c r="A1623" t="s">
        <v>859</v>
      </c>
      <c r="B1623" t="s">
        <v>109</v>
      </c>
      <c r="C1623" t="s">
        <v>110</v>
      </c>
      <c r="D1623" t="s">
        <v>46</v>
      </c>
      <c r="G1623">
        <v>247</v>
      </c>
    </row>
    <row r="1624" spans="1:7" x14ac:dyDescent="0.2">
      <c r="A1624" t="s">
        <v>859</v>
      </c>
      <c r="B1624" t="s">
        <v>121</v>
      </c>
      <c r="C1624" t="s">
        <v>122</v>
      </c>
      <c r="D1624" t="s">
        <v>8</v>
      </c>
      <c r="G1624">
        <v>7002</v>
      </c>
    </row>
    <row r="1625" spans="1:7" x14ac:dyDescent="0.2">
      <c r="A1625" t="s">
        <v>859</v>
      </c>
      <c r="B1625" t="s">
        <v>121</v>
      </c>
      <c r="C1625" t="s">
        <v>122</v>
      </c>
      <c r="D1625" t="s">
        <v>123</v>
      </c>
      <c r="E1625" t="s">
        <v>124</v>
      </c>
      <c r="F1625" t="s">
        <v>22</v>
      </c>
      <c r="G1625">
        <v>4876</v>
      </c>
    </row>
    <row r="1626" spans="1:7" x14ac:dyDescent="0.2">
      <c r="A1626" t="s">
        <v>859</v>
      </c>
      <c r="B1626" t="s">
        <v>121</v>
      </c>
      <c r="C1626" t="s">
        <v>122</v>
      </c>
      <c r="D1626" t="s">
        <v>125</v>
      </c>
      <c r="E1626" t="s">
        <v>126</v>
      </c>
      <c r="F1626" t="s">
        <v>16</v>
      </c>
      <c r="G1626">
        <v>764</v>
      </c>
    </row>
    <row r="1627" spans="1:7" x14ac:dyDescent="0.2">
      <c r="A1627" t="s">
        <v>859</v>
      </c>
      <c r="B1627" t="s">
        <v>121</v>
      </c>
      <c r="C1627" t="s">
        <v>122</v>
      </c>
      <c r="D1627" t="s">
        <v>127</v>
      </c>
      <c r="E1627" t="s">
        <v>128</v>
      </c>
      <c r="F1627" t="s">
        <v>28</v>
      </c>
      <c r="G1627">
        <v>1042</v>
      </c>
    </row>
    <row r="1628" spans="1:7" x14ac:dyDescent="0.2">
      <c r="A1628" t="s">
        <v>859</v>
      </c>
      <c r="B1628" t="s">
        <v>121</v>
      </c>
      <c r="C1628" t="s">
        <v>122</v>
      </c>
      <c r="D1628" t="s">
        <v>45</v>
      </c>
      <c r="G1628">
        <v>1</v>
      </c>
    </row>
    <row r="1629" spans="1:7" x14ac:dyDescent="0.2">
      <c r="A1629" t="s">
        <v>859</v>
      </c>
      <c r="B1629" t="s">
        <v>121</v>
      </c>
      <c r="C1629" t="s">
        <v>122</v>
      </c>
      <c r="D1629" t="s">
        <v>46</v>
      </c>
      <c r="G1629">
        <v>319</v>
      </c>
    </row>
    <row r="1630" spans="1:7" x14ac:dyDescent="0.2">
      <c r="A1630" t="s">
        <v>859</v>
      </c>
      <c r="B1630" t="s">
        <v>129</v>
      </c>
      <c r="C1630" t="s">
        <v>130</v>
      </c>
      <c r="D1630" t="s">
        <v>8</v>
      </c>
      <c r="G1630">
        <v>7002</v>
      </c>
    </row>
    <row r="1631" spans="1:7" x14ac:dyDescent="0.2">
      <c r="A1631" t="s">
        <v>859</v>
      </c>
      <c r="B1631" t="s">
        <v>129</v>
      </c>
      <c r="C1631" t="s">
        <v>130</v>
      </c>
      <c r="D1631" t="s">
        <v>131</v>
      </c>
      <c r="E1631" t="s">
        <v>132</v>
      </c>
      <c r="F1631" t="s">
        <v>133</v>
      </c>
      <c r="G1631">
        <v>241</v>
      </c>
    </row>
    <row r="1632" spans="1:7" x14ac:dyDescent="0.2">
      <c r="A1632" t="s">
        <v>859</v>
      </c>
      <c r="B1632" t="s">
        <v>129</v>
      </c>
      <c r="C1632" t="s">
        <v>130</v>
      </c>
      <c r="D1632" t="s">
        <v>134</v>
      </c>
      <c r="E1632" t="s">
        <v>135</v>
      </c>
      <c r="F1632" t="s">
        <v>22</v>
      </c>
      <c r="G1632">
        <v>5452</v>
      </c>
    </row>
    <row r="1633" spans="1:7" x14ac:dyDescent="0.2">
      <c r="A1633" t="s">
        <v>859</v>
      </c>
      <c r="B1633" t="s">
        <v>129</v>
      </c>
      <c r="C1633" t="s">
        <v>130</v>
      </c>
      <c r="D1633" t="s">
        <v>136</v>
      </c>
      <c r="E1633" t="s">
        <v>137</v>
      </c>
      <c r="F1633" t="s">
        <v>28</v>
      </c>
      <c r="G1633">
        <v>903</v>
      </c>
    </row>
    <row r="1634" spans="1:7" x14ac:dyDescent="0.2">
      <c r="A1634" t="s">
        <v>859</v>
      </c>
      <c r="B1634" t="s">
        <v>129</v>
      </c>
      <c r="C1634" t="s">
        <v>130</v>
      </c>
      <c r="D1634" t="s">
        <v>45</v>
      </c>
      <c r="G1634">
        <v>1</v>
      </c>
    </row>
    <row r="1635" spans="1:7" x14ac:dyDescent="0.2">
      <c r="A1635" t="s">
        <v>859</v>
      </c>
      <c r="B1635" t="s">
        <v>129</v>
      </c>
      <c r="C1635" t="s">
        <v>130</v>
      </c>
      <c r="D1635" t="s">
        <v>46</v>
      </c>
      <c r="G1635">
        <v>405</v>
      </c>
    </row>
    <row r="1636" spans="1:7" x14ac:dyDescent="0.2">
      <c r="A1636" t="s">
        <v>859</v>
      </c>
      <c r="B1636" t="s">
        <v>144</v>
      </c>
      <c r="C1636" t="s">
        <v>145</v>
      </c>
      <c r="D1636" t="s">
        <v>8</v>
      </c>
      <c r="G1636">
        <v>2773</v>
      </c>
    </row>
    <row r="1637" spans="1:7" x14ac:dyDescent="0.2">
      <c r="A1637" t="s">
        <v>859</v>
      </c>
      <c r="B1637" t="s">
        <v>144</v>
      </c>
      <c r="C1637" t="s">
        <v>145</v>
      </c>
      <c r="D1637" t="s">
        <v>146</v>
      </c>
      <c r="E1637" t="s">
        <v>147</v>
      </c>
      <c r="F1637" t="s">
        <v>28</v>
      </c>
      <c r="G1637">
        <v>438</v>
      </c>
    </row>
    <row r="1638" spans="1:7" x14ac:dyDescent="0.2">
      <c r="A1638" t="s">
        <v>859</v>
      </c>
      <c r="B1638" t="s">
        <v>144</v>
      </c>
      <c r="C1638" t="s">
        <v>145</v>
      </c>
      <c r="D1638" t="s">
        <v>148</v>
      </c>
      <c r="E1638" t="s">
        <v>149</v>
      </c>
      <c r="F1638" t="s">
        <v>22</v>
      </c>
      <c r="G1638">
        <v>2193</v>
      </c>
    </row>
    <row r="1639" spans="1:7" x14ac:dyDescent="0.2">
      <c r="A1639" t="s">
        <v>859</v>
      </c>
      <c r="B1639" t="s">
        <v>144</v>
      </c>
      <c r="C1639" t="s">
        <v>145</v>
      </c>
      <c r="D1639" t="s">
        <v>45</v>
      </c>
      <c r="G1639">
        <v>0</v>
      </c>
    </row>
    <row r="1640" spans="1:7" x14ac:dyDescent="0.2">
      <c r="A1640" t="s">
        <v>859</v>
      </c>
      <c r="B1640" t="s">
        <v>144</v>
      </c>
      <c r="C1640" t="s">
        <v>145</v>
      </c>
      <c r="D1640" t="s">
        <v>46</v>
      </c>
      <c r="G1640">
        <v>142</v>
      </c>
    </row>
    <row r="1641" spans="1:7" x14ac:dyDescent="0.2">
      <c r="A1641" t="s">
        <v>859</v>
      </c>
      <c r="B1641" t="s">
        <v>246</v>
      </c>
      <c r="C1641" t="s">
        <v>247</v>
      </c>
      <c r="D1641" t="s">
        <v>8</v>
      </c>
      <c r="G1641">
        <v>6226</v>
      </c>
    </row>
    <row r="1642" spans="1:7" x14ac:dyDescent="0.2">
      <c r="A1642" t="s">
        <v>859</v>
      </c>
      <c r="B1642" t="s">
        <v>246</v>
      </c>
      <c r="C1642" t="s">
        <v>247</v>
      </c>
      <c r="D1642" t="s">
        <v>248</v>
      </c>
      <c r="E1642" t="s">
        <v>249</v>
      </c>
      <c r="F1642" t="s">
        <v>22</v>
      </c>
      <c r="G1642">
        <v>4804</v>
      </c>
    </row>
    <row r="1643" spans="1:7" x14ac:dyDescent="0.2">
      <c r="A1643" t="s">
        <v>859</v>
      </c>
      <c r="B1643" t="s">
        <v>246</v>
      </c>
      <c r="C1643" t="s">
        <v>247</v>
      </c>
      <c r="D1643" t="s">
        <v>250</v>
      </c>
      <c r="E1643" t="s">
        <v>251</v>
      </c>
      <c r="F1643" t="s">
        <v>28</v>
      </c>
      <c r="G1643">
        <v>1100</v>
      </c>
    </row>
    <row r="1644" spans="1:7" x14ac:dyDescent="0.2">
      <c r="A1644" t="s">
        <v>859</v>
      </c>
      <c r="B1644" t="s">
        <v>246</v>
      </c>
      <c r="C1644" t="s">
        <v>247</v>
      </c>
      <c r="D1644" t="s">
        <v>45</v>
      </c>
      <c r="G1644">
        <v>0</v>
      </c>
    </row>
    <row r="1645" spans="1:7" x14ac:dyDescent="0.2">
      <c r="A1645" t="s">
        <v>859</v>
      </c>
      <c r="B1645" t="s">
        <v>246</v>
      </c>
      <c r="C1645" t="s">
        <v>247</v>
      </c>
      <c r="D1645" t="s">
        <v>46</v>
      </c>
      <c r="G1645">
        <v>322</v>
      </c>
    </row>
    <row r="1646" spans="1:7" x14ac:dyDescent="0.2">
      <c r="A1646" t="s">
        <v>859</v>
      </c>
      <c r="B1646" t="s">
        <v>266</v>
      </c>
      <c r="C1646" t="s">
        <v>267</v>
      </c>
      <c r="D1646" t="s">
        <v>8</v>
      </c>
      <c r="G1646">
        <v>776</v>
      </c>
    </row>
    <row r="1647" spans="1:7" x14ac:dyDescent="0.2">
      <c r="A1647" t="s">
        <v>859</v>
      </c>
      <c r="B1647" t="s">
        <v>266</v>
      </c>
      <c r="C1647" t="s">
        <v>267</v>
      </c>
      <c r="D1647" t="s">
        <v>268</v>
      </c>
      <c r="E1647" t="s">
        <v>269</v>
      </c>
      <c r="F1647" t="s">
        <v>22</v>
      </c>
      <c r="G1647">
        <v>597</v>
      </c>
    </row>
    <row r="1648" spans="1:7" x14ac:dyDescent="0.2">
      <c r="A1648" t="s">
        <v>859</v>
      </c>
      <c r="B1648" t="s">
        <v>266</v>
      </c>
      <c r="C1648" t="s">
        <v>267</v>
      </c>
      <c r="D1648" t="s">
        <v>45</v>
      </c>
      <c r="G1648">
        <v>0</v>
      </c>
    </row>
    <row r="1649" spans="1:7" x14ac:dyDescent="0.2">
      <c r="A1649" t="s">
        <v>859</v>
      </c>
      <c r="B1649" t="s">
        <v>266</v>
      </c>
      <c r="C1649" t="s">
        <v>267</v>
      </c>
      <c r="D1649" t="s">
        <v>46</v>
      </c>
      <c r="G1649">
        <v>179</v>
      </c>
    </row>
    <row r="1650" spans="1:7" x14ac:dyDescent="0.2">
      <c r="A1650" t="s">
        <v>859</v>
      </c>
      <c r="B1650" t="s">
        <v>692</v>
      </c>
      <c r="C1650" t="s">
        <v>693</v>
      </c>
      <c r="D1650" t="s">
        <v>8</v>
      </c>
      <c r="G1650">
        <v>7002</v>
      </c>
    </row>
    <row r="1651" spans="1:7" x14ac:dyDescent="0.2">
      <c r="A1651" t="s">
        <v>859</v>
      </c>
      <c r="B1651" t="s">
        <v>692</v>
      </c>
      <c r="C1651" t="s">
        <v>693</v>
      </c>
      <c r="D1651" t="s">
        <v>694</v>
      </c>
      <c r="E1651" t="s">
        <v>695</v>
      </c>
      <c r="G1651">
        <v>4645</v>
      </c>
    </row>
    <row r="1652" spans="1:7" x14ac:dyDescent="0.2">
      <c r="A1652" t="s">
        <v>859</v>
      </c>
      <c r="B1652" t="s">
        <v>692</v>
      </c>
      <c r="C1652" t="s">
        <v>693</v>
      </c>
      <c r="D1652" t="s">
        <v>696</v>
      </c>
      <c r="E1652" t="s">
        <v>697</v>
      </c>
      <c r="G1652">
        <v>1109</v>
      </c>
    </row>
    <row r="1653" spans="1:7" x14ac:dyDescent="0.2">
      <c r="A1653" t="s">
        <v>859</v>
      </c>
      <c r="B1653" t="s">
        <v>692</v>
      </c>
      <c r="C1653" t="s">
        <v>693</v>
      </c>
      <c r="D1653" t="s">
        <v>45</v>
      </c>
      <c r="G1653">
        <v>4</v>
      </c>
    </row>
    <row r="1654" spans="1:7" x14ac:dyDescent="0.2">
      <c r="A1654" t="s">
        <v>859</v>
      </c>
      <c r="B1654" t="s">
        <v>692</v>
      </c>
      <c r="C1654" t="s">
        <v>693</v>
      </c>
      <c r="D1654" t="s">
        <v>46</v>
      </c>
      <c r="G1654">
        <v>1244</v>
      </c>
    </row>
    <row r="1655" spans="1:7" x14ac:dyDescent="0.2">
      <c r="A1655" t="s">
        <v>859</v>
      </c>
      <c r="B1655" t="s">
        <v>698</v>
      </c>
      <c r="C1655" t="s">
        <v>699</v>
      </c>
      <c r="D1655" t="s">
        <v>8</v>
      </c>
      <c r="G1655">
        <v>7002</v>
      </c>
    </row>
    <row r="1656" spans="1:7" x14ac:dyDescent="0.2">
      <c r="A1656" t="s">
        <v>859</v>
      </c>
      <c r="B1656" t="s">
        <v>698</v>
      </c>
      <c r="C1656" t="s">
        <v>699</v>
      </c>
      <c r="D1656" t="s">
        <v>694</v>
      </c>
      <c r="E1656" t="s">
        <v>700</v>
      </c>
      <c r="G1656">
        <v>4527</v>
      </c>
    </row>
    <row r="1657" spans="1:7" x14ac:dyDescent="0.2">
      <c r="A1657" t="s">
        <v>859</v>
      </c>
      <c r="B1657" t="s">
        <v>698</v>
      </c>
      <c r="C1657" t="s">
        <v>699</v>
      </c>
      <c r="D1657" t="s">
        <v>696</v>
      </c>
      <c r="E1657" t="s">
        <v>701</v>
      </c>
      <c r="G1657">
        <v>1152</v>
      </c>
    </row>
    <row r="1658" spans="1:7" x14ac:dyDescent="0.2">
      <c r="A1658" t="s">
        <v>859</v>
      </c>
      <c r="B1658" t="s">
        <v>698</v>
      </c>
      <c r="C1658" t="s">
        <v>699</v>
      </c>
      <c r="D1658" t="s">
        <v>45</v>
      </c>
      <c r="G1658">
        <v>2</v>
      </c>
    </row>
    <row r="1659" spans="1:7" x14ac:dyDescent="0.2">
      <c r="A1659" t="s">
        <v>859</v>
      </c>
      <c r="B1659" t="s">
        <v>698</v>
      </c>
      <c r="C1659" t="s">
        <v>699</v>
      </c>
      <c r="D1659" t="s">
        <v>46</v>
      </c>
      <c r="G1659">
        <v>1321</v>
      </c>
    </row>
    <row r="1660" spans="1:7" x14ac:dyDescent="0.2">
      <c r="A1660" t="s">
        <v>859</v>
      </c>
      <c r="B1660" t="s">
        <v>710</v>
      </c>
      <c r="C1660" t="s">
        <v>711</v>
      </c>
      <c r="D1660" t="s">
        <v>8</v>
      </c>
      <c r="G1660">
        <v>7002</v>
      </c>
    </row>
    <row r="1661" spans="1:7" x14ac:dyDescent="0.2">
      <c r="A1661" t="s">
        <v>859</v>
      </c>
      <c r="B1661" t="s">
        <v>710</v>
      </c>
      <c r="C1661" t="s">
        <v>711</v>
      </c>
      <c r="D1661" t="s">
        <v>694</v>
      </c>
      <c r="E1661" t="s">
        <v>712</v>
      </c>
      <c r="G1661">
        <v>4409</v>
      </c>
    </row>
    <row r="1662" spans="1:7" x14ac:dyDescent="0.2">
      <c r="A1662" t="s">
        <v>859</v>
      </c>
      <c r="B1662" t="s">
        <v>710</v>
      </c>
      <c r="C1662" t="s">
        <v>711</v>
      </c>
      <c r="D1662" t="s">
        <v>696</v>
      </c>
      <c r="E1662" t="s">
        <v>713</v>
      </c>
      <c r="G1662">
        <v>1265</v>
      </c>
    </row>
    <row r="1663" spans="1:7" x14ac:dyDescent="0.2">
      <c r="A1663" t="s">
        <v>859</v>
      </c>
      <c r="B1663" t="s">
        <v>710</v>
      </c>
      <c r="C1663" t="s">
        <v>711</v>
      </c>
      <c r="D1663" t="s">
        <v>45</v>
      </c>
      <c r="G1663">
        <v>0</v>
      </c>
    </row>
    <row r="1664" spans="1:7" x14ac:dyDescent="0.2">
      <c r="A1664" t="s">
        <v>859</v>
      </c>
      <c r="B1664" t="s">
        <v>710</v>
      </c>
      <c r="C1664" t="s">
        <v>711</v>
      </c>
      <c r="D1664" t="s">
        <v>46</v>
      </c>
      <c r="G1664">
        <v>1328</v>
      </c>
    </row>
    <row r="1665" spans="1:7" x14ac:dyDescent="0.2">
      <c r="A1665" t="s">
        <v>859</v>
      </c>
      <c r="B1665" t="s">
        <v>714</v>
      </c>
      <c r="C1665" t="s">
        <v>715</v>
      </c>
      <c r="D1665" t="s">
        <v>8</v>
      </c>
      <c r="G1665">
        <v>7002</v>
      </c>
    </row>
    <row r="1666" spans="1:7" x14ac:dyDescent="0.2">
      <c r="A1666" t="s">
        <v>859</v>
      </c>
      <c r="B1666" t="s">
        <v>714</v>
      </c>
      <c r="C1666" t="s">
        <v>715</v>
      </c>
      <c r="D1666" t="s">
        <v>694</v>
      </c>
      <c r="E1666" t="s">
        <v>716</v>
      </c>
      <c r="G1666">
        <v>4419</v>
      </c>
    </row>
    <row r="1667" spans="1:7" x14ac:dyDescent="0.2">
      <c r="A1667" t="s">
        <v>859</v>
      </c>
      <c r="B1667" t="s">
        <v>714</v>
      </c>
      <c r="C1667" t="s">
        <v>715</v>
      </c>
      <c r="D1667" t="s">
        <v>696</v>
      </c>
      <c r="E1667" t="s">
        <v>717</v>
      </c>
      <c r="G1667">
        <v>1265</v>
      </c>
    </row>
    <row r="1668" spans="1:7" x14ac:dyDescent="0.2">
      <c r="A1668" t="s">
        <v>859</v>
      </c>
      <c r="B1668" t="s">
        <v>714</v>
      </c>
      <c r="C1668" t="s">
        <v>715</v>
      </c>
      <c r="D1668" t="s">
        <v>45</v>
      </c>
      <c r="G1668">
        <v>0</v>
      </c>
    </row>
    <row r="1669" spans="1:7" x14ac:dyDescent="0.2">
      <c r="A1669" t="s">
        <v>859</v>
      </c>
      <c r="B1669" t="s">
        <v>714</v>
      </c>
      <c r="C1669" t="s">
        <v>715</v>
      </c>
      <c r="D1669" t="s">
        <v>46</v>
      </c>
      <c r="G1669">
        <v>1318</v>
      </c>
    </row>
    <row r="1670" spans="1:7" x14ac:dyDescent="0.2">
      <c r="A1670" t="s">
        <v>859</v>
      </c>
      <c r="B1670" t="s">
        <v>718</v>
      </c>
      <c r="C1670" t="s">
        <v>719</v>
      </c>
      <c r="D1670" t="s">
        <v>8</v>
      </c>
      <c r="G1670">
        <v>7002</v>
      </c>
    </row>
    <row r="1671" spans="1:7" x14ac:dyDescent="0.2">
      <c r="A1671" t="s">
        <v>859</v>
      </c>
      <c r="B1671" t="s">
        <v>718</v>
      </c>
      <c r="C1671" t="s">
        <v>719</v>
      </c>
      <c r="D1671" t="s">
        <v>694</v>
      </c>
      <c r="E1671" t="s">
        <v>720</v>
      </c>
      <c r="G1671">
        <v>4346</v>
      </c>
    </row>
    <row r="1672" spans="1:7" x14ac:dyDescent="0.2">
      <c r="A1672" t="s">
        <v>859</v>
      </c>
      <c r="B1672" t="s">
        <v>718</v>
      </c>
      <c r="C1672" t="s">
        <v>719</v>
      </c>
      <c r="D1672" t="s">
        <v>696</v>
      </c>
      <c r="E1672" t="s">
        <v>721</v>
      </c>
      <c r="G1672">
        <v>1341</v>
      </c>
    </row>
    <row r="1673" spans="1:7" x14ac:dyDescent="0.2">
      <c r="A1673" t="s">
        <v>859</v>
      </c>
      <c r="B1673" t="s">
        <v>718</v>
      </c>
      <c r="C1673" t="s">
        <v>719</v>
      </c>
      <c r="D1673" t="s">
        <v>45</v>
      </c>
      <c r="G1673">
        <v>4</v>
      </c>
    </row>
    <row r="1674" spans="1:7" x14ac:dyDescent="0.2">
      <c r="A1674" t="s">
        <v>859</v>
      </c>
      <c r="B1674" t="s">
        <v>718</v>
      </c>
      <c r="C1674" t="s">
        <v>719</v>
      </c>
      <c r="D1674" t="s">
        <v>46</v>
      </c>
      <c r="G1674">
        <v>1311</v>
      </c>
    </row>
    <row r="1675" spans="1:7" x14ac:dyDescent="0.2">
      <c r="A1675" t="s">
        <v>859</v>
      </c>
      <c r="B1675" t="s">
        <v>722</v>
      </c>
      <c r="C1675" t="s">
        <v>723</v>
      </c>
      <c r="D1675" t="s">
        <v>8</v>
      </c>
      <c r="G1675">
        <v>7002</v>
      </c>
    </row>
    <row r="1676" spans="1:7" x14ac:dyDescent="0.2">
      <c r="A1676" t="s">
        <v>859</v>
      </c>
      <c r="B1676" t="s">
        <v>722</v>
      </c>
      <c r="C1676" t="s">
        <v>723</v>
      </c>
      <c r="D1676" t="s">
        <v>694</v>
      </c>
      <c r="E1676" t="s">
        <v>724</v>
      </c>
      <c r="G1676">
        <v>4540</v>
      </c>
    </row>
    <row r="1677" spans="1:7" x14ac:dyDescent="0.2">
      <c r="A1677" t="s">
        <v>859</v>
      </c>
      <c r="B1677" t="s">
        <v>722</v>
      </c>
      <c r="C1677" t="s">
        <v>723</v>
      </c>
      <c r="D1677" t="s">
        <v>696</v>
      </c>
      <c r="E1677" t="s">
        <v>725</v>
      </c>
      <c r="G1677">
        <v>1123</v>
      </c>
    </row>
    <row r="1678" spans="1:7" x14ac:dyDescent="0.2">
      <c r="A1678" t="s">
        <v>859</v>
      </c>
      <c r="B1678" t="s">
        <v>722</v>
      </c>
      <c r="C1678" t="s">
        <v>723</v>
      </c>
      <c r="D1678" t="s">
        <v>45</v>
      </c>
      <c r="G1678">
        <v>4</v>
      </c>
    </row>
    <row r="1679" spans="1:7" x14ac:dyDescent="0.2">
      <c r="A1679" t="s">
        <v>859</v>
      </c>
      <c r="B1679" t="s">
        <v>722</v>
      </c>
      <c r="C1679" t="s">
        <v>723</v>
      </c>
      <c r="D1679" t="s">
        <v>46</v>
      </c>
      <c r="G1679">
        <v>1335</v>
      </c>
    </row>
    <row r="1680" spans="1:7" x14ac:dyDescent="0.2">
      <c r="A1680" t="s">
        <v>859</v>
      </c>
      <c r="B1680" t="s">
        <v>726</v>
      </c>
      <c r="C1680" t="s">
        <v>727</v>
      </c>
      <c r="D1680" t="s">
        <v>8</v>
      </c>
      <c r="G1680">
        <v>7002</v>
      </c>
    </row>
    <row r="1681" spans="1:7" x14ac:dyDescent="0.2">
      <c r="A1681" t="s">
        <v>859</v>
      </c>
      <c r="B1681" t="s">
        <v>726</v>
      </c>
      <c r="C1681" t="s">
        <v>727</v>
      </c>
      <c r="D1681" t="s">
        <v>694</v>
      </c>
      <c r="E1681" t="s">
        <v>728</v>
      </c>
      <c r="G1681">
        <v>4530</v>
      </c>
    </row>
    <row r="1682" spans="1:7" x14ac:dyDescent="0.2">
      <c r="A1682" t="s">
        <v>859</v>
      </c>
      <c r="B1682" t="s">
        <v>726</v>
      </c>
      <c r="C1682" t="s">
        <v>727</v>
      </c>
      <c r="D1682" t="s">
        <v>696</v>
      </c>
      <c r="E1682" t="s">
        <v>729</v>
      </c>
      <c r="G1682">
        <v>1142</v>
      </c>
    </row>
    <row r="1683" spans="1:7" x14ac:dyDescent="0.2">
      <c r="A1683" t="s">
        <v>859</v>
      </c>
      <c r="B1683" t="s">
        <v>726</v>
      </c>
      <c r="C1683" t="s">
        <v>727</v>
      </c>
      <c r="D1683" t="s">
        <v>45</v>
      </c>
      <c r="G1683">
        <v>0</v>
      </c>
    </row>
    <row r="1684" spans="1:7" x14ac:dyDescent="0.2">
      <c r="A1684" t="s">
        <v>859</v>
      </c>
      <c r="B1684" t="s">
        <v>726</v>
      </c>
      <c r="C1684" t="s">
        <v>727</v>
      </c>
      <c r="D1684" t="s">
        <v>46</v>
      </c>
      <c r="G1684">
        <v>1330</v>
      </c>
    </row>
    <row r="1685" spans="1:7" x14ac:dyDescent="0.2">
      <c r="A1685" t="s">
        <v>859</v>
      </c>
      <c r="B1685" t="s">
        <v>806</v>
      </c>
      <c r="C1685" t="s">
        <v>807</v>
      </c>
      <c r="D1685" t="s">
        <v>8</v>
      </c>
      <c r="G1685">
        <v>7002</v>
      </c>
    </row>
    <row r="1686" spans="1:7" x14ac:dyDescent="0.2">
      <c r="A1686" t="s">
        <v>859</v>
      </c>
      <c r="B1686" t="s">
        <v>806</v>
      </c>
      <c r="C1686" t="s">
        <v>807</v>
      </c>
      <c r="D1686" t="s">
        <v>694</v>
      </c>
      <c r="E1686" t="s">
        <v>808</v>
      </c>
      <c r="G1686">
        <v>4490</v>
      </c>
    </row>
    <row r="1687" spans="1:7" x14ac:dyDescent="0.2">
      <c r="A1687" t="s">
        <v>859</v>
      </c>
      <c r="B1687" t="s">
        <v>806</v>
      </c>
      <c r="C1687" t="s">
        <v>807</v>
      </c>
      <c r="D1687" t="s">
        <v>696</v>
      </c>
      <c r="E1687" t="s">
        <v>809</v>
      </c>
      <c r="G1687">
        <v>1184</v>
      </c>
    </row>
    <row r="1688" spans="1:7" x14ac:dyDescent="0.2">
      <c r="A1688" t="s">
        <v>859</v>
      </c>
      <c r="B1688" t="s">
        <v>806</v>
      </c>
      <c r="C1688" t="s">
        <v>807</v>
      </c>
      <c r="D1688" t="s">
        <v>45</v>
      </c>
      <c r="G1688">
        <v>6</v>
      </c>
    </row>
    <row r="1689" spans="1:7" x14ac:dyDescent="0.2">
      <c r="A1689" t="s">
        <v>859</v>
      </c>
      <c r="B1689" t="s">
        <v>806</v>
      </c>
      <c r="C1689" t="s">
        <v>807</v>
      </c>
      <c r="D1689" t="s">
        <v>46</v>
      </c>
      <c r="G1689">
        <v>1322</v>
      </c>
    </row>
    <row r="1690" spans="1:7" x14ac:dyDescent="0.2">
      <c r="A1690" t="s">
        <v>859</v>
      </c>
      <c r="B1690" t="s">
        <v>834</v>
      </c>
      <c r="C1690" t="s">
        <v>835</v>
      </c>
      <c r="D1690" t="s">
        <v>8</v>
      </c>
      <c r="G1690">
        <v>7002</v>
      </c>
    </row>
    <row r="1691" spans="1:7" x14ac:dyDescent="0.2">
      <c r="A1691" t="s">
        <v>859</v>
      </c>
      <c r="B1691" t="s">
        <v>834</v>
      </c>
      <c r="C1691" t="s">
        <v>835</v>
      </c>
      <c r="D1691" t="s">
        <v>836</v>
      </c>
      <c r="E1691" t="s">
        <v>837</v>
      </c>
      <c r="G1691">
        <v>4363</v>
      </c>
    </row>
    <row r="1692" spans="1:7" x14ac:dyDescent="0.2">
      <c r="A1692" t="s">
        <v>859</v>
      </c>
      <c r="B1692" t="s">
        <v>834</v>
      </c>
      <c r="C1692" t="s">
        <v>835</v>
      </c>
      <c r="D1692" t="s">
        <v>838</v>
      </c>
      <c r="E1692" t="s">
        <v>839</v>
      </c>
      <c r="G1692">
        <v>2171</v>
      </c>
    </row>
    <row r="1693" spans="1:7" x14ac:dyDescent="0.2">
      <c r="A1693" t="s">
        <v>859</v>
      </c>
      <c r="B1693" t="s">
        <v>834</v>
      </c>
      <c r="C1693" t="s">
        <v>835</v>
      </c>
      <c r="D1693" t="s">
        <v>45</v>
      </c>
      <c r="G1693">
        <v>1</v>
      </c>
    </row>
    <row r="1694" spans="1:7" x14ac:dyDescent="0.2">
      <c r="A1694" t="s">
        <v>859</v>
      </c>
      <c r="B1694" t="s">
        <v>834</v>
      </c>
      <c r="C1694" t="s">
        <v>835</v>
      </c>
      <c r="D1694" t="s">
        <v>46</v>
      </c>
      <c r="G1694">
        <v>467</v>
      </c>
    </row>
    <row r="1695" spans="1:7" x14ac:dyDescent="0.2">
      <c r="A1695" t="s">
        <v>859</v>
      </c>
      <c r="B1695" t="s">
        <v>840</v>
      </c>
      <c r="C1695" t="s">
        <v>841</v>
      </c>
      <c r="D1695" t="s">
        <v>8</v>
      </c>
      <c r="G1695">
        <v>7002</v>
      </c>
    </row>
    <row r="1696" spans="1:7" x14ac:dyDescent="0.2">
      <c r="A1696" t="s">
        <v>859</v>
      </c>
      <c r="B1696" t="s">
        <v>840</v>
      </c>
      <c r="C1696" t="s">
        <v>841</v>
      </c>
      <c r="D1696" t="s">
        <v>836</v>
      </c>
      <c r="E1696" t="s">
        <v>842</v>
      </c>
      <c r="G1696">
        <v>5807</v>
      </c>
    </row>
    <row r="1697" spans="1:7" x14ac:dyDescent="0.2">
      <c r="A1697" t="s">
        <v>859</v>
      </c>
      <c r="B1697" t="s">
        <v>840</v>
      </c>
      <c r="C1697" t="s">
        <v>841</v>
      </c>
      <c r="D1697" t="s">
        <v>838</v>
      </c>
      <c r="E1697" t="s">
        <v>843</v>
      </c>
      <c r="G1697">
        <v>791</v>
      </c>
    </row>
    <row r="1698" spans="1:7" x14ac:dyDescent="0.2">
      <c r="A1698" t="s">
        <v>859</v>
      </c>
      <c r="B1698" t="s">
        <v>840</v>
      </c>
      <c r="C1698" t="s">
        <v>841</v>
      </c>
      <c r="D1698" t="s">
        <v>45</v>
      </c>
      <c r="G1698">
        <v>0</v>
      </c>
    </row>
    <row r="1699" spans="1:7" x14ac:dyDescent="0.2">
      <c r="A1699" t="s">
        <v>859</v>
      </c>
      <c r="B1699" t="s">
        <v>840</v>
      </c>
      <c r="C1699" t="s">
        <v>841</v>
      </c>
      <c r="D1699" t="s">
        <v>46</v>
      </c>
      <c r="G1699">
        <v>404</v>
      </c>
    </row>
    <row r="1700" spans="1:7" x14ac:dyDescent="0.2">
      <c r="A1700" t="s">
        <v>860</v>
      </c>
      <c r="B1700" t="s">
        <v>6</v>
      </c>
      <c r="C1700" t="s">
        <v>7</v>
      </c>
      <c r="D1700" t="s">
        <v>8</v>
      </c>
      <c r="G1700">
        <v>977</v>
      </c>
    </row>
    <row r="1701" spans="1:7" x14ac:dyDescent="0.2">
      <c r="A1701" t="s">
        <v>860</v>
      </c>
      <c r="B1701" t="s">
        <v>6</v>
      </c>
      <c r="C1701" t="s">
        <v>7</v>
      </c>
      <c r="D1701" t="s">
        <v>9</v>
      </c>
      <c r="E1701" t="s">
        <v>10</v>
      </c>
      <c r="F1701" t="s">
        <v>11</v>
      </c>
      <c r="G1701">
        <v>0</v>
      </c>
    </row>
    <row r="1702" spans="1:7" x14ac:dyDescent="0.2">
      <c r="A1702" t="s">
        <v>860</v>
      </c>
      <c r="B1702" t="s">
        <v>6</v>
      </c>
      <c r="C1702" t="s">
        <v>7</v>
      </c>
      <c r="D1702" t="s">
        <v>12</v>
      </c>
      <c r="E1702" t="s">
        <v>13</v>
      </c>
      <c r="F1702" t="s">
        <v>11</v>
      </c>
      <c r="G1702">
        <v>2</v>
      </c>
    </row>
    <row r="1703" spans="1:7" x14ac:dyDescent="0.2">
      <c r="A1703" t="s">
        <v>860</v>
      </c>
      <c r="B1703" t="s">
        <v>6</v>
      </c>
      <c r="C1703" t="s">
        <v>7</v>
      </c>
      <c r="D1703" t="s">
        <v>14</v>
      </c>
      <c r="E1703" t="s">
        <v>15</v>
      </c>
      <c r="F1703" t="s">
        <v>16</v>
      </c>
      <c r="G1703">
        <v>6</v>
      </c>
    </row>
    <row r="1704" spans="1:7" x14ac:dyDescent="0.2">
      <c r="A1704" t="s">
        <v>860</v>
      </c>
      <c r="B1704" t="s">
        <v>6</v>
      </c>
      <c r="C1704" t="s">
        <v>7</v>
      </c>
      <c r="D1704" t="s">
        <v>17</v>
      </c>
      <c r="E1704" t="s">
        <v>18</v>
      </c>
      <c r="F1704" t="s">
        <v>19</v>
      </c>
      <c r="G1704">
        <v>4</v>
      </c>
    </row>
    <row r="1705" spans="1:7" x14ac:dyDescent="0.2">
      <c r="A1705" t="s">
        <v>860</v>
      </c>
      <c r="B1705" t="s">
        <v>6</v>
      </c>
      <c r="C1705" t="s">
        <v>7</v>
      </c>
      <c r="D1705" t="s">
        <v>20</v>
      </c>
      <c r="E1705" t="s">
        <v>21</v>
      </c>
      <c r="F1705" t="s">
        <v>22</v>
      </c>
      <c r="G1705">
        <v>854</v>
      </c>
    </row>
    <row r="1706" spans="1:7" x14ac:dyDescent="0.2">
      <c r="A1706" t="s">
        <v>860</v>
      </c>
      <c r="B1706" t="s">
        <v>6</v>
      </c>
      <c r="C1706" t="s">
        <v>7</v>
      </c>
      <c r="D1706" t="s">
        <v>23</v>
      </c>
      <c r="E1706" t="s">
        <v>24</v>
      </c>
      <c r="F1706" t="s">
        <v>25</v>
      </c>
      <c r="G1706">
        <v>3</v>
      </c>
    </row>
    <row r="1707" spans="1:7" x14ac:dyDescent="0.2">
      <c r="A1707" t="s">
        <v>860</v>
      </c>
      <c r="B1707" t="s">
        <v>6</v>
      </c>
      <c r="C1707" t="s">
        <v>7</v>
      </c>
      <c r="D1707" t="s">
        <v>26</v>
      </c>
      <c r="E1707" t="s">
        <v>27</v>
      </c>
      <c r="F1707" t="s">
        <v>28</v>
      </c>
      <c r="G1707">
        <v>94</v>
      </c>
    </row>
    <row r="1708" spans="1:7" x14ac:dyDescent="0.2">
      <c r="A1708" t="s">
        <v>860</v>
      </c>
      <c r="B1708" t="s">
        <v>6</v>
      </c>
      <c r="C1708" t="s">
        <v>7</v>
      </c>
      <c r="D1708" t="s">
        <v>29</v>
      </c>
      <c r="E1708" t="s">
        <v>30</v>
      </c>
      <c r="F1708" t="s">
        <v>11</v>
      </c>
      <c r="G1708">
        <v>0</v>
      </c>
    </row>
    <row r="1709" spans="1:7" x14ac:dyDescent="0.2">
      <c r="A1709" t="s">
        <v>860</v>
      </c>
      <c r="B1709" t="s">
        <v>6</v>
      </c>
      <c r="C1709" t="s">
        <v>7</v>
      </c>
      <c r="D1709" t="s">
        <v>31</v>
      </c>
      <c r="E1709" t="s">
        <v>32</v>
      </c>
      <c r="F1709" t="s">
        <v>11</v>
      </c>
      <c r="G1709">
        <v>0</v>
      </c>
    </row>
    <row r="1710" spans="1:7" x14ac:dyDescent="0.2">
      <c r="A1710" t="s">
        <v>860</v>
      </c>
      <c r="B1710" t="s">
        <v>6</v>
      </c>
      <c r="C1710" t="s">
        <v>7</v>
      </c>
      <c r="D1710" t="s">
        <v>33</v>
      </c>
      <c r="E1710" t="s">
        <v>34</v>
      </c>
      <c r="F1710" t="s">
        <v>11</v>
      </c>
      <c r="G1710">
        <v>0</v>
      </c>
    </row>
    <row r="1711" spans="1:7" x14ac:dyDescent="0.2">
      <c r="A1711" t="s">
        <v>860</v>
      </c>
      <c r="B1711" t="s">
        <v>6</v>
      </c>
      <c r="C1711" t="s">
        <v>7</v>
      </c>
      <c r="D1711" t="s">
        <v>35</v>
      </c>
      <c r="E1711" t="s">
        <v>36</v>
      </c>
      <c r="F1711" t="s">
        <v>11</v>
      </c>
      <c r="G1711">
        <v>0</v>
      </c>
    </row>
    <row r="1712" spans="1:7" x14ac:dyDescent="0.2">
      <c r="A1712" t="s">
        <v>860</v>
      </c>
      <c r="B1712" t="s">
        <v>6</v>
      </c>
      <c r="C1712" t="s">
        <v>7</v>
      </c>
      <c r="D1712" t="s">
        <v>37</v>
      </c>
      <c r="E1712" t="s">
        <v>38</v>
      </c>
      <c r="F1712" t="s">
        <v>11</v>
      </c>
      <c r="G1712">
        <v>0</v>
      </c>
    </row>
    <row r="1713" spans="1:7" x14ac:dyDescent="0.2">
      <c r="A1713" t="s">
        <v>860</v>
      </c>
      <c r="B1713" t="s">
        <v>6</v>
      </c>
      <c r="C1713" t="s">
        <v>7</v>
      </c>
      <c r="D1713" t="s">
        <v>39</v>
      </c>
      <c r="E1713" t="s">
        <v>40</v>
      </c>
      <c r="F1713" t="s">
        <v>11</v>
      </c>
      <c r="G1713">
        <v>0</v>
      </c>
    </row>
    <row r="1714" spans="1:7" x14ac:dyDescent="0.2">
      <c r="A1714" t="s">
        <v>860</v>
      </c>
      <c r="B1714" t="s">
        <v>6</v>
      </c>
      <c r="C1714" t="s">
        <v>7</v>
      </c>
      <c r="D1714" t="s">
        <v>41</v>
      </c>
      <c r="E1714" t="s">
        <v>42</v>
      </c>
      <c r="F1714" t="s">
        <v>11</v>
      </c>
      <c r="G1714">
        <v>0</v>
      </c>
    </row>
    <row r="1715" spans="1:7" x14ac:dyDescent="0.2">
      <c r="A1715" t="s">
        <v>860</v>
      </c>
      <c r="B1715" t="s">
        <v>6</v>
      </c>
      <c r="C1715" t="s">
        <v>7</v>
      </c>
      <c r="D1715" t="s">
        <v>43</v>
      </c>
      <c r="E1715" t="s">
        <v>44</v>
      </c>
      <c r="F1715" t="s">
        <v>11</v>
      </c>
      <c r="G1715">
        <v>0</v>
      </c>
    </row>
    <row r="1716" spans="1:7" x14ac:dyDescent="0.2">
      <c r="A1716" t="s">
        <v>860</v>
      </c>
      <c r="B1716" t="s">
        <v>6</v>
      </c>
      <c r="C1716" t="s">
        <v>7</v>
      </c>
      <c r="D1716" t="s">
        <v>45</v>
      </c>
      <c r="G1716">
        <v>2</v>
      </c>
    </row>
    <row r="1717" spans="1:7" x14ac:dyDescent="0.2">
      <c r="A1717" t="s">
        <v>860</v>
      </c>
      <c r="B1717" t="s">
        <v>6</v>
      </c>
      <c r="C1717" t="s">
        <v>7</v>
      </c>
      <c r="D1717" t="s">
        <v>46</v>
      </c>
      <c r="G1717">
        <v>6</v>
      </c>
    </row>
    <row r="1718" spans="1:7" x14ac:dyDescent="0.2">
      <c r="A1718" t="s">
        <v>860</v>
      </c>
      <c r="B1718" t="s">
        <v>47</v>
      </c>
      <c r="C1718" t="s">
        <v>48</v>
      </c>
      <c r="D1718" t="s">
        <v>8</v>
      </c>
      <c r="G1718">
        <v>977</v>
      </c>
    </row>
    <row r="1719" spans="1:7" x14ac:dyDescent="0.2">
      <c r="A1719" t="s">
        <v>860</v>
      </c>
      <c r="B1719" t="s">
        <v>47</v>
      </c>
      <c r="C1719" t="s">
        <v>48</v>
      </c>
      <c r="D1719" t="s">
        <v>49</v>
      </c>
      <c r="E1719" t="s">
        <v>50</v>
      </c>
      <c r="F1719" t="s">
        <v>51</v>
      </c>
      <c r="G1719">
        <v>54</v>
      </c>
    </row>
    <row r="1720" spans="1:7" x14ac:dyDescent="0.2">
      <c r="A1720" t="s">
        <v>860</v>
      </c>
      <c r="B1720" t="s">
        <v>47</v>
      </c>
      <c r="C1720" t="s">
        <v>48</v>
      </c>
      <c r="D1720" t="s">
        <v>52</v>
      </c>
      <c r="E1720" t="s">
        <v>53</v>
      </c>
      <c r="F1720" t="s">
        <v>22</v>
      </c>
      <c r="G1720">
        <v>821</v>
      </c>
    </row>
    <row r="1721" spans="1:7" x14ac:dyDescent="0.2">
      <c r="A1721" t="s">
        <v>860</v>
      </c>
      <c r="B1721" t="s">
        <v>47</v>
      </c>
      <c r="C1721" t="s">
        <v>48</v>
      </c>
      <c r="D1721" t="s">
        <v>54</v>
      </c>
      <c r="E1721" t="s">
        <v>55</v>
      </c>
      <c r="F1721" t="s">
        <v>28</v>
      </c>
      <c r="G1721">
        <v>76</v>
      </c>
    </row>
    <row r="1722" spans="1:7" x14ac:dyDescent="0.2">
      <c r="A1722" t="s">
        <v>860</v>
      </c>
      <c r="B1722" t="s">
        <v>47</v>
      </c>
      <c r="C1722" t="s">
        <v>48</v>
      </c>
      <c r="D1722" t="s">
        <v>56</v>
      </c>
      <c r="E1722" t="s">
        <v>57</v>
      </c>
      <c r="F1722" t="s">
        <v>11</v>
      </c>
      <c r="G1722">
        <v>0</v>
      </c>
    </row>
    <row r="1723" spans="1:7" x14ac:dyDescent="0.2">
      <c r="A1723" t="s">
        <v>860</v>
      </c>
      <c r="B1723" t="s">
        <v>47</v>
      </c>
      <c r="C1723" t="s">
        <v>48</v>
      </c>
      <c r="D1723" t="s">
        <v>45</v>
      </c>
      <c r="G1723">
        <v>0</v>
      </c>
    </row>
    <row r="1724" spans="1:7" x14ac:dyDescent="0.2">
      <c r="A1724" t="s">
        <v>860</v>
      </c>
      <c r="B1724" t="s">
        <v>47</v>
      </c>
      <c r="C1724" t="s">
        <v>48</v>
      </c>
      <c r="D1724" t="s">
        <v>46</v>
      </c>
      <c r="G1724">
        <v>25</v>
      </c>
    </row>
    <row r="1725" spans="1:7" x14ac:dyDescent="0.2">
      <c r="A1725" t="s">
        <v>860</v>
      </c>
      <c r="B1725" t="s">
        <v>66</v>
      </c>
      <c r="C1725" t="s">
        <v>67</v>
      </c>
      <c r="D1725" t="s">
        <v>8</v>
      </c>
      <c r="G1725">
        <v>977</v>
      </c>
    </row>
    <row r="1726" spans="1:7" x14ac:dyDescent="0.2">
      <c r="A1726" t="s">
        <v>860</v>
      </c>
      <c r="B1726" t="s">
        <v>66</v>
      </c>
      <c r="C1726" t="s">
        <v>67</v>
      </c>
      <c r="D1726" t="s">
        <v>68</v>
      </c>
      <c r="E1726" t="s">
        <v>69</v>
      </c>
      <c r="F1726" t="s">
        <v>28</v>
      </c>
      <c r="G1726">
        <v>63</v>
      </c>
    </row>
    <row r="1727" spans="1:7" x14ac:dyDescent="0.2">
      <c r="A1727" t="s">
        <v>860</v>
      </c>
      <c r="B1727" t="s">
        <v>66</v>
      </c>
      <c r="C1727" t="s">
        <v>67</v>
      </c>
      <c r="D1727" t="s">
        <v>70</v>
      </c>
      <c r="E1727" t="s">
        <v>71</v>
      </c>
      <c r="F1727" t="s">
        <v>16</v>
      </c>
      <c r="G1727">
        <v>36</v>
      </c>
    </row>
    <row r="1728" spans="1:7" x14ac:dyDescent="0.2">
      <c r="A1728" t="s">
        <v>860</v>
      </c>
      <c r="B1728" t="s">
        <v>66</v>
      </c>
      <c r="C1728" t="s">
        <v>67</v>
      </c>
      <c r="D1728" t="s">
        <v>72</v>
      </c>
      <c r="E1728" t="s">
        <v>73</v>
      </c>
      <c r="F1728" t="s">
        <v>22</v>
      </c>
      <c r="G1728">
        <v>834</v>
      </c>
    </row>
    <row r="1729" spans="1:7" x14ac:dyDescent="0.2">
      <c r="A1729" t="s">
        <v>860</v>
      </c>
      <c r="B1729" t="s">
        <v>66</v>
      </c>
      <c r="C1729" t="s">
        <v>67</v>
      </c>
      <c r="D1729" t="s">
        <v>74</v>
      </c>
      <c r="E1729" t="s">
        <v>75</v>
      </c>
      <c r="F1729" t="s">
        <v>11</v>
      </c>
      <c r="G1729">
        <v>8</v>
      </c>
    </row>
    <row r="1730" spans="1:7" x14ac:dyDescent="0.2">
      <c r="A1730" t="s">
        <v>860</v>
      </c>
      <c r="B1730" t="s">
        <v>66</v>
      </c>
      <c r="C1730" t="s">
        <v>67</v>
      </c>
      <c r="D1730" t="s">
        <v>45</v>
      </c>
      <c r="G1730">
        <v>0</v>
      </c>
    </row>
    <row r="1731" spans="1:7" x14ac:dyDescent="0.2">
      <c r="A1731" t="s">
        <v>860</v>
      </c>
      <c r="B1731" t="s">
        <v>66</v>
      </c>
      <c r="C1731" t="s">
        <v>67</v>
      </c>
      <c r="D1731" t="s">
        <v>46</v>
      </c>
      <c r="G1731">
        <v>36</v>
      </c>
    </row>
    <row r="1732" spans="1:7" x14ac:dyDescent="0.2">
      <c r="A1732" t="s">
        <v>860</v>
      </c>
      <c r="B1732" t="s">
        <v>93</v>
      </c>
      <c r="C1732" t="s">
        <v>94</v>
      </c>
      <c r="D1732" t="s">
        <v>8</v>
      </c>
      <c r="G1732">
        <v>977</v>
      </c>
    </row>
    <row r="1733" spans="1:7" x14ac:dyDescent="0.2">
      <c r="A1733" t="s">
        <v>860</v>
      </c>
      <c r="B1733" t="s">
        <v>93</v>
      </c>
      <c r="C1733" t="s">
        <v>94</v>
      </c>
      <c r="D1733" t="s">
        <v>95</v>
      </c>
      <c r="E1733" t="s">
        <v>96</v>
      </c>
      <c r="F1733" t="s">
        <v>22</v>
      </c>
      <c r="G1733">
        <v>718</v>
      </c>
    </row>
    <row r="1734" spans="1:7" x14ac:dyDescent="0.2">
      <c r="A1734" t="s">
        <v>860</v>
      </c>
      <c r="B1734" t="s">
        <v>93</v>
      </c>
      <c r="C1734" t="s">
        <v>94</v>
      </c>
      <c r="D1734" t="s">
        <v>97</v>
      </c>
      <c r="E1734" t="s">
        <v>98</v>
      </c>
      <c r="F1734" t="s">
        <v>51</v>
      </c>
      <c r="G1734">
        <v>15</v>
      </c>
    </row>
    <row r="1735" spans="1:7" x14ac:dyDescent="0.2">
      <c r="A1735" t="s">
        <v>860</v>
      </c>
      <c r="B1735" t="s">
        <v>93</v>
      </c>
      <c r="C1735" t="s">
        <v>94</v>
      </c>
      <c r="D1735" t="s">
        <v>99</v>
      </c>
      <c r="E1735" t="s">
        <v>100</v>
      </c>
      <c r="F1735" t="s">
        <v>28</v>
      </c>
      <c r="G1735">
        <v>53</v>
      </c>
    </row>
    <row r="1736" spans="1:7" x14ac:dyDescent="0.2">
      <c r="A1736" t="s">
        <v>860</v>
      </c>
      <c r="B1736" t="s">
        <v>93</v>
      </c>
      <c r="C1736" t="s">
        <v>94</v>
      </c>
      <c r="D1736" t="s">
        <v>101</v>
      </c>
      <c r="E1736" t="s">
        <v>102</v>
      </c>
      <c r="F1736" t="s">
        <v>25</v>
      </c>
      <c r="G1736">
        <v>10</v>
      </c>
    </row>
    <row r="1737" spans="1:7" x14ac:dyDescent="0.2">
      <c r="A1737" t="s">
        <v>860</v>
      </c>
      <c r="B1737" t="s">
        <v>93</v>
      </c>
      <c r="C1737" t="s">
        <v>94</v>
      </c>
      <c r="D1737" t="s">
        <v>103</v>
      </c>
      <c r="E1737" t="s">
        <v>104</v>
      </c>
      <c r="F1737" t="s">
        <v>11</v>
      </c>
      <c r="G1737">
        <v>1</v>
      </c>
    </row>
    <row r="1738" spans="1:7" x14ac:dyDescent="0.2">
      <c r="A1738" t="s">
        <v>860</v>
      </c>
      <c r="B1738" t="s">
        <v>93</v>
      </c>
      <c r="C1738" t="s">
        <v>94</v>
      </c>
      <c r="D1738" t="s">
        <v>105</v>
      </c>
      <c r="E1738" t="s">
        <v>106</v>
      </c>
      <c r="F1738" t="s">
        <v>11</v>
      </c>
      <c r="G1738">
        <v>147</v>
      </c>
    </row>
    <row r="1739" spans="1:7" x14ac:dyDescent="0.2">
      <c r="A1739" t="s">
        <v>860</v>
      </c>
      <c r="B1739" t="s">
        <v>93</v>
      </c>
      <c r="C1739" t="s">
        <v>94</v>
      </c>
      <c r="D1739" t="s">
        <v>107</v>
      </c>
      <c r="E1739" t="s">
        <v>108</v>
      </c>
      <c r="F1739" t="s">
        <v>11</v>
      </c>
      <c r="G1739">
        <v>0</v>
      </c>
    </row>
    <row r="1740" spans="1:7" x14ac:dyDescent="0.2">
      <c r="A1740" t="s">
        <v>860</v>
      </c>
      <c r="B1740" t="s">
        <v>93</v>
      </c>
      <c r="C1740" t="s">
        <v>94</v>
      </c>
      <c r="D1740" t="s">
        <v>45</v>
      </c>
      <c r="G1740">
        <v>0</v>
      </c>
    </row>
    <row r="1741" spans="1:7" x14ac:dyDescent="0.2">
      <c r="A1741" t="s">
        <v>860</v>
      </c>
      <c r="B1741" t="s">
        <v>93</v>
      </c>
      <c r="C1741" t="s">
        <v>94</v>
      </c>
      <c r="D1741" t="s">
        <v>46</v>
      </c>
      <c r="G1741">
        <v>33</v>
      </c>
    </row>
    <row r="1742" spans="1:7" x14ac:dyDescent="0.2">
      <c r="A1742" t="s">
        <v>860</v>
      </c>
      <c r="B1742" t="s">
        <v>109</v>
      </c>
      <c r="C1742" t="s">
        <v>110</v>
      </c>
      <c r="D1742" t="s">
        <v>8</v>
      </c>
      <c r="G1742">
        <v>977</v>
      </c>
    </row>
    <row r="1743" spans="1:7" x14ac:dyDescent="0.2">
      <c r="A1743" t="s">
        <v>860</v>
      </c>
      <c r="B1743" t="s">
        <v>109</v>
      </c>
      <c r="C1743" t="s">
        <v>110</v>
      </c>
      <c r="D1743" t="s">
        <v>111</v>
      </c>
      <c r="E1743" t="s">
        <v>112</v>
      </c>
      <c r="F1743" t="s">
        <v>22</v>
      </c>
      <c r="G1743">
        <v>832</v>
      </c>
    </row>
    <row r="1744" spans="1:7" x14ac:dyDescent="0.2">
      <c r="A1744" t="s">
        <v>860</v>
      </c>
      <c r="B1744" t="s">
        <v>109</v>
      </c>
      <c r="C1744" t="s">
        <v>110</v>
      </c>
      <c r="D1744" t="s">
        <v>113</v>
      </c>
      <c r="E1744" t="s">
        <v>114</v>
      </c>
      <c r="F1744" t="s">
        <v>28</v>
      </c>
      <c r="G1744">
        <v>68</v>
      </c>
    </row>
    <row r="1745" spans="1:7" x14ac:dyDescent="0.2">
      <c r="A1745" t="s">
        <v>860</v>
      </c>
      <c r="B1745" t="s">
        <v>109</v>
      </c>
      <c r="C1745" t="s">
        <v>110</v>
      </c>
      <c r="D1745" t="s">
        <v>115</v>
      </c>
      <c r="E1745" t="s">
        <v>116</v>
      </c>
      <c r="F1745" t="s">
        <v>25</v>
      </c>
      <c r="G1745">
        <v>23</v>
      </c>
    </row>
    <row r="1746" spans="1:7" x14ac:dyDescent="0.2">
      <c r="A1746" t="s">
        <v>860</v>
      </c>
      <c r="B1746" t="s">
        <v>109</v>
      </c>
      <c r="C1746" t="s">
        <v>110</v>
      </c>
      <c r="D1746" t="s">
        <v>117</v>
      </c>
      <c r="E1746" t="s">
        <v>118</v>
      </c>
      <c r="F1746" t="s">
        <v>11</v>
      </c>
      <c r="G1746">
        <v>11</v>
      </c>
    </row>
    <row r="1747" spans="1:7" x14ac:dyDescent="0.2">
      <c r="A1747" t="s">
        <v>860</v>
      </c>
      <c r="B1747" t="s">
        <v>109</v>
      </c>
      <c r="C1747" t="s">
        <v>110</v>
      </c>
      <c r="D1747" t="s">
        <v>119</v>
      </c>
      <c r="E1747" t="s">
        <v>120</v>
      </c>
      <c r="F1747" t="s">
        <v>88</v>
      </c>
      <c r="G1747">
        <v>8</v>
      </c>
    </row>
    <row r="1748" spans="1:7" x14ac:dyDescent="0.2">
      <c r="A1748" t="s">
        <v>860</v>
      </c>
      <c r="B1748" t="s">
        <v>109</v>
      </c>
      <c r="C1748" t="s">
        <v>110</v>
      </c>
      <c r="D1748" t="s">
        <v>45</v>
      </c>
      <c r="G1748">
        <v>0</v>
      </c>
    </row>
    <row r="1749" spans="1:7" x14ac:dyDescent="0.2">
      <c r="A1749" t="s">
        <v>860</v>
      </c>
      <c r="B1749" t="s">
        <v>109</v>
      </c>
      <c r="C1749" t="s">
        <v>110</v>
      </c>
      <c r="D1749" t="s">
        <v>46</v>
      </c>
      <c r="G1749">
        <v>35</v>
      </c>
    </row>
    <row r="1750" spans="1:7" x14ac:dyDescent="0.2">
      <c r="A1750" t="s">
        <v>860</v>
      </c>
      <c r="B1750" t="s">
        <v>121</v>
      </c>
      <c r="C1750" t="s">
        <v>122</v>
      </c>
      <c r="D1750" t="s">
        <v>8</v>
      </c>
      <c r="G1750">
        <v>977</v>
      </c>
    </row>
    <row r="1751" spans="1:7" x14ac:dyDescent="0.2">
      <c r="A1751" t="s">
        <v>860</v>
      </c>
      <c r="B1751" t="s">
        <v>121</v>
      </c>
      <c r="C1751" t="s">
        <v>122</v>
      </c>
      <c r="D1751" t="s">
        <v>123</v>
      </c>
      <c r="E1751" t="s">
        <v>124</v>
      </c>
      <c r="F1751" t="s">
        <v>22</v>
      </c>
      <c r="G1751">
        <v>821</v>
      </c>
    </row>
    <row r="1752" spans="1:7" x14ac:dyDescent="0.2">
      <c r="A1752" t="s">
        <v>860</v>
      </c>
      <c r="B1752" t="s">
        <v>121</v>
      </c>
      <c r="C1752" t="s">
        <v>122</v>
      </c>
      <c r="D1752" t="s">
        <v>125</v>
      </c>
      <c r="E1752" t="s">
        <v>126</v>
      </c>
      <c r="F1752" t="s">
        <v>16</v>
      </c>
      <c r="G1752">
        <v>29</v>
      </c>
    </row>
    <row r="1753" spans="1:7" x14ac:dyDescent="0.2">
      <c r="A1753" t="s">
        <v>860</v>
      </c>
      <c r="B1753" t="s">
        <v>121</v>
      </c>
      <c r="C1753" t="s">
        <v>122</v>
      </c>
      <c r="D1753" t="s">
        <v>127</v>
      </c>
      <c r="E1753" t="s">
        <v>128</v>
      </c>
      <c r="F1753" t="s">
        <v>28</v>
      </c>
      <c r="G1753">
        <v>65</v>
      </c>
    </row>
    <row r="1754" spans="1:7" x14ac:dyDescent="0.2">
      <c r="A1754" t="s">
        <v>860</v>
      </c>
      <c r="B1754" t="s">
        <v>121</v>
      </c>
      <c r="C1754" t="s">
        <v>122</v>
      </c>
      <c r="D1754" t="s">
        <v>45</v>
      </c>
      <c r="G1754">
        <v>0</v>
      </c>
    </row>
    <row r="1755" spans="1:7" x14ac:dyDescent="0.2">
      <c r="A1755" t="s">
        <v>860</v>
      </c>
      <c r="B1755" t="s">
        <v>121</v>
      </c>
      <c r="C1755" t="s">
        <v>122</v>
      </c>
      <c r="D1755" t="s">
        <v>46</v>
      </c>
      <c r="G1755">
        <v>62</v>
      </c>
    </row>
    <row r="1756" spans="1:7" x14ac:dyDescent="0.2">
      <c r="A1756" t="s">
        <v>860</v>
      </c>
      <c r="B1756" t="s">
        <v>129</v>
      </c>
      <c r="C1756" t="s">
        <v>130</v>
      </c>
      <c r="D1756" t="s">
        <v>8</v>
      </c>
      <c r="G1756">
        <v>977</v>
      </c>
    </row>
    <row r="1757" spans="1:7" x14ac:dyDescent="0.2">
      <c r="A1757" t="s">
        <v>860</v>
      </c>
      <c r="B1757" t="s">
        <v>129</v>
      </c>
      <c r="C1757" t="s">
        <v>130</v>
      </c>
      <c r="D1757" t="s">
        <v>131</v>
      </c>
      <c r="E1757" t="s">
        <v>132</v>
      </c>
      <c r="F1757" t="s">
        <v>133</v>
      </c>
      <c r="G1757">
        <v>15</v>
      </c>
    </row>
    <row r="1758" spans="1:7" x14ac:dyDescent="0.2">
      <c r="A1758" t="s">
        <v>860</v>
      </c>
      <c r="B1758" t="s">
        <v>129</v>
      </c>
      <c r="C1758" t="s">
        <v>130</v>
      </c>
      <c r="D1758" t="s">
        <v>134</v>
      </c>
      <c r="E1758" t="s">
        <v>135</v>
      </c>
      <c r="F1758" t="s">
        <v>22</v>
      </c>
      <c r="G1758">
        <v>837</v>
      </c>
    </row>
    <row r="1759" spans="1:7" x14ac:dyDescent="0.2">
      <c r="A1759" t="s">
        <v>860</v>
      </c>
      <c r="B1759" t="s">
        <v>129</v>
      </c>
      <c r="C1759" t="s">
        <v>130</v>
      </c>
      <c r="D1759" t="s">
        <v>136</v>
      </c>
      <c r="E1759" t="s">
        <v>137</v>
      </c>
      <c r="F1759" t="s">
        <v>28</v>
      </c>
      <c r="G1759">
        <v>76</v>
      </c>
    </row>
    <row r="1760" spans="1:7" x14ac:dyDescent="0.2">
      <c r="A1760" t="s">
        <v>860</v>
      </c>
      <c r="B1760" t="s">
        <v>129</v>
      </c>
      <c r="C1760" t="s">
        <v>130</v>
      </c>
      <c r="D1760" t="s">
        <v>45</v>
      </c>
      <c r="G1760">
        <v>0</v>
      </c>
    </row>
    <row r="1761" spans="1:7" x14ac:dyDescent="0.2">
      <c r="A1761" t="s">
        <v>860</v>
      </c>
      <c r="B1761" t="s">
        <v>129</v>
      </c>
      <c r="C1761" t="s">
        <v>130</v>
      </c>
      <c r="D1761" t="s">
        <v>46</v>
      </c>
      <c r="G1761">
        <v>49</v>
      </c>
    </row>
    <row r="1762" spans="1:7" x14ac:dyDescent="0.2">
      <c r="A1762" t="s">
        <v>860</v>
      </c>
      <c r="B1762" t="s">
        <v>218</v>
      </c>
      <c r="C1762" t="s">
        <v>219</v>
      </c>
      <c r="D1762" t="s">
        <v>8</v>
      </c>
      <c r="G1762">
        <v>977</v>
      </c>
    </row>
    <row r="1763" spans="1:7" x14ac:dyDescent="0.2">
      <c r="A1763" t="s">
        <v>860</v>
      </c>
      <c r="B1763" t="s">
        <v>218</v>
      </c>
      <c r="C1763" t="s">
        <v>219</v>
      </c>
      <c r="D1763" t="s">
        <v>220</v>
      </c>
      <c r="E1763" t="s">
        <v>221</v>
      </c>
      <c r="F1763" t="s">
        <v>22</v>
      </c>
      <c r="G1763">
        <v>858</v>
      </c>
    </row>
    <row r="1764" spans="1:7" x14ac:dyDescent="0.2">
      <c r="A1764" t="s">
        <v>860</v>
      </c>
      <c r="B1764" t="s">
        <v>218</v>
      </c>
      <c r="C1764" t="s">
        <v>219</v>
      </c>
      <c r="D1764" t="s">
        <v>45</v>
      </c>
      <c r="G1764">
        <v>0</v>
      </c>
    </row>
    <row r="1765" spans="1:7" x14ac:dyDescent="0.2">
      <c r="A1765" t="s">
        <v>860</v>
      </c>
      <c r="B1765" t="s">
        <v>218</v>
      </c>
      <c r="C1765" t="s">
        <v>219</v>
      </c>
      <c r="D1765" t="s">
        <v>46</v>
      </c>
      <c r="G1765">
        <v>119</v>
      </c>
    </row>
    <row r="1766" spans="1:7" x14ac:dyDescent="0.2">
      <c r="A1766" t="s">
        <v>860</v>
      </c>
      <c r="B1766" t="s">
        <v>618</v>
      </c>
      <c r="C1766" t="s">
        <v>619</v>
      </c>
      <c r="D1766" t="s">
        <v>8</v>
      </c>
      <c r="G1766">
        <v>977</v>
      </c>
    </row>
    <row r="1767" spans="1:7" x14ac:dyDescent="0.2">
      <c r="A1767" t="s">
        <v>860</v>
      </c>
      <c r="B1767" t="s">
        <v>618</v>
      </c>
      <c r="C1767" t="s">
        <v>619</v>
      </c>
      <c r="D1767" t="s">
        <v>620</v>
      </c>
      <c r="E1767" t="s">
        <v>621</v>
      </c>
      <c r="F1767" t="s">
        <v>22</v>
      </c>
      <c r="G1767">
        <v>887</v>
      </c>
    </row>
    <row r="1768" spans="1:7" x14ac:dyDescent="0.2">
      <c r="A1768" t="s">
        <v>860</v>
      </c>
      <c r="B1768" t="s">
        <v>618</v>
      </c>
      <c r="C1768" t="s">
        <v>619</v>
      </c>
      <c r="D1768" t="s">
        <v>622</v>
      </c>
      <c r="E1768" t="s">
        <v>623</v>
      </c>
      <c r="F1768" t="s">
        <v>88</v>
      </c>
      <c r="G1768">
        <v>24</v>
      </c>
    </row>
    <row r="1769" spans="1:7" x14ac:dyDescent="0.2">
      <c r="A1769" t="s">
        <v>860</v>
      </c>
      <c r="B1769" t="s">
        <v>618</v>
      </c>
      <c r="C1769" t="s">
        <v>619</v>
      </c>
      <c r="D1769" t="s">
        <v>45</v>
      </c>
      <c r="G1769">
        <v>0</v>
      </c>
    </row>
    <row r="1770" spans="1:7" x14ac:dyDescent="0.2">
      <c r="A1770" t="s">
        <v>860</v>
      </c>
      <c r="B1770" t="s">
        <v>618</v>
      </c>
      <c r="C1770" t="s">
        <v>619</v>
      </c>
      <c r="D1770" t="s">
        <v>46</v>
      </c>
      <c r="G1770">
        <v>66</v>
      </c>
    </row>
    <row r="1771" spans="1:7" x14ac:dyDescent="0.2">
      <c r="A1771" t="s">
        <v>860</v>
      </c>
      <c r="B1771" t="s">
        <v>688</v>
      </c>
      <c r="C1771" t="s">
        <v>689</v>
      </c>
      <c r="D1771" t="s">
        <v>8</v>
      </c>
      <c r="G1771">
        <v>977</v>
      </c>
    </row>
    <row r="1772" spans="1:7" x14ac:dyDescent="0.2">
      <c r="A1772" t="s">
        <v>860</v>
      </c>
      <c r="B1772" t="s">
        <v>688</v>
      </c>
      <c r="C1772" t="s">
        <v>689</v>
      </c>
      <c r="D1772" t="s">
        <v>690</v>
      </c>
      <c r="E1772" t="s">
        <v>691</v>
      </c>
      <c r="F1772" t="s">
        <v>22</v>
      </c>
      <c r="G1772">
        <v>832</v>
      </c>
    </row>
    <row r="1773" spans="1:7" x14ac:dyDescent="0.2">
      <c r="A1773" t="s">
        <v>860</v>
      </c>
      <c r="B1773" t="s">
        <v>688</v>
      </c>
      <c r="C1773" t="s">
        <v>689</v>
      </c>
      <c r="D1773" t="s">
        <v>45</v>
      </c>
      <c r="G1773">
        <v>0</v>
      </c>
    </row>
    <row r="1774" spans="1:7" x14ac:dyDescent="0.2">
      <c r="A1774" t="s">
        <v>860</v>
      </c>
      <c r="B1774" t="s">
        <v>688</v>
      </c>
      <c r="C1774" t="s">
        <v>689</v>
      </c>
      <c r="D1774" t="s">
        <v>46</v>
      </c>
      <c r="G1774">
        <v>145</v>
      </c>
    </row>
    <row r="1775" spans="1:7" x14ac:dyDescent="0.2">
      <c r="A1775" t="s">
        <v>860</v>
      </c>
      <c r="B1775" t="s">
        <v>692</v>
      </c>
      <c r="C1775" t="s">
        <v>693</v>
      </c>
      <c r="D1775" t="s">
        <v>8</v>
      </c>
      <c r="G1775">
        <v>977</v>
      </c>
    </row>
    <row r="1776" spans="1:7" x14ac:dyDescent="0.2">
      <c r="A1776" t="s">
        <v>860</v>
      </c>
      <c r="B1776" t="s">
        <v>692</v>
      </c>
      <c r="C1776" t="s">
        <v>693</v>
      </c>
      <c r="D1776" t="s">
        <v>694</v>
      </c>
      <c r="E1776" t="s">
        <v>695</v>
      </c>
      <c r="G1776">
        <v>718</v>
      </c>
    </row>
    <row r="1777" spans="1:7" x14ac:dyDescent="0.2">
      <c r="A1777" t="s">
        <v>860</v>
      </c>
      <c r="B1777" t="s">
        <v>692</v>
      </c>
      <c r="C1777" t="s">
        <v>693</v>
      </c>
      <c r="D1777" t="s">
        <v>696</v>
      </c>
      <c r="E1777" t="s">
        <v>697</v>
      </c>
      <c r="G1777">
        <v>110</v>
      </c>
    </row>
    <row r="1778" spans="1:7" x14ac:dyDescent="0.2">
      <c r="A1778" t="s">
        <v>860</v>
      </c>
      <c r="B1778" t="s">
        <v>692</v>
      </c>
      <c r="C1778" t="s">
        <v>693</v>
      </c>
      <c r="D1778" t="s">
        <v>45</v>
      </c>
      <c r="G1778">
        <v>1</v>
      </c>
    </row>
    <row r="1779" spans="1:7" x14ac:dyDescent="0.2">
      <c r="A1779" t="s">
        <v>860</v>
      </c>
      <c r="B1779" t="s">
        <v>692</v>
      </c>
      <c r="C1779" t="s">
        <v>693</v>
      </c>
      <c r="D1779" t="s">
        <v>46</v>
      </c>
      <c r="G1779">
        <v>148</v>
      </c>
    </row>
    <row r="1780" spans="1:7" x14ac:dyDescent="0.2">
      <c r="A1780" t="s">
        <v>860</v>
      </c>
      <c r="B1780" t="s">
        <v>698</v>
      </c>
      <c r="C1780" t="s">
        <v>699</v>
      </c>
      <c r="D1780" t="s">
        <v>8</v>
      </c>
      <c r="G1780">
        <v>977</v>
      </c>
    </row>
    <row r="1781" spans="1:7" x14ac:dyDescent="0.2">
      <c r="A1781" t="s">
        <v>860</v>
      </c>
      <c r="B1781" t="s">
        <v>698</v>
      </c>
      <c r="C1781" t="s">
        <v>699</v>
      </c>
      <c r="D1781" t="s">
        <v>694</v>
      </c>
      <c r="E1781" t="s">
        <v>700</v>
      </c>
      <c r="G1781">
        <v>715</v>
      </c>
    </row>
    <row r="1782" spans="1:7" x14ac:dyDescent="0.2">
      <c r="A1782" t="s">
        <v>860</v>
      </c>
      <c r="B1782" t="s">
        <v>698</v>
      </c>
      <c r="C1782" t="s">
        <v>699</v>
      </c>
      <c r="D1782" t="s">
        <v>696</v>
      </c>
      <c r="E1782" t="s">
        <v>701</v>
      </c>
      <c r="G1782">
        <v>113</v>
      </c>
    </row>
    <row r="1783" spans="1:7" x14ac:dyDescent="0.2">
      <c r="A1783" t="s">
        <v>860</v>
      </c>
      <c r="B1783" t="s">
        <v>698</v>
      </c>
      <c r="C1783" t="s">
        <v>699</v>
      </c>
      <c r="D1783" t="s">
        <v>45</v>
      </c>
      <c r="G1783">
        <v>0</v>
      </c>
    </row>
    <row r="1784" spans="1:7" x14ac:dyDescent="0.2">
      <c r="A1784" t="s">
        <v>860</v>
      </c>
      <c r="B1784" t="s">
        <v>698</v>
      </c>
      <c r="C1784" t="s">
        <v>699</v>
      </c>
      <c r="D1784" t="s">
        <v>46</v>
      </c>
      <c r="G1784">
        <v>149</v>
      </c>
    </row>
    <row r="1785" spans="1:7" x14ac:dyDescent="0.2">
      <c r="A1785" t="s">
        <v>860</v>
      </c>
      <c r="B1785" t="s">
        <v>834</v>
      </c>
      <c r="C1785" t="s">
        <v>835</v>
      </c>
      <c r="D1785" t="s">
        <v>8</v>
      </c>
      <c r="G1785">
        <v>977</v>
      </c>
    </row>
    <row r="1786" spans="1:7" x14ac:dyDescent="0.2">
      <c r="A1786" t="s">
        <v>860</v>
      </c>
      <c r="B1786" t="s">
        <v>834</v>
      </c>
      <c r="C1786" t="s">
        <v>835</v>
      </c>
      <c r="D1786" t="s">
        <v>836</v>
      </c>
      <c r="E1786" t="s">
        <v>837</v>
      </c>
      <c r="G1786">
        <v>597</v>
      </c>
    </row>
    <row r="1787" spans="1:7" x14ac:dyDescent="0.2">
      <c r="A1787" t="s">
        <v>860</v>
      </c>
      <c r="B1787" t="s">
        <v>834</v>
      </c>
      <c r="C1787" t="s">
        <v>835</v>
      </c>
      <c r="D1787" t="s">
        <v>838</v>
      </c>
      <c r="E1787" t="s">
        <v>839</v>
      </c>
      <c r="G1787">
        <v>306</v>
      </c>
    </row>
    <row r="1788" spans="1:7" x14ac:dyDescent="0.2">
      <c r="A1788" t="s">
        <v>860</v>
      </c>
      <c r="B1788" t="s">
        <v>834</v>
      </c>
      <c r="C1788" t="s">
        <v>835</v>
      </c>
      <c r="D1788" t="s">
        <v>45</v>
      </c>
      <c r="G1788">
        <v>0</v>
      </c>
    </row>
    <row r="1789" spans="1:7" x14ac:dyDescent="0.2">
      <c r="A1789" t="s">
        <v>860</v>
      </c>
      <c r="B1789" t="s">
        <v>834</v>
      </c>
      <c r="C1789" t="s">
        <v>835</v>
      </c>
      <c r="D1789" t="s">
        <v>46</v>
      </c>
      <c r="G1789">
        <v>74</v>
      </c>
    </row>
    <row r="1790" spans="1:7" x14ac:dyDescent="0.2">
      <c r="A1790" t="s">
        <v>860</v>
      </c>
      <c r="B1790" t="s">
        <v>840</v>
      </c>
      <c r="C1790" t="s">
        <v>841</v>
      </c>
      <c r="D1790" t="s">
        <v>8</v>
      </c>
      <c r="G1790">
        <v>977</v>
      </c>
    </row>
    <row r="1791" spans="1:7" x14ac:dyDescent="0.2">
      <c r="A1791" t="s">
        <v>860</v>
      </c>
      <c r="B1791" t="s">
        <v>840</v>
      </c>
      <c r="C1791" t="s">
        <v>841</v>
      </c>
      <c r="D1791" t="s">
        <v>836</v>
      </c>
      <c r="E1791" t="s">
        <v>842</v>
      </c>
      <c r="G1791">
        <v>847</v>
      </c>
    </row>
    <row r="1792" spans="1:7" x14ac:dyDescent="0.2">
      <c r="A1792" t="s">
        <v>860</v>
      </c>
      <c r="B1792" t="s">
        <v>840</v>
      </c>
      <c r="C1792" t="s">
        <v>841</v>
      </c>
      <c r="D1792" t="s">
        <v>838</v>
      </c>
      <c r="E1792" t="s">
        <v>843</v>
      </c>
      <c r="G1792">
        <v>66</v>
      </c>
    </row>
    <row r="1793" spans="1:7" x14ac:dyDescent="0.2">
      <c r="A1793" t="s">
        <v>860</v>
      </c>
      <c r="B1793" t="s">
        <v>840</v>
      </c>
      <c r="C1793" t="s">
        <v>841</v>
      </c>
      <c r="D1793" t="s">
        <v>45</v>
      </c>
      <c r="G1793">
        <v>1</v>
      </c>
    </row>
    <row r="1794" spans="1:7" x14ac:dyDescent="0.2">
      <c r="A1794" t="s">
        <v>860</v>
      </c>
      <c r="B1794" t="s">
        <v>840</v>
      </c>
      <c r="C1794" t="s">
        <v>841</v>
      </c>
      <c r="D1794" t="s">
        <v>46</v>
      </c>
      <c r="G1794">
        <v>63</v>
      </c>
    </row>
    <row r="1795" spans="1:7" x14ac:dyDescent="0.2">
      <c r="A1795" t="s">
        <v>861</v>
      </c>
      <c r="B1795" t="s">
        <v>6</v>
      </c>
      <c r="C1795" t="s">
        <v>7</v>
      </c>
      <c r="D1795" t="s">
        <v>8</v>
      </c>
      <c r="G1795">
        <v>1465</v>
      </c>
    </row>
    <row r="1796" spans="1:7" x14ac:dyDescent="0.2">
      <c r="A1796" t="s">
        <v>861</v>
      </c>
      <c r="B1796" t="s">
        <v>6</v>
      </c>
      <c r="C1796" t="s">
        <v>7</v>
      </c>
      <c r="D1796" t="s">
        <v>9</v>
      </c>
      <c r="E1796" t="s">
        <v>10</v>
      </c>
      <c r="F1796" t="s">
        <v>11</v>
      </c>
      <c r="G1796">
        <v>0</v>
      </c>
    </row>
    <row r="1797" spans="1:7" x14ac:dyDescent="0.2">
      <c r="A1797" t="s">
        <v>861</v>
      </c>
      <c r="B1797" t="s">
        <v>6</v>
      </c>
      <c r="C1797" t="s">
        <v>7</v>
      </c>
      <c r="D1797" t="s">
        <v>12</v>
      </c>
      <c r="E1797" t="s">
        <v>13</v>
      </c>
      <c r="F1797" t="s">
        <v>11</v>
      </c>
      <c r="G1797">
        <v>4</v>
      </c>
    </row>
    <row r="1798" spans="1:7" x14ac:dyDescent="0.2">
      <c r="A1798" t="s">
        <v>861</v>
      </c>
      <c r="B1798" t="s">
        <v>6</v>
      </c>
      <c r="C1798" t="s">
        <v>7</v>
      </c>
      <c r="D1798" t="s">
        <v>14</v>
      </c>
      <c r="E1798" t="s">
        <v>15</v>
      </c>
      <c r="F1798" t="s">
        <v>16</v>
      </c>
      <c r="G1798">
        <v>2</v>
      </c>
    </row>
    <row r="1799" spans="1:7" x14ac:dyDescent="0.2">
      <c r="A1799" t="s">
        <v>861</v>
      </c>
      <c r="B1799" t="s">
        <v>6</v>
      </c>
      <c r="C1799" t="s">
        <v>7</v>
      </c>
      <c r="D1799" t="s">
        <v>17</v>
      </c>
      <c r="E1799" t="s">
        <v>18</v>
      </c>
      <c r="F1799" t="s">
        <v>19</v>
      </c>
      <c r="G1799">
        <v>3</v>
      </c>
    </row>
    <row r="1800" spans="1:7" x14ac:dyDescent="0.2">
      <c r="A1800" t="s">
        <v>861</v>
      </c>
      <c r="B1800" t="s">
        <v>6</v>
      </c>
      <c r="C1800" t="s">
        <v>7</v>
      </c>
      <c r="D1800" t="s">
        <v>20</v>
      </c>
      <c r="E1800" t="s">
        <v>21</v>
      </c>
      <c r="F1800" t="s">
        <v>22</v>
      </c>
      <c r="G1800">
        <v>1211</v>
      </c>
    </row>
    <row r="1801" spans="1:7" x14ac:dyDescent="0.2">
      <c r="A1801" t="s">
        <v>861</v>
      </c>
      <c r="B1801" t="s">
        <v>6</v>
      </c>
      <c r="C1801" t="s">
        <v>7</v>
      </c>
      <c r="D1801" t="s">
        <v>23</v>
      </c>
      <c r="E1801" t="s">
        <v>24</v>
      </c>
      <c r="F1801" t="s">
        <v>25</v>
      </c>
      <c r="G1801">
        <v>13</v>
      </c>
    </row>
    <row r="1802" spans="1:7" x14ac:dyDescent="0.2">
      <c r="A1802" t="s">
        <v>861</v>
      </c>
      <c r="B1802" t="s">
        <v>6</v>
      </c>
      <c r="C1802" t="s">
        <v>7</v>
      </c>
      <c r="D1802" t="s">
        <v>26</v>
      </c>
      <c r="E1802" t="s">
        <v>27</v>
      </c>
      <c r="F1802" t="s">
        <v>28</v>
      </c>
      <c r="G1802">
        <v>214</v>
      </c>
    </row>
    <row r="1803" spans="1:7" x14ac:dyDescent="0.2">
      <c r="A1803" t="s">
        <v>861</v>
      </c>
      <c r="B1803" t="s">
        <v>6</v>
      </c>
      <c r="C1803" t="s">
        <v>7</v>
      </c>
      <c r="D1803" t="s">
        <v>29</v>
      </c>
      <c r="E1803" t="s">
        <v>30</v>
      </c>
      <c r="F1803" t="s">
        <v>11</v>
      </c>
      <c r="G1803">
        <v>0</v>
      </c>
    </row>
    <row r="1804" spans="1:7" x14ac:dyDescent="0.2">
      <c r="A1804" t="s">
        <v>861</v>
      </c>
      <c r="B1804" t="s">
        <v>6</v>
      </c>
      <c r="C1804" t="s">
        <v>7</v>
      </c>
      <c r="D1804" t="s">
        <v>31</v>
      </c>
      <c r="E1804" t="s">
        <v>32</v>
      </c>
      <c r="F1804" t="s">
        <v>11</v>
      </c>
      <c r="G1804">
        <v>0</v>
      </c>
    </row>
    <row r="1805" spans="1:7" x14ac:dyDescent="0.2">
      <c r="A1805" t="s">
        <v>861</v>
      </c>
      <c r="B1805" t="s">
        <v>6</v>
      </c>
      <c r="C1805" t="s">
        <v>7</v>
      </c>
      <c r="D1805" t="s">
        <v>33</v>
      </c>
      <c r="E1805" t="s">
        <v>34</v>
      </c>
      <c r="F1805" t="s">
        <v>11</v>
      </c>
      <c r="G1805">
        <v>0</v>
      </c>
    </row>
    <row r="1806" spans="1:7" x14ac:dyDescent="0.2">
      <c r="A1806" t="s">
        <v>861</v>
      </c>
      <c r="B1806" t="s">
        <v>6</v>
      </c>
      <c r="C1806" t="s">
        <v>7</v>
      </c>
      <c r="D1806" t="s">
        <v>35</v>
      </c>
      <c r="E1806" t="s">
        <v>36</v>
      </c>
      <c r="F1806" t="s">
        <v>11</v>
      </c>
      <c r="G1806">
        <v>0</v>
      </c>
    </row>
    <row r="1807" spans="1:7" x14ac:dyDescent="0.2">
      <c r="A1807" t="s">
        <v>861</v>
      </c>
      <c r="B1807" t="s">
        <v>6</v>
      </c>
      <c r="C1807" t="s">
        <v>7</v>
      </c>
      <c r="D1807" t="s">
        <v>37</v>
      </c>
      <c r="E1807" t="s">
        <v>38</v>
      </c>
      <c r="F1807" t="s">
        <v>11</v>
      </c>
      <c r="G1807">
        <v>0</v>
      </c>
    </row>
    <row r="1808" spans="1:7" x14ac:dyDescent="0.2">
      <c r="A1808" t="s">
        <v>861</v>
      </c>
      <c r="B1808" t="s">
        <v>6</v>
      </c>
      <c r="C1808" t="s">
        <v>7</v>
      </c>
      <c r="D1808" t="s">
        <v>39</v>
      </c>
      <c r="E1808" t="s">
        <v>40</v>
      </c>
      <c r="F1808" t="s">
        <v>11</v>
      </c>
      <c r="G1808">
        <v>0</v>
      </c>
    </row>
    <row r="1809" spans="1:7" x14ac:dyDescent="0.2">
      <c r="A1809" t="s">
        <v>861</v>
      </c>
      <c r="B1809" t="s">
        <v>6</v>
      </c>
      <c r="C1809" t="s">
        <v>7</v>
      </c>
      <c r="D1809" t="s">
        <v>41</v>
      </c>
      <c r="E1809" t="s">
        <v>42</v>
      </c>
      <c r="F1809" t="s">
        <v>11</v>
      </c>
      <c r="G1809">
        <v>0</v>
      </c>
    </row>
    <row r="1810" spans="1:7" x14ac:dyDescent="0.2">
      <c r="A1810" t="s">
        <v>861</v>
      </c>
      <c r="B1810" t="s">
        <v>6</v>
      </c>
      <c r="C1810" t="s">
        <v>7</v>
      </c>
      <c r="D1810" t="s">
        <v>43</v>
      </c>
      <c r="E1810" t="s">
        <v>44</v>
      </c>
      <c r="F1810" t="s">
        <v>11</v>
      </c>
      <c r="G1810">
        <v>0</v>
      </c>
    </row>
    <row r="1811" spans="1:7" x14ac:dyDescent="0.2">
      <c r="A1811" t="s">
        <v>861</v>
      </c>
      <c r="B1811" t="s">
        <v>6</v>
      </c>
      <c r="C1811" t="s">
        <v>7</v>
      </c>
      <c r="D1811" t="s">
        <v>45</v>
      </c>
      <c r="G1811">
        <v>0</v>
      </c>
    </row>
    <row r="1812" spans="1:7" x14ac:dyDescent="0.2">
      <c r="A1812" t="s">
        <v>861</v>
      </c>
      <c r="B1812" t="s">
        <v>6</v>
      </c>
      <c r="C1812" t="s">
        <v>7</v>
      </c>
      <c r="D1812" t="s">
        <v>46</v>
      </c>
      <c r="G1812">
        <v>11</v>
      </c>
    </row>
    <row r="1813" spans="1:7" x14ac:dyDescent="0.2">
      <c r="A1813" t="s">
        <v>861</v>
      </c>
      <c r="B1813" t="s">
        <v>47</v>
      </c>
      <c r="C1813" t="s">
        <v>48</v>
      </c>
      <c r="D1813" t="s">
        <v>8</v>
      </c>
      <c r="G1813">
        <v>1465</v>
      </c>
    </row>
    <row r="1814" spans="1:7" x14ac:dyDescent="0.2">
      <c r="A1814" t="s">
        <v>861</v>
      </c>
      <c r="B1814" t="s">
        <v>47</v>
      </c>
      <c r="C1814" t="s">
        <v>48</v>
      </c>
      <c r="D1814" t="s">
        <v>49</v>
      </c>
      <c r="E1814" t="s">
        <v>50</v>
      </c>
      <c r="F1814" t="s">
        <v>51</v>
      </c>
      <c r="G1814">
        <v>59</v>
      </c>
    </row>
    <row r="1815" spans="1:7" x14ac:dyDescent="0.2">
      <c r="A1815" t="s">
        <v>861</v>
      </c>
      <c r="B1815" t="s">
        <v>47</v>
      </c>
      <c r="C1815" t="s">
        <v>48</v>
      </c>
      <c r="D1815" t="s">
        <v>52</v>
      </c>
      <c r="E1815" t="s">
        <v>53</v>
      </c>
      <c r="F1815" t="s">
        <v>22</v>
      </c>
      <c r="G1815">
        <v>1214</v>
      </c>
    </row>
    <row r="1816" spans="1:7" x14ac:dyDescent="0.2">
      <c r="A1816" t="s">
        <v>861</v>
      </c>
      <c r="B1816" t="s">
        <v>47</v>
      </c>
      <c r="C1816" t="s">
        <v>48</v>
      </c>
      <c r="D1816" t="s">
        <v>54</v>
      </c>
      <c r="E1816" t="s">
        <v>55</v>
      </c>
      <c r="F1816" t="s">
        <v>28</v>
      </c>
      <c r="G1816">
        <v>160</v>
      </c>
    </row>
    <row r="1817" spans="1:7" x14ac:dyDescent="0.2">
      <c r="A1817" t="s">
        <v>861</v>
      </c>
      <c r="B1817" t="s">
        <v>47</v>
      </c>
      <c r="C1817" t="s">
        <v>48</v>
      </c>
      <c r="D1817" t="s">
        <v>56</v>
      </c>
      <c r="E1817" t="s">
        <v>57</v>
      </c>
      <c r="F1817" t="s">
        <v>11</v>
      </c>
      <c r="G1817">
        <v>0</v>
      </c>
    </row>
    <row r="1818" spans="1:7" x14ac:dyDescent="0.2">
      <c r="A1818" t="s">
        <v>861</v>
      </c>
      <c r="B1818" t="s">
        <v>47</v>
      </c>
      <c r="C1818" t="s">
        <v>48</v>
      </c>
      <c r="D1818" t="s">
        <v>45</v>
      </c>
      <c r="G1818">
        <v>0</v>
      </c>
    </row>
    <row r="1819" spans="1:7" x14ac:dyDescent="0.2">
      <c r="A1819" t="s">
        <v>861</v>
      </c>
      <c r="B1819" t="s">
        <v>47</v>
      </c>
      <c r="C1819" t="s">
        <v>48</v>
      </c>
      <c r="D1819" t="s">
        <v>46</v>
      </c>
      <c r="G1819">
        <v>30</v>
      </c>
    </row>
    <row r="1820" spans="1:7" x14ac:dyDescent="0.2">
      <c r="A1820" t="s">
        <v>861</v>
      </c>
      <c r="B1820" t="s">
        <v>58</v>
      </c>
      <c r="C1820" t="s">
        <v>59</v>
      </c>
      <c r="D1820" t="s">
        <v>8</v>
      </c>
      <c r="G1820">
        <v>1465</v>
      </c>
    </row>
    <row r="1821" spans="1:7" x14ac:dyDescent="0.2">
      <c r="A1821" t="s">
        <v>861</v>
      </c>
      <c r="B1821" t="s">
        <v>58</v>
      </c>
      <c r="C1821" t="s">
        <v>59</v>
      </c>
      <c r="D1821" t="s">
        <v>60</v>
      </c>
      <c r="E1821" t="s">
        <v>61</v>
      </c>
      <c r="F1821" t="s">
        <v>28</v>
      </c>
      <c r="G1821">
        <v>150</v>
      </c>
    </row>
    <row r="1822" spans="1:7" x14ac:dyDescent="0.2">
      <c r="A1822" t="s">
        <v>861</v>
      </c>
      <c r="B1822" t="s">
        <v>58</v>
      </c>
      <c r="C1822" t="s">
        <v>59</v>
      </c>
      <c r="D1822" t="s">
        <v>62</v>
      </c>
      <c r="E1822" t="s">
        <v>63</v>
      </c>
      <c r="F1822" t="s">
        <v>25</v>
      </c>
      <c r="G1822">
        <v>35</v>
      </c>
    </row>
    <row r="1823" spans="1:7" x14ac:dyDescent="0.2">
      <c r="A1823" t="s">
        <v>861</v>
      </c>
      <c r="B1823" t="s">
        <v>58</v>
      </c>
      <c r="C1823" t="s">
        <v>59</v>
      </c>
      <c r="D1823" t="s">
        <v>64</v>
      </c>
      <c r="E1823" t="s">
        <v>65</v>
      </c>
      <c r="F1823" t="s">
        <v>22</v>
      </c>
      <c r="G1823">
        <v>1235</v>
      </c>
    </row>
    <row r="1824" spans="1:7" x14ac:dyDescent="0.2">
      <c r="A1824" t="s">
        <v>861</v>
      </c>
      <c r="B1824" t="s">
        <v>58</v>
      </c>
      <c r="C1824" t="s">
        <v>59</v>
      </c>
      <c r="D1824" t="s">
        <v>45</v>
      </c>
      <c r="G1824">
        <v>0</v>
      </c>
    </row>
    <row r="1825" spans="1:7" x14ac:dyDescent="0.2">
      <c r="A1825" t="s">
        <v>861</v>
      </c>
      <c r="B1825" t="s">
        <v>58</v>
      </c>
      <c r="C1825" t="s">
        <v>59</v>
      </c>
      <c r="D1825" t="s">
        <v>46</v>
      </c>
      <c r="G1825">
        <v>45</v>
      </c>
    </row>
    <row r="1826" spans="1:7" x14ac:dyDescent="0.2">
      <c r="A1826" t="s">
        <v>861</v>
      </c>
      <c r="B1826" t="s">
        <v>93</v>
      </c>
      <c r="C1826" t="s">
        <v>94</v>
      </c>
      <c r="D1826" t="s">
        <v>8</v>
      </c>
      <c r="G1826">
        <v>1465</v>
      </c>
    </row>
    <row r="1827" spans="1:7" x14ac:dyDescent="0.2">
      <c r="A1827" t="s">
        <v>861</v>
      </c>
      <c r="B1827" t="s">
        <v>93</v>
      </c>
      <c r="C1827" t="s">
        <v>94</v>
      </c>
      <c r="D1827" t="s">
        <v>95</v>
      </c>
      <c r="E1827" t="s">
        <v>96</v>
      </c>
      <c r="F1827" t="s">
        <v>22</v>
      </c>
      <c r="G1827">
        <v>1088</v>
      </c>
    </row>
    <row r="1828" spans="1:7" x14ac:dyDescent="0.2">
      <c r="A1828" t="s">
        <v>861</v>
      </c>
      <c r="B1828" t="s">
        <v>93</v>
      </c>
      <c r="C1828" t="s">
        <v>94</v>
      </c>
      <c r="D1828" t="s">
        <v>97</v>
      </c>
      <c r="E1828" t="s">
        <v>98</v>
      </c>
      <c r="F1828" t="s">
        <v>51</v>
      </c>
      <c r="G1828">
        <v>35</v>
      </c>
    </row>
    <row r="1829" spans="1:7" x14ac:dyDescent="0.2">
      <c r="A1829" t="s">
        <v>861</v>
      </c>
      <c r="B1829" t="s">
        <v>93</v>
      </c>
      <c r="C1829" t="s">
        <v>94</v>
      </c>
      <c r="D1829" t="s">
        <v>99</v>
      </c>
      <c r="E1829" t="s">
        <v>100</v>
      </c>
      <c r="F1829" t="s">
        <v>28</v>
      </c>
      <c r="G1829">
        <v>132</v>
      </c>
    </row>
    <row r="1830" spans="1:7" x14ac:dyDescent="0.2">
      <c r="A1830" t="s">
        <v>861</v>
      </c>
      <c r="B1830" t="s">
        <v>93</v>
      </c>
      <c r="C1830" t="s">
        <v>94</v>
      </c>
      <c r="D1830" t="s">
        <v>101</v>
      </c>
      <c r="E1830" t="s">
        <v>102</v>
      </c>
      <c r="F1830" t="s">
        <v>25</v>
      </c>
      <c r="G1830">
        <v>29</v>
      </c>
    </row>
    <row r="1831" spans="1:7" x14ac:dyDescent="0.2">
      <c r="A1831" t="s">
        <v>861</v>
      </c>
      <c r="B1831" t="s">
        <v>93</v>
      </c>
      <c r="C1831" t="s">
        <v>94</v>
      </c>
      <c r="D1831" t="s">
        <v>103</v>
      </c>
      <c r="E1831" t="s">
        <v>104</v>
      </c>
      <c r="F1831" t="s">
        <v>11</v>
      </c>
      <c r="G1831">
        <v>7</v>
      </c>
    </row>
    <row r="1832" spans="1:7" x14ac:dyDescent="0.2">
      <c r="A1832" t="s">
        <v>861</v>
      </c>
      <c r="B1832" t="s">
        <v>93</v>
      </c>
      <c r="C1832" t="s">
        <v>94</v>
      </c>
      <c r="D1832" t="s">
        <v>105</v>
      </c>
      <c r="E1832" t="s">
        <v>106</v>
      </c>
      <c r="F1832" t="s">
        <v>11</v>
      </c>
      <c r="G1832">
        <v>136</v>
      </c>
    </row>
    <row r="1833" spans="1:7" x14ac:dyDescent="0.2">
      <c r="A1833" t="s">
        <v>861</v>
      </c>
      <c r="B1833" t="s">
        <v>93</v>
      </c>
      <c r="C1833" t="s">
        <v>94</v>
      </c>
      <c r="D1833" t="s">
        <v>107</v>
      </c>
      <c r="E1833" t="s">
        <v>108</v>
      </c>
      <c r="F1833" t="s">
        <v>11</v>
      </c>
      <c r="G1833">
        <v>0</v>
      </c>
    </row>
    <row r="1834" spans="1:7" x14ac:dyDescent="0.2">
      <c r="A1834" t="s">
        <v>861</v>
      </c>
      <c r="B1834" t="s">
        <v>93</v>
      </c>
      <c r="C1834" t="s">
        <v>94</v>
      </c>
      <c r="D1834" t="s">
        <v>45</v>
      </c>
      <c r="G1834">
        <v>0</v>
      </c>
    </row>
    <row r="1835" spans="1:7" x14ac:dyDescent="0.2">
      <c r="A1835" t="s">
        <v>861</v>
      </c>
      <c r="B1835" t="s">
        <v>93</v>
      </c>
      <c r="C1835" t="s">
        <v>94</v>
      </c>
      <c r="D1835" t="s">
        <v>46</v>
      </c>
      <c r="G1835">
        <v>35</v>
      </c>
    </row>
    <row r="1836" spans="1:7" x14ac:dyDescent="0.2">
      <c r="A1836" t="s">
        <v>861</v>
      </c>
      <c r="B1836" t="s">
        <v>109</v>
      </c>
      <c r="C1836" t="s">
        <v>110</v>
      </c>
      <c r="D1836" t="s">
        <v>8</v>
      </c>
      <c r="G1836">
        <v>1465</v>
      </c>
    </row>
    <row r="1837" spans="1:7" x14ac:dyDescent="0.2">
      <c r="A1837" t="s">
        <v>861</v>
      </c>
      <c r="B1837" t="s">
        <v>109</v>
      </c>
      <c r="C1837" t="s">
        <v>110</v>
      </c>
      <c r="D1837" t="s">
        <v>111</v>
      </c>
      <c r="E1837" t="s">
        <v>112</v>
      </c>
      <c r="F1837" t="s">
        <v>22</v>
      </c>
      <c r="G1837">
        <v>1152</v>
      </c>
    </row>
    <row r="1838" spans="1:7" x14ac:dyDescent="0.2">
      <c r="A1838" t="s">
        <v>861</v>
      </c>
      <c r="B1838" t="s">
        <v>109</v>
      </c>
      <c r="C1838" t="s">
        <v>110</v>
      </c>
      <c r="D1838" t="s">
        <v>113</v>
      </c>
      <c r="E1838" t="s">
        <v>114</v>
      </c>
      <c r="F1838" t="s">
        <v>28</v>
      </c>
      <c r="G1838">
        <v>148</v>
      </c>
    </row>
    <row r="1839" spans="1:7" x14ac:dyDescent="0.2">
      <c r="A1839" t="s">
        <v>861</v>
      </c>
      <c r="B1839" t="s">
        <v>109</v>
      </c>
      <c r="C1839" t="s">
        <v>110</v>
      </c>
      <c r="D1839" t="s">
        <v>115</v>
      </c>
      <c r="E1839" t="s">
        <v>116</v>
      </c>
      <c r="F1839" t="s">
        <v>25</v>
      </c>
      <c r="G1839">
        <v>36</v>
      </c>
    </row>
    <row r="1840" spans="1:7" x14ac:dyDescent="0.2">
      <c r="A1840" t="s">
        <v>861</v>
      </c>
      <c r="B1840" t="s">
        <v>109</v>
      </c>
      <c r="C1840" t="s">
        <v>110</v>
      </c>
      <c r="D1840" t="s">
        <v>117</v>
      </c>
      <c r="E1840" t="s">
        <v>118</v>
      </c>
      <c r="F1840" t="s">
        <v>11</v>
      </c>
      <c r="G1840">
        <v>29</v>
      </c>
    </row>
    <row r="1841" spans="1:7" x14ac:dyDescent="0.2">
      <c r="A1841" t="s">
        <v>861</v>
      </c>
      <c r="B1841" t="s">
        <v>109</v>
      </c>
      <c r="C1841" t="s">
        <v>110</v>
      </c>
      <c r="D1841" t="s">
        <v>119</v>
      </c>
      <c r="E1841" t="s">
        <v>120</v>
      </c>
      <c r="F1841" t="s">
        <v>88</v>
      </c>
      <c r="G1841">
        <v>50</v>
      </c>
    </row>
    <row r="1842" spans="1:7" x14ac:dyDescent="0.2">
      <c r="A1842" t="s">
        <v>861</v>
      </c>
      <c r="B1842" t="s">
        <v>109</v>
      </c>
      <c r="C1842" t="s">
        <v>110</v>
      </c>
      <c r="D1842" t="s">
        <v>45</v>
      </c>
      <c r="G1842">
        <v>0</v>
      </c>
    </row>
    <row r="1843" spans="1:7" x14ac:dyDescent="0.2">
      <c r="A1843" t="s">
        <v>861</v>
      </c>
      <c r="B1843" t="s">
        <v>109</v>
      </c>
      <c r="C1843" t="s">
        <v>110</v>
      </c>
      <c r="D1843" t="s">
        <v>46</v>
      </c>
      <c r="G1843">
        <v>50</v>
      </c>
    </row>
    <row r="1844" spans="1:7" x14ac:dyDescent="0.2">
      <c r="A1844" t="s">
        <v>861</v>
      </c>
      <c r="B1844" t="s">
        <v>121</v>
      </c>
      <c r="C1844" t="s">
        <v>122</v>
      </c>
      <c r="D1844" t="s">
        <v>8</v>
      </c>
      <c r="G1844">
        <v>1465</v>
      </c>
    </row>
    <row r="1845" spans="1:7" x14ac:dyDescent="0.2">
      <c r="A1845" t="s">
        <v>861</v>
      </c>
      <c r="B1845" t="s">
        <v>121</v>
      </c>
      <c r="C1845" t="s">
        <v>122</v>
      </c>
      <c r="D1845" t="s">
        <v>123</v>
      </c>
      <c r="E1845" t="s">
        <v>124</v>
      </c>
      <c r="F1845" t="s">
        <v>22</v>
      </c>
      <c r="G1845">
        <v>1167</v>
      </c>
    </row>
    <row r="1846" spans="1:7" x14ac:dyDescent="0.2">
      <c r="A1846" t="s">
        <v>861</v>
      </c>
      <c r="B1846" t="s">
        <v>121</v>
      </c>
      <c r="C1846" t="s">
        <v>122</v>
      </c>
      <c r="D1846" t="s">
        <v>125</v>
      </c>
      <c r="E1846" t="s">
        <v>126</v>
      </c>
      <c r="F1846" t="s">
        <v>16</v>
      </c>
      <c r="G1846">
        <v>53</v>
      </c>
    </row>
    <row r="1847" spans="1:7" x14ac:dyDescent="0.2">
      <c r="A1847" t="s">
        <v>861</v>
      </c>
      <c r="B1847" t="s">
        <v>121</v>
      </c>
      <c r="C1847" t="s">
        <v>122</v>
      </c>
      <c r="D1847" t="s">
        <v>127</v>
      </c>
      <c r="E1847" t="s">
        <v>128</v>
      </c>
      <c r="F1847" t="s">
        <v>28</v>
      </c>
      <c r="G1847">
        <v>159</v>
      </c>
    </row>
    <row r="1848" spans="1:7" x14ac:dyDescent="0.2">
      <c r="A1848" t="s">
        <v>861</v>
      </c>
      <c r="B1848" t="s">
        <v>121</v>
      </c>
      <c r="C1848" t="s">
        <v>122</v>
      </c>
      <c r="D1848" t="s">
        <v>45</v>
      </c>
      <c r="G1848">
        <v>0</v>
      </c>
    </row>
    <row r="1849" spans="1:7" x14ac:dyDescent="0.2">
      <c r="A1849" t="s">
        <v>861</v>
      </c>
      <c r="B1849" t="s">
        <v>121</v>
      </c>
      <c r="C1849" t="s">
        <v>122</v>
      </c>
      <c r="D1849" t="s">
        <v>46</v>
      </c>
      <c r="G1849">
        <v>86</v>
      </c>
    </row>
    <row r="1850" spans="1:7" x14ac:dyDescent="0.2">
      <c r="A1850" t="s">
        <v>861</v>
      </c>
      <c r="B1850" t="s">
        <v>129</v>
      </c>
      <c r="C1850" t="s">
        <v>130</v>
      </c>
      <c r="D1850" t="s">
        <v>8</v>
      </c>
      <c r="G1850">
        <v>1465</v>
      </c>
    </row>
    <row r="1851" spans="1:7" x14ac:dyDescent="0.2">
      <c r="A1851" t="s">
        <v>861</v>
      </c>
      <c r="B1851" t="s">
        <v>129</v>
      </c>
      <c r="C1851" t="s">
        <v>130</v>
      </c>
      <c r="D1851" t="s">
        <v>131</v>
      </c>
      <c r="E1851" t="s">
        <v>132</v>
      </c>
      <c r="F1851" t="s">
        <v>133</v>
      </c>
      <c r="G1851">
        <v>37</v>
      </c>
    </row>
    <row r="1852" spans="1:7" x14ac:dyDescent="0.2">
      <c r="A1852" t="s">
        <v>861</v>
      </c>
      <c r="B1852" t="s">
        <v>129</v>
      </c>
      <c r="C1852" t="s">
        <v>130</v>
      </c>
      <c r="D1852" t="s">
        <v>134</v>
      </c>
      <c r="E1852" t="s">
        <v>135</v>
      </c>
      <c r="F1852" t="s">
        <v>22</v>
      </c>
      <c r="G1852">
        <v>1168</v>
      </c>
    </row>
    <row r="1853" spans="1:7" x14ac:dyDescent="0.2">
      <c r="A1853" t="s">
        <v>861</v>
      </c>
      <c r="B1853" t="s">
        <v>129</v>
      </c>
      <c r="C1853" t="s">
        <v>130</v>
      </c>
      <c r="D1853" t="s">
        <v>136</v>
      </c>
      <c r="E1853" t="s">
        <v>137</v>
      </c>
      <c r="F1853" t="s">
        <v>28</v>
      </c>
      <c r="G1853">
        <v>170</v>
      </c>
    </row>
    <row r="1854" spans="1:7" x14ac:dyDescent="0.2">
      <c r="A1854" t="s">
        <v>861</v>
      </c>
      <c r="B1854" t="s">
        <v>129</v>
      </c>
      <c r="C1854" t="s">
        <v>130</v>
      </c>
      <c r="D1854" t="s">
        <v>45</v>
      </c>
      <c r="G1854">
        <v>0</v>
      </c>
    </row>
    <row r="1855" spans="1:7" x14ac:dyDescent="0.2">
      <c r="A1855" t="s">
        <v>861</v>
      </c>
      <c r="B1855" t="s">
        <v>129</v>
      </c>
      <c r="C1855" t="s">
        <v>130</v>
      </c>
      <c r="D1855" t="s">
        <v>46</v>
      </c>
      <c r="G1855">
        <v>90</v>
      </c>
    </row>
    <row r="1856" spans="1:7" x14ac:dyDescent="0.2">
      <c r="A1856" t="s">
        <v>861</v>
      </c>
      <c r="B1856" t="s">
        <v>138</v>
      </c>
      <c r="C1856" t="s">
        <v>139</v>
      </c>
      <c r="D1856" t="s">
        <v>8</v>
      </c>
      <c r="G1856">
        <v>1465</v>
      </c>
    </row>
    <row r="1857" spans="1:7" x14ac:dyDescent="0.2">
      <c r="A1857" t="s">
        <v>861</v>
      </c>
      <c r="B1857" t="s">
        <v>138</v>
      </c>
      <c r="C1857" t="s">
        <v>139</v>
      </c>
      <c r="D1857" t="s">
        <v>140</v>
      </c>
      <c r="E1857" t="s">
        <v>141</v>
      </c>
      <c r="F1857" t="s">
        <v>22</v>
      </c>
      <c r="G1857">
        <v>1190</v>
      </c>
    </row>
    <row r="1858" spans="1:7" x14ac:dyDescent="0.2">
      <c r="A1858" t="s">
        <v>861</v>
      </c>
      <c r="B1858" t="s">
        <v>138</v>
      </c>
      <c r="C1858" t="s">
        <v>139</v>
      </c>
      <c r="D1858" t="s">
        <v>142</v>
      </c>
      <c r="E1858" t="s">
        <v>143</v>
      </c>
      <c r="F1858" t="s">
        <v>28</v>
      </c>
      <c r="G1858">
        <v>190</v>
      </c>
    </row>
    <row r="1859" spans="1:7" x14ac:dyDescent="0.2">
      <c r="A1859" t="s">
        <v>861</v>
      </c>
      <c r="B1859" t="s">
        <v>138</v>
      </c>
      <c r="C1859" t="s">
        <v>139</v>
      </c>
      <c r="D1859" t="s">
        <v>45</v>
      </c>
      <c r="G1859">
        <v>0</v>
      </c>
    </row>
    <row r="1860" spans="1:7" x14ac:dyDescent="0.2">
      <c r="A1860" t="s">
        <v>861</v>
      </c>
      <c r="B1860" t="s">
        <v>138</v>
      </c>
      <c r="C1860" t="s">
        <v>139</v>
      </c>
      <c r="D1860" t="s">
        <v>46</v>
      </c>
      <c r="G1860">
        <v>85</v>
      </c>
    </row>
    <row r="1861" spans="1:7" x14ac:dyDescent="0.2">
      <c r="A1861" t="s">
        <v>861</v>
      </c>
      <c r="B1861" t="s">
        <v>246</v>
      </c>
      <c r="C1861" t="s">
        <v>247</v>
      </c>
      <c r="D1861" t="s">
        <v>8</v>
      </c>
      <c r="G1861">
        <v>1465</v>
      </c>
    </row>
    <row r="1862" spans="1:7" x14ac:dyDescent="0.2">
      <c r="A1862" t="s">
        <v>861</v>
      </c>
      <c r="B1862" t="s">
        <v>246</v>
      </c>
      <c r="C1862" t="s">
        <v>247</v>
      </c>
      <c r="D1862" t="s">
        <v>248</v>
      </c>
      <c r="E1862" t="s">
        <v>249</v>
      </c>
      <c r="F1862" t="s">
        <v>22</v>
      </c>
      <c r="G1862">
        <v>1174</v>
      </c>
    </row>
    <row r="1863" spans="1:7" x14ac:dyDescent="0.2">
      <c r="A1863" t="s">
        <v>861</v>
      </c>
      <c r="B1863" t="s">
        <v>246</v>
      </c>
      <c r="C1863" t="s">
        <v>247</v>
      </c>
      <c r="D1863" t="s">
        <v>250</v>
      </c>
      <c r="E1863" t="s">
        <v>251</v>
      </c>
      <c r="F1863" t="s">
        <v>28</v>
      </c>
      <c r="G1863">
        <v>198</v>
      </c>
    </row>
    <row r="1864" spans="1:7" x14ac:dyDescent="0.2">
      <c r="A1864" t="s">
        <v>861</v>
      </c>
      <c r="B1864" t="s">
        <v>246</v>
      </c>
      <c r="C1864" t="s">
        <v>247</v>
      </c>
      <c r="D1864" t="s">
        <v>45</v>
      </c>
      <c r="G1864">
        <v>0</v>
      </c>
    </row>
    <row r="1865" spans="1:7" x14ac:dyDescent="0.2">
      <c r="A1865" t="s">
        <v>861</v>
      </c>
      <c r="B1865" t="s">
        <v>246</v>
      </c>
      <c r="C1865" t="s">
        <v>247</v>
      </c>
      <c r="D1865" t="s">
        <v>46</v>
      </c>
      <c r="G1865">
        <v>93</v>
      </c>
    </row>
    <row r="1866" spans="1:7" x14ac:dyDescent="0.2">
      <c r="A1866" t="s">
        <v>861</v>
      </c>
      <c r="B1866" t="s">
        <v>692</v>
      </c>
      <c r="C1866" t="s">
        <v>693</v>
      </c>
      <c r="D1866" t="s">
        <v>8</v>
      </c>
      <c r="G1866">
        <v>1465</v>
      </c>
    </row>
    <row r="1867" spans="1:7" x14ac:dyDescent="0.2">
      <c r="A1867" t="s">
        <v>861</v>
      </c>
      <c r="B1867" t="s">
        <v>692</v>
      </c>
      <c r="C1867" t="s">
        <v>693</v>
      </c>
      <c r="D1867" t="s">
        <v>694</v>
      </c>
      <c r="E1867" t="s">
        <v>695</v>
      </c>
      <c r="G1867">
        <v>1100</v>
      </c>
    </row>
    <row r="1868" spans="1:7" x14ac:dyDescent="0.2">
      <c r="A1868" t="s">
        <v>861</v>
      </c>
      <c r="B1868" t="s">
        <v>692</v>
      </c>
      <c r="C1868" t="s">
        <v>693</v>
      </c>
      <c r="D1868" t="s">
        <v>696</v>
      </c>
      <c r="E1868" t="s">
        <v>697</v>
      </c>
      <c r="G1868">
        <v>146</v>
      </c>
    </row>
    <row r="1869" spans="1:7" x14ac:dyDescent="0.2">
      <c r="A1869" t="s">
        <v>861</v>
      </c>
      <c r="B1869" t="s">
        <v>692</v>
      </c>
      <c r="C1869" t="s">
        <v>693</v>
      </c>
      <c r="D1869" t="s">
        <v>45</v>
      </c>
      <c r="G1869">
        <v>0</v>
      </c>
    </row>
    <row r="1870" spans="1:7" x14ac:dyDescent="0.2">
      <c r="A1870" t="s">
        <v>861</v>
      </c>
      <c r="B1870" t="s">
        <v>692</v>
      </c>
      <c r="C1870" t="s">
        <v>693</v>
      </c>
      <c r="D1870" t="s">
        <v>46</v>
      </c>
      <c r="G1870">
        <v>219</v>
      </c>
    </row>
    <row r="1871" spans="1:7" x14ac:dyDescent="0.2">
      <c r="A1871" t="s">
        <v>861</v>
      </c>
      <c r="B1871" t="s">
        <v>698</v>
      </c>
      <c r="C1871" t="s">
        <v>699</v>
      </c>
      <c r="D1871" t="s">
        <v>8</v>
      </c>
      <c r="G1871">
        <v>1465</v>
      </c>
    </row>
    <row r="1872" spans="1:7" x14ac:dyDescent="0.2">
      <c r="A1872" t="s">
        <v>861</v>
      </c>
      <c r="B1872" t="s">
        <v>698</v>
      </c>
      <c r="C1872" t="s">
        <v>699</v>
      </c>
      <c r="D1872" t="s">
        <v>694</v>
      </c>
      <c r="E1872" t="s">
        <v>700</v>
      </c>
      <c r="G1872">
        <v>1072</v>
      </c>
    </row>
    <row r="1873" spans="1:7" x14ac:dyDescent="0.2">
      <c r="A1873" t="s">
        <v>861</v>
      </c>
      <c r="B1873" t="s">
        <v>698</v>
      </c>
      <c r="C1873" t="s">
        <v>699</v>
      </c>
      <c r="D1873" t="s">
        <v>696</v>
      </c>
      <c r="E1873" t="s">
        <v>701</v>
      </c>
      <c r="G1873">
        <v>166</v>
      </c>
    </row>
    <row r="1874" spans="1:7" x14ac:dyDescent="0.2">
      <c r="A1874" t="s">
        <v>861</v>
      </c>
      <c r="B1874" t="s">
        <v>698</v>
      </c>
      <c r="C1874" t="s">
        <v>699</v>
      </c>
      <c r="D1874" t="s">
        <v>45</v>
      </c>
      <c r="G1874">
        <v>0</v>
      </c>
    </row>
    <row r="1875" spans="1:7" x14ac:dyDescent="0.2">
      <c r="A1875" t="s">
        <v>861</v>
      </c>
      <c r="B1875" t="s">
        <v>698</v>
      </c>
      <c r="C1875" t="s">
        <v>699</v>
      </c>
      <c r="D1875" t="s">
        <v>46</v>
      </c>
      <c r="G1875">
        <v>227</v>
      </c>
    </row>
    <row r="1876" spans="1:7" x14ac:dyDescent="0.2">
      <c r="A1876" t="s">
        <v>861</v>
      </c>
      <c r="B1876" t="s">
        <v>702</v>
      </c>
      <c r="C1876" t="s">
        <v>703</v>
      </c>
      <c r="D1876" t="s">
        <v>8</v>
      </c>
      <c r="G1876">
        <v>1465</v>
      </c>
    </row>
    <row r="1877" spans="1:7" x14ac:dyDescent="0.2">
      <c r="A1877" t="s">
        <v>861</v>
      </c>
      <c r="B1877" t="s">
        <v>702</v>
      </c>
      <c r="C1877" t="s">
        <v>703</v>
      </c>
      <c r="D1877" t="s">
        <v>694</v>
      </c>
      <c r="E1877" t="s">
        <v>704</v>
      </c>
      <c r="G1877">
        <v>1042</v>
      </c>
    </row>
    <row r="1878" spans="1:7" x14ac:dyDescent="0.2">
      <c r="A1878" t="s">
        <v>861</v>
      </c>
      <c r="B1878" t="s">
        <v>702</v>
      </c>
      <c r="C1878" t="s">
        <v>703</v>
      </c>
      <c r="D1878" t="s">
        <v>696</v>
      </c>
      <c r="E1878" t="s">
        <v>705</v>
      </c>
      <c r="G1878">
        <v>193</v>
      </c>
    </row>
    <row r="1879" spans="1:7" x14ac:dyDescent="0.2">
      <c r="A1879" t="s">
        <v>861</v>
      </c>
      <c r="B1879" t="s">
        <v>702</v>
      </c>
      <c r="C1879" t="s">
        <v>703</v>
      </c>
      <c r="D1879" t="s">
        <v>45</v>
      </c>
      <c r="G1879">
        <v>0</v>
      </c>
    </row>
    <row r="1880" spans="1:7" x14ac:dyDescent="0.2">
      <c r="A1880" t="s">
        <v>861</v>
      </c>
      <c r="B1880" t="s">
        <v>702</v>
      </c>
      <c r="C1880" t="s">
        <v>703</v>
      </c>
      <c r="D1880" t="s">
        <v>46</v>
      </c>
      <c r="G1880">
        <v>230</v>
      </c>
    </row>
    <row r="1881" spans="1:7" x14ac:dyDescent="0.2">
      <c r="A1881" t="s">
        <v>861</v>
      </c>
      <c r="B1881" t="s">
        <v>706</v>
      </c>
      <c r="C1881" t="s">
        <v>707</v>
      </c>
      <c r="D1881" t="s">
        <v>8</v>
      </c>
      <c r="G1881">
        <v>1465</v>
      </c>
    </row>
    <row r="1882" spans="1:7" x14ac:dyDescent="0.2">
      <c r="A1882" t="s">
        <v>861</v>
      </c>
      <c r="B1882" t="s">
        <v>706</v>
      </c>
      <c r="C1882" t="s">
        <v>707</v>
      </c>
      <c r="D1882" t="s">
        <v>694</v>
      </c>
      <c r="E1882" t="s">
        <v>708</v>
      </c>
      <c r="G1882">
        <v>1068</v>
      </c>
    </row>
    <row r="1883" spans="1:7" x14ac:dyDescent="0.2">
      <c r="A1883" t="s">
        <v>861</v>
      </c>
      <c r="B1883" t="s">
        <v>706</v>
      </c>
      <c r="C1883" t="s">
        <v>707</v>
      </c>
      <c r="D1883" t="s">
        <v>696</v>
      </c>
      <c r="E1883" t="s">
        <v>709</v>
      </c>
      <c r="G1883">
        <v>171</v>
      </c>
    </row>
    <row r="1884" spans="1:7" x14ac:dyDescent="0.2">
      <c r="A1884" t="s">
        <v>861</v>
      </c>
      <c r="B1884" t="s">
        <v>706</v>
      </c>
      <c r="C1884" t="s">
        <v>707</v>
      </c>
      <c r="D1884" t="s">
        <v>45</v>
      </c>
      <c r="G1884">
        <v>0</v>
      </c>
    </row>
    <row r="1885" spans="1:7" x14ac:dyDescent="0.2">
      <c r="A1885" t="s">
        <v>861</v>
      </c>
      <c r="B1885" t="s">
        <v>706</v>
      </c>
      <c r="C1885" t="s">
        <v>707</v>
      </c>
      <c r="D1885" t="s">
        <v>46</v>
      </c>
      <c r="G1885">
        <v>226</v>
      </c>
    </row>
    <row r="1886" spans="1:7" x14ac:dyDescent="0.2">
      <c r="A1886" t="s">
        <v>861</v>
      </c>
      <c r="B1886" t="s">
        <v>802</v>
      </c>
      <c r="C1886" t="s">
        <v>803</v>
      </c>
      <c r="D1886" t="s">
        <v>8</v>
      </c>
      <c r="G1886">
        <v>1465</v>
      </c>
    </row>
    <row r="1887" spans="1:7" x14ac:dyDescent="0.2">
      <c r="A1887" t="s">
        <v>861</v>
      </c>
      <c r="B1887" t="s">
        <v>802</v>
      </c>
      <c r="C1887" t="s">
        <v>803</v>
      </c>
      <c r="D1887" t="s">
        <v>694</v>
      </c>
      <c r="E1887" t="s">
        <v>804</v>
      </c>
      <c r="G1887">
        <v>1085</v>
      </c>
    </row>
    <row r="1888" spans="1:7" x14ac:dyDescent="0.2">
      <c r="A1888" t="s">
        <v>861</v>
      </c>
      <c r="B1888" t="s">
        <v>802</v>
      </c>
      <c r="C1888" t="s">
        <v>803</v>
      </c>
      <c r="D1888" t="s">
        <v>696</v>
      </c>
      <c r="E1888" t="s">
        <v>805</v>
      </c>
      <c r="G1888">
        <v>155</v>
      </c>
    </row>
    <row r="1889" spans="1:7" x14ac:dyDescent="0.2">
      <c r="A1889" t="s">
        <v>861</v>
      </c>
      <c r="B1889" t="s">
        <v>802</v>
      </c>
      <c r="C1889" t="s">
        <v>803</v>
      </c>
      <c r="D1889" t="s">
        <v>45</v>
      </c>
      <c r="G1889">
        <v>0</v>
      </c>
    </row>
    <row r="1890" spans="1:7" x14ac:dyDescent="0.2">
      <c r="A1890" t="s">
        <v>861</v>
      </c>
      <c r="B1890" t="s">
        <v>802</v>
      </c>
      <c r="C1890" t="s">
        <v>803</v>
      </c>
      <c r="D1890" t="s">
        <v>46</v>
      </c>
      <c r="G1890">
        <v>225</v>
      </c>
    </row>
    <row r="1891" spans="1:7" x14ac:dyDescent="0.2">
      <c r="A1891" t="s">
        <v>861</v>
      </c>
      <c r="B1891" t="s">
        <v>834</v>
      </c>
      <c r="C1891" t="s">
        <v>835</v>
      </c>
      <c r="D1891" t="s">
        <v>8</v>
      </c>
      <c r="G1891">
        <v>1465</v>
      </c>
    </row>
    <row r="1892" spans="1:7" x14ac:dyDescent="0.2">
      <c r="A1892" t="s">
        <v>861</v>
      </c>
      <c r="B1892" t="s">
        <v>834</v>
      </c>
      <c r="C1892" t="s">
        <v>835</v>
      </c>
      <c r="D1892" t="s">
        <v>836</v>
      </c>
      <c r="E1892" t="s">
        <v>837</v>
      </c>
      <c r="G1892">
        <v>914</v>
      </c>
    </row>
    <row r="1893" spans="1:7" x14ac:dyDescent="0.2">
      <c r="A1893" t="s">
        <v>861</v>
      </c>
      <c r="B1893" t="s">
        <v>834</v>
      </c>
      <c r="C1893" t="s">
        <v>835</v>
      </c>
      <c r="D1893" t="s">
        <v>838</v>
      </c>
      <c r="E1893" t="s">
        <v>839</v>
      </c>
      <c r="G1893">
        <v>452</v>
      </c>
    </row>
    <row r="1894" spans="1:7" x14ac:dyDescent="0.2">
      <c r="A1894" t="s">
        <v>861</v>
      </c>
      <c r="B1894" t="s">
        <v>834</v>
      </c>
      <c r="C1894" t="s">
        <v>835</v>
      </c>
      <c r="D1894" t="s">
        <v>45</v>
      </c>
      <c r="G1894">
        <v>0</v>
      </c>
    </row>
    <row r="1895" spans="1:7" x14ac:dyDescent="0.2">
      <c r="A1895" t="s">
        <v>861</v>
      </c>
      <c r="B1895" t="s">
        <v>834</v>
      </c>
      <c r="C1895" t="s">
        <v>835</v>
      </c>
      <c r="D1895" t="s">
        <v>46</v>
      </c>
      <c r="G1895">
        <v>99</v>
      </c>
    </row>
    <row r="1896" spans="1:7" x14ac:dyDescent="0.2">
      <c r="A1896" t="s">
        <v>861</v>
      </c>
      <c r="B1896" t="s">
        <v>840</v>
      </c>
      <c r="C1896" t="s">
        <v>841</v>
      </c>
      <c r="D1896" t="s">
        <v>8</v>
      </c>
      <c r="G1896">
        <v>1465</v>
      </c>
    </row>
    <row r="1897" spans="1:7" x14ac:dyDescent="0.2">
      <c r="A1897" t="s">
        <v>861</v>
      </c>
      <c r="B1897" t="s">
        <v>840</v>
      </c>
      <c r="C1897" t="s">
        <v>841</v>
      </c>
      <c r="D1897" t="s">
        <v>836</v>
      </c>
      <c r="E1897" t="s">
        <v>842</v>
      </c>
      <c r="G1897">
        <v>1194</v>
      </c>
    </row>
    <row r="1898" spans="1:7" x14ac:dyDescent="0.2">
      <c r="A1898" t="s">
        <v>861</v>
      </c>
      <c r="B1898" t="s">
        <v>840</v>
      </c>
      <c r="C1898" t="s">
        <v>841</v>
      </c>
      <c r="D1898" t="s">
        <v>838</v>
      </c>
      <c r="E1898" t="s">
        <v>843</v>
      </c>
      <c r="G1898">
        <v>182</v>
      </c>
    </row>
    <row r="1899" spans="1:7" x14ac:dyDescent="0.2">
      <c r="A1899" t="s">
        <v>861</v>
      </c>
      <c r="B1899" t="s">
        <v>840</v>
      </c>
      <c r="C1899" t="s">
        <v>841</v>
      </c>
      <c r="D1899" t="s">
        <v>45</v>
      </c>
      <c r="G1899">
        <v>0</v>
      </c>
    </row>
    <row r="1900" spans="1:7" x14ac:dyDescent="0.2">
      <c r="A1900" t="s">
        <v>861</v>
      </c>
      <c r="B1900" t="s">
        <v>840</v>
      </c>
      <c r="C1900" t="s">
        <v>841</v>
      </c>
      <c r="D1900" t="s">
        <v>46</v>
      </c>
      <c r="G1900">
        <v>89</v>
      </c>
    </row>
    <row r="1901" spans="1:7" x14ac:dyDescent="0.2">
      <c r="A1901" t="s">
        <v>862</v>
      </c>
      <c r="B1901" t="s">
        <v>6</v>
      </c>
      <c r="C1901" t="s">
        <v>7</v>
      </c>
      <c r="D1901" t="s">
        <v>8</v>
      </c>
      <c r="G1901">
        <v>521789</v>
      </c>
    </row>
    <row r="1902" spans="1:7" x14ac:dyDescent="0.2">
      <c r="A1902" t="s">
        <v>862</v>
      </c>
      <c r="B1902" t="s">
        <v>6</v>
      </c>
      <c r="C1902" t="s">
        <v>7</v>
      </c>
      <c r="D1902" t="s">
        <v>9</v>
      </c>
      <c r="E1902" t="s">
        <v>10</v>
      </c>
      <c r="F1902" t="s">
        <v>11</v>
      </c>
      <c r="G1902">
        <v>921</v>
      </c>
    </row>
    <row r="1903" spans="1:7" x14ac:dyDescent="0.2">
      <c r="A1903" t="s">
        <v>862</v>
      </c>
      <c r="B1903" t="s">
        <v>6</v>
      </c>
      <c r="C1903" t="s">
        <v>7</v>
      </c>
      <c r="D1903" t="s">
        <v>12</v>
      </c>
      <c r="E1903" t="s">
        <v>13</v>
      </c>
      <c r="F1903" t="s">
        <v>11</v>
      </c>
      <c r="G1903">
        <v>990</v>
      </c>
    </row>
    <row r="1904" spans="1:7" x14ac:dyDescent="0.2">
      <c r="A1904" t="s">
        <v>862</v>
      </c>
      <c r="B1904" t="s">
        <v>6</v>
      </c>
      <c r="C1904" t="s">
        <v>7</v>
      </c>
      <c r="D1904" t="s">
        <v>14</v>
      </c>
      <c r="E1904" t="s">
        <v>15</v>
      </c>
      <c r="F1904" t="s">
        <v>16</v>
      </c>
      <c r="G1904">
        <v>2090</v>
      </c>
    </row>
    <row r="1905" spans="1:7" x14ac:dyDescent="0.2">
      <c r="A1905" t="s">
        <v>862</v>
      </c>
      <c r="B1905" t="s">
        <v>6</v>
      </c>
      <c r="C1905" t="s">
        <v>7</v>
      </c>
      <c r="D1905" t="s">
        <v>17</v>
      </c>
      <c r="E1905" t="s">
        <v>18</v>
      </c>
      <c r="F1905" t="s">
        <v>19</v>
      </c>
      <c r="G1905">
        <v>3581</v>
      </c>
    </row>
    <row r="1906" spans="1:7" x14ac:dyDescent="0.2">
      <c r="A1906" t="s">
        <v>862</v>
      </c>
      <c r="B1906" t="s">
        <v>6</v>
      </c>
      <c r="C1906" t="s">
        <v>7</v>
      </c>
      <c r="D1906" t="s">
        <v>20</v>
      </c>
      <c r="E1906" t="s">
        <v>21</v>
      </c>
      <c r="F1906" t="s">
        <v>22</v>
      </c>
      <c r="G1906">
        <v>221555</v>
      </c>
    </row>
    <row r="1907" spans="1:7" x14ac:dyDescent="0.2">
      <c r="A1907" t="s">
        <v>862</v>
      </c>
      <c r="B1907" t="s">
        <v>6</v>
      </c>
      <c r="C1907" t="s">
        <v>7</v>
      </c>
      <c r="D1907" t="s">
        <v>23</v>
      </c>
      <c r="E1907" t="s">
        <v>24</v>
      </c>
      <c r="F1907" t="s">
        <v>25</v>
      </c>
      <c r="G1907">
        <v>5260</v>
      </c>
    </row>
    <row r="1908" spans="1:7" x14ac:dyDescent="0.2">
      <c r="A1908" t="s">
        <v>862</v>
      </c>
      <c r="B1908" t="s">
        <v>6</v>
      </c>
      <c r="C1908" t="s">
        <v>7</v>
      </c>
      <c r="D1908" t="s">
        <v>26</v>
      </c>
      <c r="E1908" t="s">
        <v>27</v>
      </c>
      <c r="F1908" t="s">
        <v>28</v>
      </c>
      <c r="G1908">
        <v>273658</v>
      </c>
    </row>
    <row r="1909" spans="1:7" x14ac:dyDescent="0.2">
      <c r="A1909" t="s">
        <v>862</v>
      </c>
      <c r="B1909" t="s">
        <v>6</v>
      </c>
      <c r="C1909" t="s">
        <v>7</v>
      </c>
      <c r="D1909" t="s">
        <v>29</v>
      </c>
      <c r="E1909" t="s">
        <v>30</v>
      </c>
      <c r="F1909" t="s">
        <v>11</v>
      </c>
      <c r="G1909">
        <v>1437</v>
      </c>
    </row>
    <row r="1910" spans="1:7" x14ac:dyDescent="0.2">
      <c r="A1910" t="s">
        <v>862</v>
      </c>
      <c r="B1910" t="s">
        <v>6</v>
      </c>
      <c r="C1910" t="s">
        <v>7</v>
      </c>
      <c r="D1910" t="s">
        <v>31</v>
      </c>
      <c r="E1910" t="s">
        <v>32</v>
      </c>
      <c r="F1910" t="s">
        <v>11</v>
      </c>
      <c r="G1910">
        <v>0</v>
      </c>
    </row>
    <row r="1911" spans="1:7" x14ac:dyDescent="0.2">
      <c r="A1911" t="s">
        <v>862</v>
      </c>
      <c r="B1911" t="s">
        <v>6</v>
      </c>
      <c r="C1911" t="s">
        <v>7</v>
      </c>
      <c r="D1911" t="s">
        <v>33</v>
      </c>
      <c r="E1911" t="s">
        <v>34</v>
      </c>
      <c r="F1911" t="s">
        <v>11</v>
      </c>
      <c r="G1911">
        <v>129</v>
      </c>
    </row>
    <row r="1912" spans="1:7" x14ac:dyDescent="0.2">
      <c r="A1912" t="s">
        <v>862</v>
      </c>
      <c r="B1912" t="s">
        <v>6</v>
      </c>
      <c r="C1912" t="s">
        <v>7</v>
      </c>
      <c r="D1912" t="s">
        <v>35</v>
      </c>
      <c r="E1912" t="s">
        <v>36</v>
      </c>
      <c r="F1912" t="s">
        <v>11</v>
      </c>
      <c r="G1912">
        <v>15</v>
      </c>
    </row>
    <row r="1913" spans="1:7" x14ac:dyDescent="0.2">
      <c r="A1913" t="s">
        <v>862</v>
      </c>
      <c r="B1913" t="s">
        <v>6</v>
      </c>
      <c r="C1913" t="s">
        <v>7</v>
      </c>
      <c r="D1913" t="s">
        <v>37</v>
      </c>
      <c r="E1913" t="s">
        <v>38</v>
      </c>
      <c r="F1913" t="s">
        <v>11</v>
      </c>
      <c r="G1913">
        <v>1</v>
      </c>
    </row>
    <row r="1914" spans="1:7" x14ac:dyDescent="0.2">
      <c r="A1914" t="s">
        <v>862</v>
      </c>
      <c r="B1914" t="s">
        <v>6</v>
      </c>
      <c r="C1914" t="s">
        <v>7</v>
      </c>
      <c r="D1914" t="s">
        <v>39</v>
      </c>
      <c r="E1914" t="s">
        <v>40</v>
      </c>
      <c r="F1914" t="s">
        <v>11</v>
      </c>
      <c r="G1914">
        <v>0</v>
      </c>
    </row>
    <row r="1915" spans="1:7" x14ac:dyDescent="0.2">
      <c r="A1915" t="s">
        <v>862</v>
      </c>
      <c r="B1915" t="s">
        <v>6</v>
      </c>
      <c r="C1915" t="s">
        <v>7</v>
      </c>
      <c r="D1915" t="s">
        <v>41</v>
      </c>
      <c r="E1915" t="s">
        <v>42</v>
      </c>
      <c r="F1915" t="s">
        <v>11</v>
      </c>
      <c r="G1915">
        <v>0</v>
      </c>
    </row>
    <row r="1916" spans="1:7" x14ac:dyDescent="0.2">
      <c r="A1916" t="s">
        <v>862</v>
      </c>
      <c r="B1916" t="s">
        <v>6</v>
      </c>
      <c r="C1916" t="s">
        <v>7</v>
      </c>
      <c r="D1916" t="s">
        <v>43</v>
      </c>
      <c r="E1916" t="s">
        <v>44</v>
      </c>
      <c r="F1916" t="s">
        <v>11</v>
      </c>
      <c r="G1916">
        <v>0</v>
      </c>
    </row>
    <row r="1917" spans="1:7" x14ac:dyDescent="0.2">
      <c r="A1917" t="s">
        <v>862</v>
      </c>
      <c r="B1917" t="s">
        <v>6</v>
      </c>
      <c r="C1917" t="s">
        <v>7</v>
      </c>
      <c r="D1917" t="s">
        <v>45</v>
      </c>
      <c r="G1917">
        <v>419</v>
      </c>
    </row>
    <row r="1918" spans="1:7" x14ac:dyDescent="0.2">
      <c r="A1918" t="s">
        <v>862</v>
      </c>
      <c r="B1918" t="s">
        <v>6</v>
      </c>
      <c r="C1918" t="s">
        <v>7</v>
      </c>
      <c r="D1918" t="s">
        <v>46</v>
      </c>
      <c r="G1918">
        <v>11732</v>
      </c>
    </row>
    <row r="1919" spans="1:7" x14ac:dyDescent="0.2">
      <c r="A1919" t="s">
        <v>862</v>
      </c>
      <c r="B1919" t="s">
        <v>47</v>
      </c>
      <c r="C1919" t="s">
        <v>48</v>
      </c>
      <c r="D1919" t="s">
        <v>8</v>
      </c>
      <c r="G1919">
        <v>521789</v>
      </c>
    </row>
    <row r="1920" spans="1:7" x14ac:dyDescent="0.2">
      <c r="A1920" t="s">
        <v>862</v>
      </c>
      <c r="B1920" t="s">
        <v>47</v>
      </c>
      <c r="C1920" t="s">
        <v>48</v>
      </c>
      <c r="D1920" t="s">
        <v>49</v>
      </c>
      <c r="E1920" t="s">
        <v>50</v>
      </c>
      <c r="F1920" t="s">
        <v>51</v>
      </c>
      <c r="G1920">
        <v>19410</v>
      </c>
    </row>
    <row r="1921" spans="1:7" x14ac:dyDescent="0.2">
      <c r="A1921" t="s">
        <v>862</v>
      </c>
      <c r="B1921" t="s">
        <v>47</v>
      </c>
      <c r="C1921" t="s">
        <v>48</v>
      </c>
      <c r="D1921" t="s">
        <v>52</v>
      </c>
      <c r="E1921" t="s">
        <v>53</v>
      </c>
      <c r="F1921" t="s">
        <v>22</v>
      </c>
      <c r="G1921">
        <v>238607</v>
      </c>
    </row>
    <row r="1922" spans="1:7" x14ac:dyDescent="0.2">
      <c r="A1922" t="s">
        <v>862</v>
      </c>
      <c r="B1922" t="s">
        <v>47</v>
      </c>
      <c r="C1922" t="s">
        <v>48</v>
      </c>
      <c r="D1922" t="s">
        <v>54</v>
      </c>
      <c r="E1922" t="s">
        <v>55</v>
      </c>
      <c r="F1922" t="s">
        <v>28</v>
      </c>
      <c r="G1922">
        <v>237322</v>
      </c>
    </row>
    <row r="1923" spans="1:7" x14ac:dyDescent="0.2">
      <c r="A1923" t="s">
        <v>862</v>
      </c>
      <c r="B1923" t="s">
        <v>47</v>
      </c>
      <c r="C1923" t="s">
        <v>48</v>
      </c>
      <c r="D1923" t="s">
        <v>56</v>
      </c>
      <c r="E1923" t="s">
        <v>57</v>
      </c>
      <c r="F1923" t="s">
        <v>11</v>
      </c>
      <c r="G1923">
        <v>113</v>
      </c>
    </row>
    <row r="1924" spans="1:7" x14ac:dyDescent="0.2">
      <c r="A1924" t="s">
        <v>862</v>
      </c>
      <c r="B1924" t="s">
        <v>47</v>
      </c>
      <c r="C1924" t="s">
        <v>48</v>
      </c>
      <c r="D1924" t="s">
        <v>45</v>
      </c>
      <c r="G1924">
        <v>19</v>
      </c>
    </row>
    <row r="1925" spans="1:7" x14ac:dyDescent="0.2">
      <c r="A1925" t="s">
        <v>862</v>
      </c>
      <c r="B1925" t="s">
        <v>47</v>
      </c>
      <c r="C1925" t="s">
        <v>48</v>
      </c>
      <c r="D1925" t="s">
        <v>46</v>
      </c>
      <c r="G1925">
        <v>26317</v>
      </c>
    </row>
    <row r="1926" spans="1:7" x14ac:dyDescent="0.2">
      <c r="A1926" t="s">
        <v>862</v>
      </c>
      <c r="B1926" t="s">
        <v>58</v>
      </c>
      <c r="C1926" t="s">
        <v>59</v>
      </c>
      <c r="D1926" t="s">
        <v>8</v>
      </c>
      <c r="G1926">
        <v>46756</v>
      </c>
    </row>
    <row r="1927" spans="1:7" x14ac:dyDescent="0.2">
      <c r="A1927" t="s">
        <v>862</v>
      </c>
      <c r="B1927" t="s">
        <v>58</v>
      </c>
      <c r="C1927" t="s">
        <v>59</v>
      </c>
      <c r="D1927" t="s">
        <v>60</v>
      </c>
      <c r="E1927" t="s">
        <v>61</v>
      </c>
      <c r="F1927" t="s">
        <v>28</v>
      </c>
      <c r="G1927">
        <v>29469</v>
      </c>
    </row>
    <row r="1928" spans="1:7" x14ac:dyDescent="0.2">
      <c r="A1928" t="s">
        <v>862</v>
      </c>
      <c r="B1928" t="s">
        <v>58</v>
      </c>
      <c r="C1928" t="s">
        <v>59</v>
      </c>
      <c r="D1928" t="s">
        <v>62</v>
      </c>
      <c r="E1928" t="s">
        <v>63</v>
      </c>
      <c r="F1928" t="s">
        <v>25</v>
      </c>
      <c r="G1928">
        <v>1412</v>
      </c>
    </row>
    <row r="1929" spans="1:7" x14ac:dyDescent="0.2">
      <c r="A1929" t="s">
        <v>862</v>
      </c>
      <c r="B1929" t="s">
        <v>58</v>
      </c>
      <c r="C1929" t="s">
        <v>59</v>
      </c>
      <c r="D1929" t="s">
        <v>64</v>
      </c>
      <c r="E1929" t="s">
        <v>65</v>
      </c>
      <c r="F1929" t="s">
        <v>22</v>
      </c>
      <c r="G1929">
        <v>12957</v>
      </c>
    </row>
    <row r="1930" spans="1:7" x14ac:dyDescent="0.2">
      <c r="A1930" t="s">
        <v>862</v>
      </c>
      <c r="B1930" t="s">
        <v>58</v>
      </c>
      <c r="C1930" t="s">
        <v>59</v>
      </c>
      <c r="D1930" t="s">
        <v>45</v>
      </c>
      <c r="G1930">
        <v>2</v>
      </c>
    </row>
    <row r="1931" spans="1:7" x14ac:dyDescent="0.2">
      <c r="A1931" t="s">
        <v>862</v>
      </c>
      <c r="B1931" t="s">
        <v>58</v>
      </c>
      <c r="C1931" t="s">
        <v>59</v>
      </c>
      <c r="D1931" t="s">
        <v>46</v>
      </c>
      <c r="G1931">
        <v>2916</v>
      </c>
    </row>
    <row r="1932" spans="1:7" x14ac:dyDescent="0.2">
      <c r="A1932" t="s">
        <v>862</v>
      </c>
      <c r="B1932" t="s">
        <v>66</v>
      </c>
      <c r="C1932" t="s">
        <v>67</v>
      </c>
      <c r="D1932" t="s">
        <v>8</v>
      </c>
      <c r="G1932">
        <v>113880</v>
      </c>
    </row>
    <row r="1933" spans="1:7" x14ac:dyDescent="0.2">
      <c r="A1933" t="s">
        <v>862</v>
      </c>
      <c r="B1933" t="s">
        <v>66</v>
      </c>
      <c r="C1933" t="s">
        <v>67</v>
      </c>
      <c r="D1933" t="s">
        <v>68</v>
      </c>
      <c r="E1933" t="s">
        <v>69</v>
      </c>
      <c r="F1933" t="s">
        <v>28</v>
      </c>
      <c r="G1933">
        <v>67264</v>
      </c>
    </row>
    <row r="1934" spans="1:7" x14ac:dyDescent="0.2">
      <c r="A1934" t="s">
        <v>862</v>
      </c>
      <c r="B1934" t="s">
        <v>66</v>
      </c>
      <c r="C1934" t="s">
        <v>67</v>
      </c>
      <c r="D1934" t="s">
        <v>70</v>
      </c>
      <c r="E1934" t="s">
        <v>71</v>
      </c>
      <c r="F1934" t="s">
        <v>16</v>
      </c>
      <c r="G1934">
        <v>3728</v>
      </c>
    </row>
    <row r="1935" spans="1:7" x14ac:dyDescent="0.2">
      <c r="A1935" t="s">
        <v>862</v>
      </c>
      <c r="B1935" t="s">
        <v>66</v>
      </c>
      <c r="C1935" t="s">
        <v>67</v>
      </c>
      <c r="D1935" t="s">
        <v>72</v>
      </c>
      <c r="E1935" t="s">
        <v>73</v>
      </c>
      <c r="F1935" t="s">
        <v>22</v>
      </c>
      <c r="G1935">
        <v>35341</v>
      </c>
    </row>
    <row r="1936" spans="1:7" x14ac:dyDescent="0.2">
      <c r="A1936" t="s">
        <v>862</v>
      </c>
      <c r="B1936" t="s">
        <v>66</v>
      </c>
      <c r="C1936" t="s">
        <v>67</v>
      </c>
      <c r="D1936" t="s">
        <v>74</v>
      </c>
      <c r="E1936" t="s">
        <v>75</v>
      </c>
      <c r="F1936" t="s">
        <v>11</v>
      </c>
      <c r="G1936">
        <v>1478</v>
      </c>
    </row>
    <row r="1937" spans="1:7" x14ac:dyDescent="0.2">
      <c r="A1937" t="s">
        <v>862</v>
      </c>
      <c r="B1937" t="s">
        <v>66</v>
      </c>
      <c r="C1937" t="s">
        <v>67</v>
      </c>
      <c r="D1937" t="s">
        <v>45</v>
      </c>
      <c r="G1937">
        <v>29</v>
      </c>
    </row>
    <row r="1938" spans="1:7" x14ac:dyDescent="0.2">
      <c r="A1938" t="s">
        <v>862</v>
      </c>
      <c r="B1938" t="s">
        <v>66</v>
      </c>
      <c r="C1938" t="s">
        <v>67</v>
      </c>
      <c r="D1938" t="s">
        <v>46</v>
      </c>
      <c r="G1938">
        <v>6040</v>
      </c>
    </row>
    <row r="1939" spans="1:7" x14ac:dyDescent="0.2">
      <c r="A1939" t="s">
        <v>862</v>
      </c>
      <c r="B1939" t="s">
        <v>76</v>
      </c>
      <c r="C1939" t="s">
        <v>77</v>
      </c>
      <c r="D1939" t="s">
        <v>8</v>
      </c>
      <c r="G1939">
        <v>136942</v>
      </c>
    </row>
    <row r="1940" spans="1:7" x14ac:dyDescent="0.2">
      <c r="A1940" t="s">
        <v>862</v>
      </c>
      <c r="B1940" t="s">
        <v>76</v>
      </c>
      <c r="C1940" t="s">
        <v>77</v>
      </c>
      <c r="D1940" t="s">
        <v>78</v>
      </c>
      <c r="E1940" t="s">
        <v>79</v>
      </c>
      <c r="F1940" t="s">
        <v>22</v>
      </c>
      <c r="G1940">
        <v>65963</v>
      </c>
    </row>
    <row r="1941" spans="1:7" x14ac:dyDescent="0.2">
      <c r="A1941" t="s">
        <v>862</v>
      </c>
      <c r="B1941" t="s">
        <v>76</v>
      </c>
      <c r="C1941" t="s">
        <v>77</v>
      </c>
      <c r="D1941" t="s">
        <v>80</v>
      </c>
      <c r="E1941" t="s">
        <v>81</v>
      </c>
      <c r="F1941" t="s">
        <v>28</v>
      </c>
      <c r="G1941">
        <v>61322</v>
      </c>
    </row>
    <row r="1942" spans="1:7" x14ac:dyDescent="0.2">
      <c r="A1942" t="s">
        <v>862</v>
      </c>
      <c r="B1942" t="s">
        <v>76</v>
      </c>
      <c r="C1942" t="s">
        <v>77</v>
      </c>
      <c r="D1942" t="s">
        <v>45</v>
      </c>
      <c r="G1942">
        <v>5</v>
      </c>
    </row>
    <row r="1943" spans="1:7" x14ac:dyDescent="0.2">
      <c r="A1943" t="s">
        <v>862</v>
      </c>
      <c r="B1943" t="s">
        <v>76</v>
      </c>
      <c r="C1943" t="s">
        <v>77</v>
      </c>
      <c r="D1943" t="s">
        <v>46</v>
      </c>
      <c r="G1943">
        <v>9652</v>
      </c>
    </row>
    <row r="1944" spans="1:7" x14ac:dyDescent="0.2">
      <c r="A1944" t="s">
        <v>862</v>
      </c>
      <c r="B1944" t="s">
        <v>82</v>
      </c>
      <c r="C1944" t="s">
        <v>83</v>
      </c>
      <c r="D1944" t="s">
        <v>8</v>
      </c>
      <c r="G1944">
        <v>224211</v>
      </c>
    </row>
    <row r="1945" spans="1:7" x14ac:dyDescent="0.2">
      <c r="A1945" t="s">
        <v>862</v>
      </c>
      <c r="B1945" t="s">
        <v>82</v>
      </c>
      <c r="C1945" t="s">
        <v>83</v>
      </c>
      <c r="D1945" t="s">
        <v>84</v>
      </c>
      <c r="E1945" t="s">
        <v>85</v>
      </c>
      <c r="F1945" t="s">
        <v>11</v>
      </c>
      <c r="G1945">
        <v>3354</v>
      </c>
    </row>
    <row r="1946" spans="1:7" x14ac:dyDescent="0.2">
      <c r="A1946" t="s">
        <v>862</v>
      </c>
      <c r="B1946" t="s">
        <v>82</v>
      </c>
      <c r="C1946" t="s">
        <v>83</v>
      </c>
      <c r="D1946" t="s">
        <v>86</v>
      </c>
      <c r="E1946" t="s">
        <v>87</v>
      </c>
      <c r="F1946" t="s">
        <v>88</v>
      </c>
      <c r="G1946">
        <v>9158</v>
      </c>
    </row>
    <row r="1947" spans="1:7" x14ac:dyDescent="0.2">
      <c r="A1947" t="s">
        <v>862</v>
      </c>
      <c r="B1947" t="s">
        <v>82</v>
      </c>
      <c r="C1947" t="s">
        <v>83</v>
      </c>
      <c r="D1947" t="s">
        <v>89</v>
      </c>
      <c r="E1947" t="s">
        <v>90</v>
      </c>
      <c r="F1947" t="s">
        <v>28</v>
      </c>
      <c r="G1947">
        <v>82515</v>
      </c>
    </row>
    <row r="1948" spans="1:7" x14ac:dyDescent="0.2">
      <c r="A1948" t="s">
        <v>862</v>
      </c>
      <c r="B1948" t="s">
        <v>82</v>
      </c>
      <c r="C1948" t="s">
        <v>83</v>
      </c>
      <c r="D1948" t="s">
        <v>91</v>
      </c>
      <c r="E1948" t="s">
        <v>92</v>
      </c>
      <c r="F1948" t="s">
        <v>22</v>
      </c>
      <c r="G1948">
        <v>116787</v>
      </c>
    </row>
    <row r="1949" spans="1:7" x14ac:dyDescent="0.2">
      <c r="A1949" t="s">
        <v>862</v>
      </c>
      <c r="B1949" t="s">
        <v>82</v>
      </c>
      <c r="C1949" t="s">
        <v>83</v>
      </c>
      <c r="D1949" t="s">
        <v>45</v>
      </c>
      <c r="G1949">
        <v>7</v>
      </c>
    </row>
    <row r="1950" spans="1:7" x14ac:dyDescent="0.2">
      <c r="A1950" t="s">
        <v>862</v>
      </c>
      <c r="B1950" t="s">
        <v>82</v>
      </c>
      <c r="C1950" t="s">
        <v>83</v>
      </c>
      <c r="D1950" t="s">
        <v>46</v>
      </c>
      <c r="G1950">
        <v>12390</v>
      </c>
    </row>
    <row r="1951" spans="1:7" x14ac:dyDescent="0.2">
      <c r="A1951" t="s">
        <v>862</v>
      </c>
      <c r="B1951" t="s">
        <v>93</v>
      </c>
      <c r="C1951" t="s">
        <v>94</v>
      </c>
      <c r="D1951" t="s">
        <v>8</v>
      </c>
      <c r="G1951">
        <v>521756</v>
      </c>
    </row>
    <row r="1952" spans="1:7" x14ac:dyDescent="0.2">
      <c r="A1952" t="s">
        <v>862</v>
      </c>
      <c r="B1952" t="s">
        <v>93</v>
      </c>
      <c r="C1952" t="s">
        <v>94</v>
      </c>
      <c r="D1952" t="s">
        <v>95</v>
      </c>
      <c r="E1952" t="s">
        <v>96</v>
      </c>
      <c r="F1952" t="s">
        <v>22</v>
      </c>
      <c r="G1952">
        <v>222608</v>
      </c>
    </row>
    <row r="1953" spans="1:7" x14ac:dyDescent="0.2">
      <c r="A1953" t="s">
        <v>862</v>
      </c>
      <c r="B1953" t="s">
        <v>93</v>
      </c>
      <c r="C1953" t="s">
        <v>94</v>
      </c>
      <c r="D1953" t="s">
        <v>97</v>
      </c>
      <c r="E1953" t="s">
        <v>98</v>
      </c>
      <c r="F1953" t="s">
        <v>51</v>
      </c>
      <c r="G1953">
        <v>7343</v>
      </c>
    </row>
    <row r="1954" spans="1:7" x14ac:dyDescent="0.2">
      <c r="A1954" t="s">
        <v>862</v>
      </c>
      <c r="B1954" t="s">
        <v>93</v>
      </c>
      <c r="C1954" t="s">
        <v>94</v>
      </c>
      <c r="D1954" t="s">
        <v>99</v>
      </c>
      <c r="E1954" t="s">
        <v>100</v>
      </c>
      <c r="F1954" t="s">
        <v>28</v>
      </c>
      <c r="G1954">
        <v>220368</v>
      </c>
    </row>
    <row r="1955" spans="1:7" x14ac:dyDescent="0.2">
      <c r="A1955" t="s">
        <v>862</v>
      </c>
      <c r="B1955" t="s">
        <v>93</v>
      </c>
      <c r="C1955" t="s">
        <v>94</v>
      </c>
      <c r="D1955" t="s">
        <v>101</v>
      </c>
      <c r="E1955" t="s">
        <v>102</v>
      </c>
      <c r="F1955" t="s">
        <v>25</v>
      </c>
      <c r="G1955">
        <v>13233</v>
      </c>
    </row>
    <row r="1956" spans="1:7" x14ac:dyDescent="0.2">
      <c r="A1956" t="s">
        <v>862</v>
      </c>
      <c r="B1956" t="s">
        <v>93</v>
      </c>
      <c r="C1956" t="s">
        <v>94</v>
      </c>
      <c r="D1956" t="s">
        <v>103</v>
      </c>
      <c r="E1956" t="s">
        <v>104</v>
      </c>
      <c r="F1956" t="s">
        <v>11</v>
      </c>
      <c r="G1956">
        <v>1306</v>
      </c>
    </row>
    <row r="1957" spans="1:7" x14ac:dyDescent="0.2">
      <c r="A1957" t="s">
        <v>862</v>
      </c>
      <c r="B1957" t="s">
        <v>93</v>
      </c>
      <c r="C1957" t="s">
        <v>94</v>
      </c>
      <c r="D1957" t="s">
        <v>105</v>
      </c>
      <c r="E1957" t="s">
        <v>106</v>
      </c>
      <c r="F1957" t="s">
        <v>11</v>
      </c>
      <c r="G1957">
        <v>40035</v>
      </c>
    </row>
    <row r="1958" spans="1:7" x14ac:dyDescent="0.2">
      <c r="A1958" t="s">
        <v>862</v>
      </c>
      <c r="B1958" t="s">
        <v>93</v>
      </c>
      <c r="C1958" t="s">
        <v>94</v>
      </c>
      <c r="D1958" t="s">
        <v>107</v>
      </c>
      <c r="E1958" t="s">
        <v>108</v>
      </c>
      <c r="F1958" t="s">
        <v>11</v>
      </c>
      <c r="G1958">
        <v>175</v>
      </c>
    </row>
    <row r="1959" spans="1:7" x14ac:dyDescent="0.2">
      <c r="A1959" t="s">
        <v>862</v>
      </c>
      <c r="B1959" t="s">
        <v>93</v>
      </c>
      <c r="C1959" t="s">
        <v>94</v>
      </c>
      <c r="D1959" t="s">
        <v>45</v>
      </c>
      <c r="G1959">
        <v>424</v>
      </c>
    </row>
    <row r="1960" spans="1:7" x14ac:dyDescent="0.2">
      <c r="A1960" t="s">
        <v>862</v>
      </c>
      <c r="B1960" t="s">
        <v>93</v>
      </c>
      <c r="C1960" t="s">
        <v>94</v>
      </c>
      <c r="D1960" t="s">
        <v>46</v>
      </c>
      <c r="G1960">
        <v>16196</v>
      </c>
    </row>
    <row r="1961" spans="1:7" x14ac:dyDescent="0.2">
      <c r="A1961" t="s">
        <v>862</v>
      </c>
      <c r="B1961" t="s">
        <v>109</v>
      </c>
      <c r="C1961" t="s">
        <v>110</v>
      </c>
      <c r="D1961" t="s">
        <v>8</v>
      </c>
      <c r="G1961">
        <v>521756</v>
      </c>
    </row>
    <row r="1962" spans="1:7" x14ac:dyDescent="0.2">
      <c r="A1962" t="s">
        <v>862</v>
      </c>
      <c r="B1962" t="s">
        <v>109</v>
      </c>
      <c r="C1962" t="s">
        <v>110</v>
      </c>
      <c r="D1962" t="s">
        <v>111</v>
      </c>
      <c r="E1962" t="s">
        <v>112</v>
      </c>
      <c r="F1962" t="s">
        <v>22</v>
      </c>
      <c r="G1962">
        <v>215066</v>
      </c>
    </row>
    <row r="1963" spans="1:7" x14ac:dyDescent="0.2">
      <c r="A1963" t="s">
        <v>862</v>
      </c>
      <c r="B1963" t="s">
        <v>109</v>
      </c>
      <c r="C1963" t="s">
        <v>110</v>
      </c>
      <c r="D1963" t="s">
        <v>113</v>
      </c>
      <c r="E1963" t="s">
        <v>114</v>
      </c>
      <c r="F1963" t="s">
        <v>28</v>
      </c>
      <c r="G1963">
        <v>205331</v>
      </c>
    </row>
    <row r="1964" spans="1:7" x14ac:dyDescent="0.2">
      <c r="A1964" t="s">
        <v>862</v>
      </c>
      <c r="B1964" t="s">
        <v>109</v>
      </c>
      <c r="C1964" t="s">
        <v>110</v>
      </c>
      <c r="D1964" t="s">
        <v>115</v>
      </c>
      <c r="E1964" t="s">
        <v>116</v>
      </c>
      <c r="F1964" t="s">
        <v>25</v>
      </c>
      <c r="G1964">
        <v>19573</v>
      </c>
    </row>
    <row r="1965" spans="1:7" x14ac:dyDescent="0.2">
      <c r="A1965" t="s">
        <v>862</v>
      </c>
      <c r="B1965" t="s">
        <v>109</v>
      </c>
      <c r="C1965" t="s">
        <v>110</v>
      </c>
      <c r="D1965" t="s">
        <v>117</v>
      </c>
      <c r="E1965" t="s">
        <v>118</v>
      </c>
      <c r="F1965" t="s">
        <v>11</v>
      </c>
      <c r="G1965">
        <v>12050</v>
      </c>
    </row>
    <row r="1966" spans="1:7" x14ac:dyDescent="0.2">
      <c r="A1966" t="s">
        <v>862</v>
      </c>
      <c r="B1966" t="s">
        <v>109</v>
      </c>
      <c r="C1966" t="s">
        <v>110</v>
      </c>
      <c r="D1966" t="s">
        <v>119</v>
      </c>
      <c r="E1966" t="s">
        <v>120</v>
      </c>
      <c r="F1966" t="s">
        <v>88</v>
      </c>
      <c r="G1966">
        <v>42077</v>
      </c>
    </row>
    <row r="1967" spans="1:7" x14ac:dyDescent="0.2">
      <c r="A1967" t="s">
        <v>862</v>
      </c>
      <c r="B1967" t="s">
        <v>109</v>
      </c>
      <c r="C1967" t="s">
        <v>110</v>
      </c>
      <c r="D1967" t="s">
        <v>45</v>
      </c>
      <c r="G1967">
        <v>157</v>
      </c>
    </row>
    <row r="1968" spans="1:7" x14ac:dyDescent="0.2">
      <c r="A1968" t="s">
        <v>862</v>
      </c>
      <c r="B1968" t="s">
        <v>109</v>
      </c>
      <c r="C1968" t="s">
        <v>110</v>
      </c>
      <c r="D1968" t="s">
        <v>46</v>
      </c>
      <c r="G1968">
        <v>27502</v>
      </c>
    </row>
    <row r="1969" spans="1:7" x14ac:dyDescent="0.2">
      <c r="A1969" t="s">
        <v>862</v>
      </c>
      <c r="B1969" t="s">
        <v>121</v>
      </c>
      <c r="C1969" t="s">
        <v>122</v>
      </c>
      <c r="D1969" t="s">
        <v>8</v>
      </c>
      <c r="G1969">
        <v>521756</v>
      </c>
    </row>
    <row r="1970" spans="1:7" x14ac:dyDescent="0.2">
      <c r="A1970" t="s">
        <v>862</v>
      </c>
      <c r="B1970" t="s">
        <v>121</v>
      </c>
      <c r="C1970" t="s">
        <v>122</v>
      </c>
      <c r="D1970" t="s">
        <v>123</v>
      </c>
      <c r="E1970" t="s">
        <v>124</v>
      </c>
      <c r="F1970" t="s">
        <v>22</v>
      </c>
      <c r="G1970">
        <v>237159</v>
      </c>
    </row>
    <row r="1971" spans="1:7" x14ac:dyDescent="0.2">
      <c r="A1971" t="s">
        <v>862</v>
      </c>
      <c r="B1971" t="s">
        <v>121</v>
      </c>
      <c r="C1971" t="s">
        <v>122</v>
      </c>
      <c r="D1971" t="s">
        <v>125</v>
      </c>
      <c r="E1971" t="s">
        <v>126</v>
      </c>
      <c r="F1971" t="s">
        <v>16</v>
      </c>
      <c r="G1971">
        <v>20057</v>
      </c>
    </row>
    <row r="1972" spans="1:7" x14ac:dyDescent="0.2">
      <c r="A1972" t="s">
        <v>862</v>
      </c>
      <c r="B1972" t="s">
        <v>121</v>
      </c>
      <c r="C1972" t="s">
        <v>122</v>
      </c>
      <c r="D1972" t="s">
        <v>127</v>
      </c>
      <c r="E1972" t="s">
        <v>128</v>
      </c>
      <c r="F1972" t="s">
        <v>28</v>
      </c>
      <c r="G1972">
        <v>227970</v>
      </c>
    </row>
    <row r="1973" spans="1:7" x14ac:dyDescent="0.2">
      <c r="A1973" t="s">
        <v>862</v>
      </c>
      <c r="B1973" t="s">
        <v>121</v>
      </c>
      <c r="C1973" t="s">
        <v>122</v>
      </c>
      <c r="D1973" t="s">
        <v>45</v>
      </c>
      <c r="G1973">
        <v>16</v>
      </c>
    </row>
    <row r="1974" spans="1:7" x14ac:dyDescent="0.2">
      <c r="A1974" t="s">
        <v>862</v>
      </c>
      <c r="B1974" t="s">
        <v>121</v>
      </c>
      <c r="C1974" t="s">
        <v>122</v>
      </c>
      <c r="D1974" t="s">
        <v>46</v>
      </c>
      <c r="G1974">
        <v>36554</v>
      </c>
    </row>
    <row r="1975" spans="1:7" x14ac:dyDescent="0.2">
      <c r="A1975" t="s">
        <v>862</v>
      </c>
      <c r="B1975" t="s">
        <v>129</v>
      </c>
      <c r="C1975" t="s">
        <v>130</v>
      </c>
      <c r="D1975" t="s">
        <v>8</v>
      </c>
      <c r="G1975">
        <v>521756</v>
      </c>
    </row>
    <row r="1976" spans="1:7" x14ac:dyDescent="0.2">
      <c r="A1976" t="s">
        <v>862</v>
      </c>
      <c r="B1976" t="s">
        <v>129</v>
      </c>
      <c r="C1976" t="s">
        <v>130</v>
      </c>
      <c r="D1976" t="s">
        <v>131</v>
      </c>
      <c r="E1976" t="s">
        <v>132</v>
      </c>
      <c r="F1976" t="s">
        <v>133</v>
      </c>
      <c r="G1976">
        <v>25284</v>
      </c>
    </row>
    <row r="1977" spans="1:7" x14ac:dyDescent="0.2">
      <c r="A1977" t="s">
        <v>862</v>
      </c>
      <c r="B1977" t="s">
        <v>129</v>
      </c>
      <c r="C1977" t="s">
        <v>130</v>
      </c>
      <c r="D1977" t="s">
        <v>134</v>
      </c>
      <c r="E1977" t="s">
        <v>135</v>
      </c>
      <c r="F1977" t="s">
        <v>22</v>
      </c>
      <c r="G1977">
        <v>241260</v>
      </c>
    </row>
    <row r="1978" spans="1:7" x14ac:dyDescent="0.2">
      <c r="A1978" t="s">
        <v>862</v>
      </c>
      <c r="B1978" t="s">
        <v>129</v>
      </c>
      <c r="C1978" t="s">
        <v>130</v>
      </c>
      <c r="D1978" t="s">
        <v>136</v>
      </c>
      <c r="E1978" t="s">
        <v>137</v>
      </c>
      <c r="F1978" t="s">
        <v>28</v>
      </c>
      <c r="G1978">
        <v>216646</v>
      </c>
    </row>
    <row r="1979" spans="1:7" x14ac:dyDescent="0.2">
      <c r="A1979" t="s">
        <v>862</v>
      </c>
      <c r="B1979" t="s">
        <v>129</v>
      </c>
      <c r="C1979" t="s">
        <v>130</v>
      </c>
      <c r="D1979" t="s">
        <v>45</v>
      </c>
      <c r="G1979">
        <v>11</v>
      </c>
    </row>
    <row r="1980" spans="1:7" x14ac:dyDescent="0.2">
      <c r="A1980" t="s">
        <v>862</v>
      </c>
      <c r="B1980" t="s">
        <v>129</v>
      </c>
      <c r="C1980" t="s">
        <v>130</v>
      </c>
      <c r="D1980" t="s">
        <v>46</v>
      </c>
      <c r="G1980">
        <v>38555</v>
      </c>
    </row>
    <row r="1981" spans="1:7" x14ac:dyDescent="0.2">
      <c r="A1981" t="s">
        <v>862</v>
      </c>
      <c r="B1981" t="s">
        <v>154</v>
      </c>
      <c r="C1981" t="s">
        <v>155</v>
      </c>
      <c r="D1981" t="s">
        <v>8</v>
      </c>
      <c r="G1981">
        <v>10413</v>
      </c>
    </row>
    <row r="1982" spans="1:7" x14ac:dyDescent="0.2">
      <c r="A1982" t="s">
        <v>862</v>
      </c>
      <c r="B1982" t="s">
        <v>154</v>
      </c>
      <c r="C1982" t="s">
        <v>155</v>
      </c>
      <c r="D1982" t="s">
        <v>156</v>
      </c>
      <c r="E1982" t="s">
        <v>157</v>
      </c>
      <c r="F1982" t="s">
        <v>22</v>
      </c>
      <c r="G1982">
        <v>1886</v>
      </c>
    </row>
    <row r="1983" spans="1:7" x14ac:dyDescent="0.2">
      <c r="A1983" t="s">
        <v>862</v>
      </c>
      <c r="B1983" t="s">
        <v>154</v>
      </c>
      <c r="C1983" t="s">
        <v>155</v>
      </c>
      <c r="D1983" t="s">
        <v>158</v>
      </c>
      <c r="E1983" t="s">
        <v>159</v>
      </c>
      <c r="F1983" t="s">
        <v>28</v>
      </c>
      <c r="G1983">
        <v>6084</v>
      </c>
    </row>
    <row r="1984" spans="1:7" x14ac:dyDescent="0.2">
      <c r="A1984" t="s">
        <v>862</v>
      </c>
      <c r="B1984" t="s">
        <v>154</v>
      </c>
      <c r="C1984" t="s">
        <v>155</v>
      </c>
      <c r="D1984" t="s">
        <v>160</v>
      </c>
      <c r="E1984" t="s">
        <v>161</v>
      </c>
      <c r="F1984" t="s">
        <v>16</v>
      </c>
      <c r="G1984">
        <v>163</v>
      </c>
    </row>
    <row r="1985" spans="1:7" x14ac:dyDescent="0.2">
      <c r="A1985" t="s">
        <v>862</v>
      </c>
      <c r="B1985" t="s">
        <v>154</v>
      </c>
      <c r="C1985" t="s">
        <v>155</v>
      </c>
      <c r="D1985" t="s">
        <v>162</v>
      </c>
      <c r="E1985" t="s">
        <v>163</v>
      </c>
      <c r="F1985" t="s">
        <v>11</v>
      </c>
      <c r="G1985">
        <v>1840</v>
      </c>
    </row>
    <row r="1986" spans="1:7" x14ac:dyDescent="0.2">
      <c r="A1986" t="s">
        <v>862</v>
      </c>
      <c r="B1986" t="s">
        <v>154</v>
      </c>
      <c r="C1986" t="s">
        <v>155</v>
      </c>
      <c r="D1986" t="s">
        <v>45</v>
      </c>
      <c r="G1986">
        <v>5</v>
      </c>
    </row>
    <row r="1987" spans="1:7" x14ac:dyDescent="0.2">
      <c r="A1987" t="s">
        <v>862</v>
      </c>
      <c r="B1987" t="s">
        <v>154</v>
      </c>
      <c r="C1987" t="s">
        <v>155</v>
      </c>
      <c r="D1987" t="s">
        <v>46</v>
      </c>
      <c r="G1987">
        <v>435</v>
      </c>
    </row>
    <row r="1988" spans="1:7" x14ac:dyDescent="0.2">
      <c r="A1988" t="s">
        <v>862</v>
      </c>
      <c r="B1988" t="s">
        <v>164</v>
      </c>
      <c r="C1988" t="s">
        <v>165</v>
      </c>
      <c r="D1988" t="s">
        <v>8</v>
      </c>
      <c r="G1988">
        <v>30625</v>
      </c>
    </row>
    <row r="1989" spans="1:7" x14ac:dyDescent="0.2">
      <c r="A1989" t="s">
        <v>862</v>
      </c>
      <c r="B1989" t="s">
        <v>164</v>
      </c>
      <c r="C1989" t="s">
        <v>165</v>
      </c>
      <c r="D1989" t="s">
        <v>166</v>
      </c>
      <c r="E1989" t="s">
        <v>167</v>
      </c>
      <c r="F1989" t="s">
        <v>22</v>
      </c>
      <c r="G1989">
        <v>12688</v>
      </c>
    </row>
    <row r="1990" spans="1:7" x14ac:dyDescent="0.2">
      <c r="A1990" t="s">
        <v>862</v>
      </c>
      <c r="B1990" t="s">
        <v>164</v>
      </c>
      <c r="C1990" t="s">
        <v>165</v>
      </c>
      <c r="D1990" t="s">
        <v>168</v>
      </c>
      <c r="E1990" t="s">
        <v>169</v>
      </c>
      <c r="F1990" t="s">
        <v>28</v>
      </c>
      <c r="G1990">
        <v>16504</v>
      </c>
    </row>
    <row r="1991" spans="1:7" x14ac:dyDescent="0.2">
      <c r="A1991" t="s">
        <v>862</v>
      </c>
      <c r="B1991" t="s">
        <v>164</v>
      </c>
      <c r="C1991" t="s">
        <v>165</v>
      </c>
      <c r="D1991" t="s">
        <v>45</v>
      </c>
      <c r="G1991">
        <v>2</v>
      </c>
    </row>
    <row r="1992" spans="1:7" x14ac:dyDescent="0.2">
      <c r="A1992" t="s">
        <v>862</v>
      </c>
      <c r="B1992" t="s">
        <v>164</v>
      </c>
      <c r="C1992" t="s">
        <v>165</v>
      </c>
      <c r="D1992" t="s">
        <v>46</v>
      </c>
      <c r="G1992">
        <v>1431</v>
      </c>
    </row>
    <row r="1993" spans="1:7" x14ac:dyDescent="0.2">
      <c r="A1993" t="s">
        <v>862</v>
      </c>
      <c r="B1993" t="s">
        <v>170</v>
      </c>
      <c r="C1993" t="s">
        <v>171</v>
      </c>
      <c r="D1993" t="s">
        <v>8</v>
      </c>
      <c r="G1993">
        <v>34137</v>
      </c>
    </row>
    <row r="1994" spans="1:7" x14ac:dyDescent="0.2">
      <c r="A1994" t="s">
        <v>862</v>
      </c>
      <c r="B1994" t="s">
        <v>170</v>
      </c>
      <c r="C1994" t="s">
        <v>171</v>
      </c>
      <c r="D1994" t="s">
        <v>172</v>
      </c>
      <c r="E1994" t="s">
        <v>173</v>
      </c>
      <c r="F1994" t="s">
        <v>22</v>
      </c>
      <c r="G1994">
        <v>14201</v>
      </c>
    </row>
    <row r="1995" spans="1:7" x14ac:dyDescent="0.2">
      <c r="A1995" t="s">
        <v>862</v>
      </c>
      <c r="B1995" t="s">
        <v>170</v>
      </c>
      <c r="C1995" t="s">
        <v>171</v>
      </c>
      <c r="D1995" t="s">
        <v>174</v>
      </c>
      <c r="E1995" t="s">
        <v>175</v>
      </c>
      <c r="F1995" t="s">
        <v>28</v>
      </c>
      <c r="G1995">
        <v>18424</v>
      </c>
    </row>
    <row r="1996" spans="1:7" x14ac:dyDescent="0.2">
      <c r="A1996" t="s">
        <v>862</v>
      </c>
      <c r="B1996" t="s">
        <v>170</v>
      </c>
      <c r="C1996" t="s">
        <v>171</v>
      </c>
      <c r="D1996" t="s">
        <v>45</v>
      </c>
      <c r="G1996">
        <v>1</v>
      </c>
    </row>
    <row r="1997" spans="1:7" x14ac:dyDescent="0.2">
      <c r="A1997" t="s">
        <v>862</v>
      </c>
      <c r="B1997" t="s">
        <v>170</v>
      </c>
      <c r="C1997" t="s">
        <v>171</v>
      </c>
      <c r="D1997" t="s">
        <v>46</v>
      </c>
      <c r="G1997">
        <v>1511</v>
      </c>
    </row>
    <row r="1998" spans="1:7" x14ac:dyDescent="0.2">
      <c r="A1998" t="s">
        <v>862</v>
      </c>
      <c r="B1998" t="s">
        <v>176</v>
      </c>
      <c r="C1998" t="s">
        <v>177</v>
      </c>
      <c r="D1998" t="s">
        <v>8</v>
      </c>
      <c r="G1998">
        <v>50360</v>
      </c>
    </row>
    <row r="1999" spans="1:7" x14ac:dyDescent="0.2">
      <c r="A1999" t="s">
        <v>862</v>
      </c>
      <c r="B1999" t="s">
        <v>176</v>
      </c>
      <c r="C1999" t="s">
        <v>177</v>
      </c>
      <c r="D1999" t="s">
        <v>178</v>
      </c>
      <c r="E1999" t="s">
        <v>179</v>
      </c>
      <c r="F1999" t="s">
        <v>22</v>
      </c>
      <c r="G1999">
        <v>20414</v>
      </c>
    </row>
    <row r="2000" spans="1:7" x14ac:dyDescent="0.2">
      <c r="A2000" t="s">
        <v>862</v>
      </c>
      <c r="B2000" t="s">
        <v>176</v>
      </c>
      <c r="C2000" t="s">
        <v>177</v>
      </c>
      <c r="D2000" t="s">
        <v>180</v>
      </c>
      <c r="E2000" t="s">
        <v>181</v>
      </c>
      <c r="F2000" t="s">
        <v>28</v>
      </c>
      <c r="G2000">
        <v>27103</v>
      </c>
    </row>
    <row r="2001" spans="1:7" x14ac:dyDescent="0.2">
      <c r="A2001" t="s">
        <v>862</v>
      </c>
      <c r="B2001" t="s">
        <v>176</v>
      </c>
      <c r="C2001" t="s">
        <v>177</v>
      </c>
      <c r="D2001" t="s">
        <v>45</v>
      </c>
      <c r="G2001">
        <v>2</v>
      </c>
    </row>
    <row r="2002" spans="1:7" x14ac:dyDescent="0.2">
      <c r="A2002" t="s">
        <v>862</v>
      </c>
      <c r="B2002" t="s">
        <v>176</v>
      </c>
      <c r="C2002" t="s">
        <v>177</v>
      </c>
      <c r="D2002" t="s">
        <v>46</v>
      </c>
      <c r="G2002">
        <v>2841</v>
      </c>
    </row>
    <row r="2003" spans="1:7" x14ac:dyDescent="0.2">
      <c r="A2003" t="s">
        <v>862</v>
      </c>
      <c r="B2003" t="s">
        <v>182</v>
      </c>
      <c r="C2003" t="s">
        <v>183</v>
      </c>
      <c r="D2003" t="s">
        <v>8</v>
      </c>
      <c r="G2003">
        <v>47431</v>
      </c>
    </row>
    <row r="2004" spans="1:7" x14ac:dyDescent="0.2">
      <c r="A2004" t="s">
        <v>862</v>
      </c>
      <c r="B2004" t="s">
        <v>182</v>
      </c>
      <c r="C2004" t="s">
        <v>183</v>
      </c>
      <c r="D2004" t="s">
        <v>184</v>
      </c>
      <c r="E2004" t="s">
        <v>185</v>
      </c>
      <c r="F2004" t="s">
        <v>11</v>
      </c>
      <c r="G2004">
        <v>18447</v>
      </c>
    </row>
    <row r="2005" spans="1:7" x14ac:dyDescent="0.2">
      <c r="A2005" t="s">
        <v>862</v>
      </c>
      <c r="B2005" t="s">
        <v>182</v>
      </c>
      <c r="C2005" t="s">
        <v>183</v>
      </c>
      <c r="D2005" t="s">
        <v>186</v>
      </c>
      <c r="E2005" t="s">
        <v>187</v>
      </c>
      <c r="F2005" t="s">
        <v>22</v>
      </c>
      <c r="G2005">
        <v>24923</v>
      </c>
    </row>
    <row r="2006" spans="1:7" x14ac:dyDescent="0.2">
      <c r="A2006" t="s">
        <v>862</v>
      </c>
      <c r="B2006" t="s">
        <v>182</v>
      </c>
      <c r="C2006" t="s">
        <v>183</v>
      </c>
      <c r="D2006" t="s">
        <v>45</v>
      </c>
      <c r="G2006">
        <v>4</v>
      </c>
    </row>
    <row r="2007" spans="1:7" x14ac:dyDescent="0.2">
      <c r="A2007" t="s">
        <v>862</v>
      </c>
      <c r="B2007" t="s">
        <v>182</v>
      </c>
      <c r="C2007" t="s">
        <v>183</v>
      </c>
      <c r="D2007" t="s">
        <v>46</v>
      </c>
      <c r="G2007">
        <v>4057</v>
      </c>
    </row>
    <row r="2008" spans="1:7" x14ac:dyDescent="0.2">
      <c r="A2008" t="s">
        <v>862</v>
      </c>
      <c r="B2008" t="s">
        <v>188</v>
      </c>
      <c r="C2008" t="s">
        <v>189</v>
      </c>
      <c r="D2008" t="s">
        <v>8</v>
      </c>
      <c r="G2008">
        <v>58926</v>
      </c>
    </row>
    <row r="2009" spans="1:7" x14ac:dyDescent="0.2">
      <c r="A2009" t="s">
        <v>862</v>
      </c>
      <c r="B2009" t="s">
        <v>188</v>
      </c>
      <c r="C2009" t="s">
        <v>189</v>
      </c>
      <c r="D2009" t="s">
        <v>190</v>
      </c>
      <c r="E2009" t="s">
        <v>191</v>
      </c>
      <c r="F2009" t="s">
        <v>11</v>
      </c>
      <c r="G2009">
        <v>19259</v>
      </c>
    </row>
    <row r="2010" spans="1:7" x14ac:dyDescent="0.2">
      <c r="A2010" t="s">
        <v>862</v>
      </c>
      <c r="B2010" t="s">
        <v>188</v>
      </c>
      <c r="C2010" t="s">
        <v>189</v>
      </c>
      <c r="D2010" t="s">
        <v>192</v>
      </c>
      <c r="E2010" t="s">
        <v>193</v>
      </c>
      <c r="F2010" t="s">
        <v>22</v>
      </c>
      <c r="G2010">
        <v>34072</v>
      </c>
    </row>
    <row r="2011" spans="1:7" x14ac:dyDescent="0.2">
      <c r="A2011" t="s">
        <v>862</v>
      </c>
      <c r="B2011" t="s">
        <v>188</v>
      </c>
      <c r="C2011" t="s">
        <v>189</v>
      </c>
      <c r="D2011" t="s">
        <v>45</v>
      </c>
      <c r="G2011">
        <v>6</v>
      </c>
    </row>
    <row r="2012" spans="1:7" x14ac:dyDescent="0.2">
      <c r="A2012" t="s">
        <v>862</v>
      </c>
      <c r="B2012" t="s">
        <v>188</v>
      </c>
      <c r="C2012" t="s">
        <v>189</v>
      </c>
      <c r="D2012" t="s">
        <v>46</v>
      </c>
      <c r="G2012">
        <v>5589</v>
      </c>
    </row>
    <row r="2013" spans="1:7" x14ac:dyDescent="0.2">
      <c r="A2013" t="s">
        <v>862</v>
      </c>
      <c r="B2013" t="s">
        <v>194</v>
      </c>
      <c r="C2013" t="s">
        <v>195</v>
      </c>
      <c r="D2013" t="s">
        <v>8</v>
      </c>
      <c r="G2013">
        <v>4862</v>
      </c>
    </row>
    <row r="2014" spans="1:7" x14ac:dyDescent="0.2">
      <c r="A2014" t="s">
        <v>862</v>
      </c>
      <c r="B2014" t="s">
        <v>194</v>
      </c>
      <c r="C2014" t="s">
        <v>195</v>
      </c>
      <c r="D2014" t="s">
        <v>196</v>
      </c>
      <c r="E2014" t="s">
        <v>197</v>
      </c>
      <c r="F2014" t="s">
        <v>22</v>
      </c>
      <c r="G2014">
        <v>3315</v>
      </c>
    </row>
    <row r="2015" spans="1:7" x14ac:dyDescent="0.2">
      <c r="A2015" t="s">
        <v>862</v>
      </c>
      <c r="B2015" t="s">
        <v>194</v>
      </c>
      <c r="C2015" t="s">
        <v>195</v>
      </c>
      <c r="D2015" t="s">
        <v>45</v>
      </c>
      <c r="G2015">
        <v>0</v>
      </c>
    </row>
    <row r="2016" spans="1:7" x14ac:dyDescent="0.2">
      <c r="A2016" t="s">
        <v>862</v>
      </c>
      <c r="B2016" t="s">
        <v>194</v>
      </c>
      <c r="C2016" t="s">
        <v>195</v>
      </c>
      <c r="D2016" t="s">
        <v>46</v>
      </c>
      <c r="G2016">
        <v>1547</v>
      </c>
    </row>
    <row r="2017" spans="1:7" x14ac:dyDescent="0.2">
      <c r="A2017" t="s">
        <v>862</v>
      </c>
      <c r="B2017" t="s">
        <v>342</v>
      </c>
      <c r="C2017" t="s">
        <v>343</v>
      </c>
      <c r="D2017" t="s">
        <v>8</v>
      </c>
      <c r="G2017">
        <v>13088</v>
      </c>
    </row>
    <row r="2018" spans="1:7" x14ac:dyDescent="0.2">
      <c r="A2018" t="s">
        <v>862</v>
      </c>
      <c r="B2018" t="s">
        <v>342</v>
      </c>
      <c r="C2018" t="s">
        <v>343</v>
      </c>
      <c r="D2018" t="s">
        <v>344</v>
      </c>
      <c r="E2018" t="s">
        <v>345</v>
      </c>
      <c r="F2018" t="s">
        <v>22</v>
      </c>
      <c r="G2018">
        <v>3529</v>
      </c>
    </row>
    <row r="2019" spans="1:7" x14ac:dyDescent="0.2">
      <c r="A2019" t="s">
        <v>862</v>
      </c>
      <c r="B2019" t="s">
        <v>342</v>
      </c>
      <c r="C2019" t="s">
        <v>343</v>
      </c>
      <c r="D2019" t="s">
        <v>346</v>
      </c>
      <c r="E2019" t="s">
        <v>347</v>
      </c>
      <c r="F2019" t="s">
        <v>28</v>
      </c>
      <c r="G2019">
        <v>8818</v>
      </c>
    </row>
    <row r="2020" spans="1:7" x14ac:dyDescent="0.2">
      <c r="A2020" t="s">
        <v>862</v>
      </c>
      <c r="B2020" t="s">
        <v>342</v>
      </c>
      <c r="C2020" t="s">
        <v>343</v>
      </c>
      <c r="D2020" t="s">
        <v>45</v>
      </c>
      <c r="G2020">
        <v>0</v>
      </c>
    </row>
    <row r="2021" spans="1:7" x14ac:dyDescent="0.2">
      <c r="A2021" t="s">
        <v>862</v>
      </c>
      <c r="B2021" t="s">
        <v>342</v>
      </c>
      <c r="C2021" t="s">
        <v>343</v>
      </c>
      <c r="D2021" t="s">
        <v>46</v>
      </c>
      <c r="G2021">
        <v>741</v>
      </c>
    </row>
    <row r="2022" spans="1:7" x14ac:dyDescent="0.2">
      <c r="A2022" t="s">
        <v>862</v>
      </c>
      <c r="B2022" t="s">
        <v>348</v>
      </c>
      <c r="C2022" t="s">
        <v>349</v>
      </c>
      <c r="D2022" t="s">
        <v>8</v>
      </c>
      <c r="G2022">
        <v>21247</v>
      </c>
    </row>
    <row r="2023" spans="1:7" x14ac:dyDescent="0.2">
      <c r="A2023" t="s">
        <v>862</v>
      </c>
      <c r="B2023" t="s">
        <v>348</v>
      </c>
      <c r="C2023" t="s">
        <v>349</v>
      </c>
      <c r="D2023" t="s">
        <v>350</v>
      </c>
      <c r="E2023" t="s">
        <v>351</v>
      </c>
      <c r="F2023" t="s">
        <v>22</v>
      </c>
      <c r="G2023">
        <v>4082</v>
      </c>
    </row>
    <row r="2024" spans="1:7" x14ac:dyDescent="0.2">
      <c r="A2024" t="s">
        <v>862</v>
      </c>
      <c r="B2024" t="s">
        <v>348</v>
      </c>
      <c r="C2024" t="s">
        <v>349</v>
      </c>
      <c r="D2024" t="s">
        <v>352</v>
      </c>
      <c r="E2024" t="s">
        <v>353</v>
      </c>
      <c r="F2024" t="s">
        <v>28</v>
      </c>
      <c r="G2024">
        <v>15886</v>
      </c>
    </row>
    <row r="2025" spans="1:7" x14ac:dyDescent="0.2">
      <c r="A2025" t="s">
        <v>862</v>
      </c>
      <c r="B2025" t="s">
        <v>348</v>
      </c>
      <c r="C2025" t="s">
        <v>349</v>
      </c>
      <c r="D2025" t="s">
        <v>45</v>
      </c>
      <c r="G2025">
        <v>0</v>
      </c>
    </row>
    <row r="2026" spans="1:7" x14ac:dyDescent="0.2">
      <c r="A2026" t="s">
        <v>862</v>
      </c>
      <c r="B2026" t="s">
        <v>348</v>
      </c>
      <c r="C2026" t="s">
        <v>349</v>
      </c>
      <c r="D2026" t="s">
        <v>46</v>
      </c>
      <c r="G2026">
        <v>1279</v>
      </c>
    </row>
    <row r="2027" spans="1:7" x14ac:dyDescent="0.2">
      <c r="A2027" t="s">
        <v>862</v>
      </c>
      <c r="B2027" t="s">
        <v>354</v>
      </c>
      <c r="C2027" t="s">
        <v>355</v>
      </c>
      <c r="D2027" t="s">
        <v>8</v>
      </c>
      <c r="G2027">
        <v>24935</v>
      </c>
    </row>
    <row r="2028" spans="1:7" x14ac:dyDescent="0.2">
      <c r="A2028" t="s">
        <v>862</v>
      </c>
      <c r="B2028" t="s">
        <v>354</v>
      </c>
      <c r="C2028" t="s">
        <v>355</v>
      </c>
      <c r="D2028" t="s">
        <v>356</v>
      </c>
      <c r="E2028" t="s">
        <v>357</v>
      </c>
      <c r="F2028" t="s">
        <v>22</v>
      </c>
      <c r="G2028">
        <v>6338</v>
      </c>
    </row>
    <row r="2029" spans="1:7" x14ac:dyDescent="0.2">
      <c r="A2029" t="s">
        <v>862</v>
      </c>
      <c r="B2029" t="s">
        <v>354</v>
      </c>
      <c r="C2029" t="s">
        <v>355</v>
      </c>
      <c r="D2029" t="s">
        <v>358</v>
      </c>
      <c r="E2029" t="s">
        <v>359</v>
      </c>
      <c r="F2029" t="s">
        <v>88</v>
      </c>
      <c r="G2029">
        <v>449</v>
      </c>
    </row>
    <row r="2030" spans="1:7" x14ac:dyDescent="0.2">
      <c r="A2030" t="s">
        <v>862</v>
      </c>
      <c r="B2030" t="s">
        <v>354</v>
      </c>
      <c r="C2030" t="s">
        <v>355</v>
      </c>
      <c r="D2030" t="s">
        <v>360</v>
      </c>
      <c r="E2030" t="s">
        <v>361</v>
      </c>
      <c r="F2030" t="s">
        <v>28</v>
      </c>
      <c r="G2030">
        <v>16967</v>
      </c>
    </row>
    <row r="2031" spans="1:7" x14ac:dyDescent="0.2">
      <c r="A2031" t="s">
        <v>862</v>
      </c>
      <c r="B2031" t="s">
        <v>354</v>
      </c>
      <c r="C2031" t="s">
        <v>355</v>
      </c>
      <c r="D2031" t="s">
        <v>45</v>
      </c>
      <c r="G2031">
        <v>1</v>
      </c>
    </row>
    <row r="2032" spans="1:7" x14ac:dyDescent="0.2">
      <c r="A2032" t="s">
        <v>862</v>
      </c>
      <c r="B2032" t="s">
        <v>354</v>
      </c>
      <c r="C2032" t="s">
        <v>355</v>
      </c>
      <c r="D2032" t="s">
        <v>46</v>
      </c>
      <c r="G2032">
        <v>1180</v>
      </c>
    </row>
    <row r="2033" spans="1:7" x14ac:dyDescent="0.2">
      <c r="A2033" t="s">
        <v>862</v>
      </c>
      <c r="B2033" t="s">
        <v>362</v>
      </c>
      <c r="C2033" t="s">
        <v>363</v>
      </c>
      <c r="D2033" t="s">
        <v>8</v>
      </c>
      <c r="G2033">
        <v>20443</v>
      </c>
    </row>
    <row r="2034" spans="1:7" x14ac:dyDescent="0.2">
      <c r="A2034" t="s">
        <v>862</v>
      </c>
      <c r="B2034" t="s">
        <v>362</v>
      </c>
      <c r="C2034" t="s">
        <v>363</v>
      </c>
      <c r="D2034" t="s">
        <v>364</v>
      </c>
      <c r="E2034" t="s">
        <v>365</v>
      </c>
      <c r="F2034" t="s">
        <v>28</v>
      </c>
      <c r="G2034">
        <v>16639</v>
      </c>
    </row>
    <row r="2035" spans="1:7" x14ac:dyDescent="0.2">
      <c r="A2035" t="s">
        <v>862</v>
      </c>
      <c r="B2035" t="s">
        <v>362</v>
      </c>
      <c r="C2035" t="s">
        <v>363</v>
      </c>
      <c r="D2035" t="s">
        <v>45</v>
      </c>
      <c r="G2035">
        <v>0</v>
      </c>
    </row>
    <row r="2036" spans="1:7" x14ac:dyDescent="0.2">
      <c r="A2036" t="s">
        <v>862</v>
      </c>
      <c r="B2036" t="s">
        <v>362</v>
      </c>
      <c r="C2036" t="s">
        <v>363</v>
      </c>
      <c r="D2036" t="s">
        <v>46</v>
      </c>
      <c r="G2036">
        <v>3804</v>
      </c>
    </row>
    <row r="2037" spans="1:7" x14ac:dyDescent="0.2">
      <c r="A2037" t="s">
        <v>862</v>
      </c>
      <c r="B2037" t="s">
        <v>366</v>
      </c>
      <c r="C2037" t="s">
        <v>367</v>
      </c>
      <c r="D2037" t="s">
        <v>8</v>
      </c>
      <c r="G2037">
        <v>9470</v>
      </c>
    </row>
    <row r="2038" spans="1:7" x14ac:dyDescent="0.2">
      <c r="A2038" t="s">
        <v>862</v>
      </c>
      <c r="B2038" t="s">
        <v>366</v>
      </c>
      <c r="C2038" t="s">
        <v>367</v>
      </c>
      <c r="D2038" t="s">
        <v>368</v>
      </c>
      <c r="E2038" t="s">
        <v>369</v>
      </c>
      <c r="F2038" t="s">
        <v>28</v>
      </c>
      <c r="G2038">
        <v>5700</v>
      </c>
    </row>
    <row r="2039" spans="1:7" x14ac:dyDescent="0.2">
      <c r="A2039" t="s">
        <v>862</v>
      </c>
      <c r="B2039" t="s">
        <v>366</v>
      </c>
      <c r="C2039" t="s">
        <v>367</v>
      </c>
      <c r="D2039" t="s">
        <v>370</v>
      </c>
      <c r="E2039" t="s">
        <v>371</v>
      </c>
      <c r="F2039" t="s">
        <v>22</v>
      </c>
      <c r="G2039">
        <v>3249</v>
      </c>
    </row>
    <row r="2040" spans="1:7" x14ac:dyDescent="0.2">
      <c r="A2040" t="s">
        <v>862</v>
      </c>
      <c r="B2040" t="s">
        <v>366</v>
      </c>
      <c r="C2040" t="s">
        <v>367</v>
      </c>
      <c r="D2040" t="s">
        <v>45</v>
      </c>
      <c r="G2040">
        <v>1</v>
      </c>
    </row>
    <row r="2041" spans="1:7" x14ac:dyDescent="0.2">
      <c r="A2041" t="s">
        <v>862</v>
      </c>
      <c r="B2041" t="s">
        <v>366</v>
      </c>
      <c r="C2041" t="s">
        <v>367</v>
      </c>
      <c r="D2041" t="s">
        <v>46</v>
      </c>
      <c r="G2041">
        <v>520</v>
      </c>
    </row>
    <row r="2042" spans="1:7" x14ac:dyDescent="0.2">
      <c r="A2042" t="s">
        <v>862</v>
      </c>
      <c r="B2042" t="s">
        <v>372</v>
      </c>
      <c r="C2042" t="s">
        <v>373</v>
      </c>
      <c r="D2042" t="s">
        <v>8</v>
      </c>
      <c r="G2042">
        <v>14397</v>
      </c>
    </row>
    <row r="2043" spans="1:7" x14ac:dyDescent="0.2">
      <c r="A2043" t="s">
        <v>862</v>
      </c>
      <c r="B2043" t="s">
        <v>372</v>
      </c>
      <c r="C2043" t="s">
        <v>373</v>
      </c>
      <c r="D2043" t="s">
        <v>374</v>
      </c>
      <c r="E2043" t="s">
        <v>375</v>
      </c>
      <c r="F2043" t="s">
        <v>28</v>
      </c>
      <c r="G2043">
        <v>6347</v>
      </c>
    </row>
    <row r="2044" spans="1:7" x14ac:dyDescent="0.2">
      <c r="A2044" t="s">
        <v>862</v>
      </c>
      <c r="B2044" t="s">
        <v>372</v>
      </c>
      <c r="C2044" t="s">
        <v>373</v>
      </c>
      <c r="D2044" t="s">
        <v>376</v>
      </c>
      <c r="E2044" t="s">
        <v>377</v>
      </c>
      <c r="F2044" t="s">
        <v>22</v>
      </c>
      <c r="G2044">
        <v>7338</v>
      </c>
    </row>
    <row r="2045" spans="1:7" x14ac:dyDescent="0.2">
      <c r="A2045" t="s">
        <v>862</v>
      </c>
      <c r="B2045" t="s">
        <v>372</v>
      </c>
      <c r="C2045" t="s">
        <v>373</v>
      </c>
      <c r="D2045" t="s">
        <v>45</v>
      </c>
      <c r="G2045">
        <v>0</v>
      </c>
    </row>
    <row r="2046" spans="1:7" x14ac:dyDescent="0.2">
      <c r="A2046" t="s">
        <v>862</v>
      </c>
      <c r="B2046" t="s">
        <v>372</v>
      </c>
      <c r="C2046" t="s">
        <v>373</v>
      </c>
      <c r="D2046" t="s">
        <v>46</v>
      </c>
      <c r="G2046">
        <v>712</v>
      </c>
    </row>
    <row r="2047" spans="1:7" x14ac:dyDescent="0.2">
      <c r="A2047" t="s">
        <v>862</v>
      </c>
      <c r="B2047" t="s">
        <v>378</v>
      </c>
      <c r="C2047" t="s">
        <v>379</v>
      </c>
      <c r="D2047" t="s">
        <v>8</v>
      </c>
      <c r="G2047">
        <v>15567</v>
      </c>
    </row>
    <row r="2048" spans="1:7" x14ac:dyDescent="0.2">
      <c r="A2048" t="s">
        <v>862</v>
      </c>
      <c r="B2048" t="s">
        <v>378</v>
      </c>
      <c r="C2048" t="s">
        <v>379</v>
      </c>
      <c r="D2048" t="s">
        <v>380</v>
      </c>
      <c r="E2048" t="s">
        <v>381</v>
      </c>
      <c r="F2048" t="s">
        <v>28</v>
      </c>
      <c r="G2048">
        <v>6496</v>
      </c>
    </row>
    <row r="2049" spans="1:7" x14ac:dyDescent="0.2">
      <c r="A2049" t="s">
        <v>862</v>
      </c>
      <c r="B2049" t="s">
        <v>378</v>
      </c>
      <c r="C2049" t="s">
        <v>379</v>
      </c>
      <c r="D2049" t="s">
        <v>382</v>
      </c>
      <c r="E2049" t="s">
        <v>383</v>
      </c>
      <c r="F2049" t="s">
        <v>22</v>
      </c>
      <c r="G2049">
        <v>8175</v>
      </c>
    </row>
    <row r="2050" spans="1:7" x14ac:dyDescent="0.2">
      <c r="A2050" t="s">
        <v>862</v>
      </c>
      <c r="B2050" t="s">
        <v>378</v>
      </c>
      <c r="C2050" t="s">
        <v>379</v>
      </c>
      <c r="D2050" t="s">
        <v>45</v>
      </c>
      <c r="G2050">
        <v>3</v>
      </c>
    </row>
    <row r="2051" spans="1:7" x14ac:dyDescent="0.2">
      <c r="A2051" t="s">
        <v>862</v>
      </c>
      <c r="B2051" t="s">
        <v>378</v>
      </c>
      <c r="C2051" t="s">
        <v>379</v>
      </c>
      <c r="D2051" t="s">
        <v>46</v>
      </c>
      <c r="G2051">
        <v>893</v>
      </c>
    </row>
    <row r="2052" spans="1:7" x14ac:dyDescent="0.2">
      <c r="A2052" t="s">
        <v>862</v>
      </c>
      <c r="B2052" t="s">
        <v>396</v>
      </c>
      <c r="C2052" t="s">
        <v>397</v>
      </c>
      <c r="D2052" t="s">
        <v>8</v>
      </c>
      <c r="G2052">
        <v>14654</v>
      </c>
    </row>
    <row r="2053" spans="1:7" x14ac:dyDescent="0.2">
      <c r="A2053" t="s">
        <v>862</v>
      </c>
      <c r="B2053" t="s">
        <v>396</v>
      </c>
      <c r="C2053" t="s">
        <v>397</v>
      </c>
      <c r="D2053" t="s">
        <v>398</v>
      </c>
      <c r="E2053" t="s">
        <v>399</v>
      </c>
      <c r="F2053" t="s">
        <v>22</v>
      </c>
      <c r="G2053">
        <v>6662</v>
      </c>
    </row>
    <row r="2054" spans="1:7" x14ac:dyDescent="0.2">
      <c r="A2054" t="s">
        <v>862</v>
      </c>
      <c r="B2054" t="s">
        <v>396</v>
      </c>
      <c r="C2054" t="s">
        <v>397</v>
      </c>
      <c r="D2054" t="s">
        <v>400</v>
      </c>
      <c r="E2054" t="s">
        <v>401</v>
      </c>
      <c r="F2054" t="s">
        <v>28</v>
      </c>
      <c r="G2054">
        <v>7371</v>
      </c>
    </row>
    <row r="2055" spans="1:7" x14ac:dyDescent="0.2">
      <c r="A2055" t="s">
        <v>862</v>
      </c>
      <c r="B2055" t="s">
        <v>396</v>
      </c>
      <c r="C2055" t="s">
        <v>397</v>
      </c>
      <c r="D2055" t="s">
        <v>45</v>
      </c>
      <c r="G2055">
        <v>0</v>
      </c>
    </row>
    <row r="2056" spans="1:7" x14ac:dyDescent="0.2">
      <c r="A2056" t="s">
        <v>862</v>
      </c>
      <c r="B2056" t="s">
        <v>396</v>
      </c>
      <c r="C2056" t="s">
        <v>397</v>
      </c>
      <c r="D2056" t="s">
        <v>46</v>
      </c>
      <c r="G2056">
        <v>621</v>
      </c>
    </row>
    <row r="2057" spans="1:7" x14ac:dyDescent="0.2">
      <c r="A2057" t="s">
        <v>862</v>
      </c>
      <c r="B2057" t="s">
        <v>402</v>
      </c>
      <c r="C2057" t="s">
        <v>403</v>
      </c>
      <c r="D2057" t="s">
        <v>8</v>
      </c>
      <c r="G2057">
        <v>13142</v>
      </c>
    </row>
    <row r="2058" spans="1:7" x14ac:dyDescent="0.2">
      <c r="A2058" t="s">
        <v>862</v>
      </c>
      <c r="B2058" t="s">
        <v>402</v>
      </c>
      <c r="C2058" t="s">
        <v>403</v>
      </c>
      <c r="D2058" t="s">
        <v>404</v>
      </c>
      <c r="E2058" t="s">
        <v>405</v>
      </c>
      <c r="F2058" t="s">
        <v>28</v>
      </c>
      <c r="G2058">
        <v>7148</v>
      </c>
    </row>
    <row r="2059" spans="1:7" x14ac:dyDescent="0.2">
      <c r="A2059" t="s">
        <v>862</v>
      </c>
      <c r="B2059" t="s">
        <v>402</v>
      </c>
      <c r="C2059" t="s">
        <v>403</v>
      </c>
      <c r="D2059" t="s">
        <v>406</v>
      </c>
      <c r="E2059" t="s">
        <v>407</v>
      </c>
      <c r="F2059" t="s">
        <v>22</v>
      </c>
      <c r="G2059">
        <v>5198</v>
      </c>
    </row>
    <row r="2060" spans="1:7" x14ac:dyDescent="0.2">
      <c r="A2060" t="s">
        <v>862</v>
      </c>
      <c r="B2060" t="s">
        <v>402</v>
      </c>
      <c r="C2060" t="s">
        <v>403</v>
      </c>
      <c r="D2060" t="s">
        <v>45</v>
      </c>
      <c r="G2060">
        <v>0</v>
      </c>
    </row>
    <row r="2061" spans="1:7" x14ac:dyDescent="0.2">
      <c r="A2061" t="s">
        <v>862</v>
      </c>
      <c r="B2061" t="s">
        <v>402</v>
      </c>
      <c r="C2061" t="s">
        <v>403</v>
      </c>
      <c r="D2061" t="s">
        <v>46</v>
      </c>
      <c r="G2061">
        <v>796</v>
      </c>
    </row>
    <row r="2062" spans="1:7" x14ac:dyDescent="0.2">
      <c r="A2062" t="s">
        <v>862</v>
      </c>
      <c r="B2062" t="s">
        <v>408</v>
      </c>
      <c r="C2062" t="s">
        <v>409</v>
      </c>
      <c r="D2062" t="s">
        <v>8</v>
      </c>
      <c r="G2062">
        <v>17702</v>
      </c>
    </row>
    <row r="2063" spans="1:7" x14ac:dyDescent="0.2">
      <c r="A2063" t="s">
        <v>862</v>
      </c>
      <c r="B2063" t="s">
        <v>408</v>
      </c>
      <c r="C2063" t="s">
        <v>409</v>
      </c>
      <c r="D2063" t="s">
        <v>410</v>
      </c>
      <c r="E2063" t="s">
        <v>411</v>
      </c>
      <c r="F2063" t="s">
        <v>22</v>
      </c>
      <c r="G2063">
        <v>4576</v>
      </c>
    </row>
    <row r="2064" spans="1:7" x14ac:dyDescent="0.2">
      <c r="A2064" t="s">
        <v>862</v>
      </c>
      <c r="B2064" t="s">
        <v>408</v>
      </c>
      <c r="C2064" t="s">
        <v>409</v>
      </c>
      <c r="D2064" t="s">
        <v>412</v>
      </c>
      <c r="E2064" t="s">
        <v>413</v>
      </c>
      <c r="F2064" t="s">
        <v>28</v>
      </c>
      <c r="G2064">
        <v>12158</v>
      </c>
    </row>
    <row r="2065" spans="1:7" x14ac:dyDescent="0.2">
      <c r="A2065" t="s">
        <v>862</v>
      </c>
      <c r="B2065" t="s">
        <v>408</v>
      </c>
      <c r="C2065" t="s">
        <v>409</v>
      </c>
      <c r="D2065" t="s">
        <v>45</v>
      </c>
      <c r="G2065">
        <v>0</v>
      </c>
    </row>
    <row r="2066" spans="1:7" x14ac:dyDescent="0.2">
      <c r="A2066" t="s">
        <v>862</v>
      </c>
      <c r="B2066" t="s">
        <v>408</v>
      </c>
      <c r="C2066" t="s">
        <v>409</v>
      </c>
      <c r="D2066" t="s">
        <v>46</v>
      </c>
      <c r="G2066">
        <v>968</v>
      </c>
    </row>
    <row r="2067" spans="1:7" x14ac:dyDescent="0.2">
      <c r="A2067" t="s">
        <v>862</v>
      </c>
      <c r="B2067" t="s">
        <v>414</v>
      </c>
      <c r="C2067" t="s">
        <v>415</v>
      </c>
      <c r="D2067" t="s">
        <v>8</v>
      </c>
      <c r="G2067">
        <v>26038</v>
      </c>
    </row>
    <row r="2068" spans="1:7" x14ac:dyDescent="0.2">
      <c r="A2068" t="s">
        <v>862</v>
      </c>
      <c r="B2068" t="s">
        <v>414</v>
      </c>
      <c r="C2068" t="s">
        <v>415</v>
      </c>
      <c r="D2068" t="s">
        <v>416</v>
      </c>
      <c r="E2068" t="s">
        <v>417</v>
      </c>
      <c r="F2068" t="s">
        <v>22</v>
      </c>
      <c r="G2068">
        <v>7923</v>
      </c>
    </row>
    <row r="2069" spans="1:7" x14ac:dyDescent="0.2">
      <c r="A2069" t="s">
        <v>862</v>
      </c>
      <c r="B2069" t="s">
        <v>414</v>
      </c>
      <c r="C2069" t="s">
        <v>415</v>
      </c>
      <c r="D2069" t="s">
        <v>418</v>
      </c>
      <c r="E2069" t="s">
        <v>419</v>
      </c>
      <c r="F2069" t="s">
        <v>28</v>
      </c>
      <c r="G2069">
        <v>16863</v>
      </c>
    </row>
    <row r="2070" spans="1:7" x14ac:dyDescent="0.2">
      <c r="A2070" t="s">
        <v>862</v>
      </c>
      <c r="B2070" t="s">
        <v>414</v>
      </c>
      <c r="C2070" t="s">
        <v>415</v>
      </c>
      <c r="D2070" t="s">
        <v>45</v>
      </c>
      <c r="G2070">
        <v>1</v>
      </c>
    </row>
    <row r="2071" spans="1:7" x14ac:dyDescent="0.2">
      <c r="A2071" t="s">
        <v>862</v>
      </c>
      <c r="B2071" t="s">
        <v>414</v>
      </c>
      <c r="C2071" t="s">
        <v>415</v>
      </c>
      <c r="D2071" t="s">
        <v>46</v>
      </c>
      <c r="G2071">
        <v>1251</v>
      </c>
    </row>
    <row r="2072" spans="1:7" x14ac:dyDescent="0.2">
      <c r="A2072" t="s">
        <v>862</v>
      </c>
      <c r="B2072" t="s">
        <v>420</v>
      </c>
      <c r="C2072" t="s">
        <v>421</v>
      </c>
      <c r="D2072" t="s">
        <v>8</v>
      </c>
      <c r="G2072">
        <v>21918</v>
      </c>
    </row>
    <row r="2073" spans="1:7" x14ac:dyDescent="0.2">
      <c r="A2073" t="s">
        <v>862</v>
      </c>
      <c r="B2073" t="s">
        <v>420</v>
      </c>
      <c r="C2073" t="s">
        <v>421</v>
      </c>
      <c r="D2073" t="s">
        <v>422</v>
      </c>
      <c r="E2073" t="s">
        <v>423</v>
      </c>
      <c r="F2073" t="s">
        <v>88</v>
      </c>
      <c r="G2073">
        <v>519</v>
      </c>
    </row>
    <row r="2074" spans="1:7" x14ac:dyDescent="0.2">
      <c r="A2074" t="s">
        <v>862</v>
      </c>
      <c r="B2074" t="s">
        <v>420</v>
      </c>
      <c r="C2074" t="s">
        <v>421</v>
      </c>
      <c r="D2074" t="s">
        <v>424</v>
      </c>
      <c r="E2074" t="s">
        <v>425</v>
      </c>
      <c r="F2074" t="s">
        <v>22</v>
      </c>
      <c r="G2074">
        <v>7202</v>
      </c>
    </row>
    <row r="2075" spans="1:7" x14ac:dyDescent="0.2">
      <c r="A2075" t="s">
        <v>862</v>
      </c>
      <c r="B2075" t="s">
        <v>420</v>
      </c>
      <c r="C2075" t="s">
        <v>421</v>
      </c>
      <c r="D2075" t="s">
        <v>426</v>
      </c>
      <c r="E2075" t="s">
        <v>427</v>
      </c>
      <c r="F2075" t="s">
        <v>28</v>
      </c>
      <c r="G2075">
        <v>13125</v>
      </c>
    </row>
    <row r="2076" spans="1:7" x14ac:dyDescent="0.2">
      <c r="A2076" t="s">
        <v>862</v>
      </c>
      <c r="B2076" t="s">
        <v>420</v>
      </c>
      <c r="C2076" t="s">
        <v>421</v>
      </c>
      <c r="D2076" t="s">
        <v>45</v>
      </c>
      <c r="G2076">
        <v>2</v>
      </c>
    </row>
    <row r="2077" spans="1:7" x14ac:dyDescent="0.2">
      <c r="A2077" t="s">
        <v>862</v>
      </c>
      <c r="B2077" t="s">
        <v>420</v>
      </c>
      <c r="C2077" t="s">
        <v>421</v>
      </c>
      <c r="D2077" t="s">
        <v>46</v>
      </c>
      <c r="G2077">
        <v>1070</v>
      </c>
    </row>
    <row r="2078" spans="1:7" x14ac:dyDescent="0.2">
      <c r="A2078" t="s">
        <v>862</v>
      </c>
      <c r="B2078" t="s">
        <v>428</v>
      </c>
      <c r="C2078" t="s">
        <v>429</v>
      </c>
      <c r="D2078" t="s">
        <v>8</v>
      </c>
      <c r="G2078">
        <v>18420</v>
      </c>
    </row>
    <row r="2079" spans="1:7" x14ac:dyDescent="0.2">
      <c r="A2079" t="s">
        <v>862</v>
      </c>
      <c r="B2079" t="s">
        <v>428</v>
      </c>
      <c r="C2079" t="s">
        <v>429</v>
      </c>
      <c r="D2079" t="s">
        <v>430</v>
      </c>
      <c r="E2079" t="s">
        <v>431</v>
      </c>
      <c r="F2079" t="s">
        <v>22</v>
      </c>
      <c r="G2079">
        <v>8451</v>
      </c>
    </row>
    <row r="2080" spans="1:7" x14ac:dyDescent="0.2">
      <c r="A2080" t="s">
        <v>862</v>
      </c>
      <c r="B2080" t="s">
        <v>428</v>
      </c>
      <c r="C2080" t="s">
        <v>429</v>
      </c>
      <c r="D2080" t="s">
        <v>432</v>
      </c>
      <c r="E2080" t="s">
        <v>433</v>
      </c>
      <c r="F2080" t="s">
        <v>28</v>
      </c>
      <c r="G2080">
        <v>9139</v>
      </c>
    </row>
    <row r="2081" spans="1:7" x14ac:dyDescent="0.2">
      <c r="A2081" t="s">
        <v>862</v>
      </c>
      <c r="B2081" t="s">
        <v>428</v>
      </c>
      <c r="C2081" t="s">
        <v>429</v>
      </c>
      <c r="D2081" t="s">
        <v>45</v>
      </c>
      <c r="G2081">
        <v>0</v>
      </c>
    </row>
    <row r="2082" spans="1:7" x14ac:dyDescent="0.2">
      <c r="A2082" t="s">
        <v>862</v>
      </c>
      <c r="B2082" t="s">
        <v>428</v>
      </c>
      <c r="C2082" t="s">
        <v>429</v>
      </c>
      <c r="D2082" t="s">
        <v>46</v>
      </c>
      <c r="G2082">
        <v>830</v>
      </c>
    </row>
    <row r="2083" spans="1:7" x14ac:dyDescent="0.2">
      <c r="A2083" t="s">
        <v>862</v>
      </c>
      <c r="B2083" t="s">
        <v>434</v>
      </c>
      <c r="C2083" t="s">
        <v>435</v>
      </c>
      <c r="D2083" t="s">
        <v>8</v>
      </c>
      <c r="G2083">
        <v>19041</v>
      </c>
    </row>
    <row r="2084" spans="1:7" x14ac:dyDescent="0.2">
      <c r="A2084" t="s">
        <v>862</v>
      </c>
      <c r="B2084" t="s">
        <v>434</v>
      </c>
      <c r="C2084" t="s">
        <v>435</v>
      </c>
      <c r="D2084" t="s">
        <v>436</v>
      </c>
      <c r="E2084" t="s">
        <v>437</v>
      </c>
      <c r="F2084" t="s">
        <v>22</v>
      </c>
      <c r="G2084">
        <v>13333</v>
      </c>
    </row>
    <row r="2085" spans="1:7" x14ac:dyDescent="0.2">
      <c r="A2085" t="s">
        <v>862</v>
      </c>
      <c r="B2085" t="s">
        <v>434</v>
      </c>
      <c r="C2085" t="s">
        <v>435</v>
      </c>
      <c r="D2085" t="s">
        <v>45</v>
      </c>
      <c r="G2085">
        <v>0</v>
      </c>
    </row>
    <row r="2086" spans="1:7" x14ac:dyDescent="0.2">
      <c r="A2086" t="s">
        <v>862</v>
      </c>
      <c r="B2086" t="s">
        <v>434</v>
      </c>
      <c r="C2086" t="s">
        <v>435</v>
      </c>
      <c r="D2086" t="s">
        <v>46</v>
      </c>
      <c r="G2086">
        <v>5708</v>
      </c>
    </row>
    <row r="2087" spans="1:7" x14ac:dyDescent="0.2">
      <c r="A2087" t="s">
        <v>862</v>
      </c>
      <c r="B2087" t="s">
        <v>438</v>
      </c>
      <c r="C2087" t="s">
        <v>439</v>
      </c>
      <c r="D2087" t="s">
        <v>8</v>
      </c>
      <c r="G2087">
        <v>12642</v>
      </c>
    </row>
    <row r="2088" spans="1:7" x14ac:dyDescent="0.2">
      <c r="A2088" t="s">
        <v>862</v>
      </c>
      <c r="B2088" t="s">
        <v>438</v>
      </c>
      <c r="C2088" t="s">
        <v>439</v>
      </c>
      <c r="D2088" t="s">
        <v>440</v>
      </c>
      <c r="E2088" t="s">
        <v>441</v>
      </c>
      <c r="F2088" t="s">
        <v>22</v>
      </c>
      <c r="G2088">
        <v>5409</v>
      </c>
    </row>
    <row r="2089" spans="1:7" x14ac:dyDescent="0.2">
      <c r="A2089" t="s">
        <v>862</v>
      </c>
      <c r="B2089" t="s">
        <v>438</v>
      </c>
      <c r="C2089" t="s">
        <v>439</v>
      </c>
      <c r="D2089" t="s">
        <v>442</v>
      </c>
      <c r="E2089" t="s">
        <v>443</v>
      </c>
      <c r="F2089" t="s">
        <v>28</v>
      </c>
      <c r="G2089">
        <v>6541</v>
      </c>
    </row>
    <row r="2090" spans="1:7" x14ac:dyDescent="0.2">
      <c r="A2090" t="s">
        <v>862</v>
      </c>
      <c r="B2090" t="s">
        <v>438</v>
      </c>
      <c r="C2090" t="s">
        <v>439</v>
      </c>
      <c r="D2090" t="s">
        <v>45</v>
      </c>
      <c r="G2090">
        <v>0</v>
      </c>
    </row>
    <row r="2091" spans="1:7" x14ac:dyDescent="0.2">
      <c r="A2091" t="s">
        <v>862</v>
      </c>
      <c r="B2091" t="s">
        <v>438</v>
      </c>
      <c r="C2091" t="s">
        <v>439</v>
      </c>
      <c r="D2091" t="s">
        <v>46</v>
      </c>
      <c r="G2091">
        <v>692</v>
      </c>
    </row>
    <row r="2092" spans="1:7" x14ac:dyDescent="0.2">
      <c r="A2092" t="s">
        <v>862</v>
      </c>
      <c r="B2092" t="s">
        <v>444</v>
      </c>
      <c r="C2092" t="s">
        <v>445</v>
      </c>
      <c r="D2092" t="s">
        <v>8</v>
      </c>
      <c r="G2092">
        <v>17322</v>
      </c>
    </row>
    <row r="2093" spans="1:7" x14ac:dyDescent="0.2">
      <c r="A2093" t="s">
        <v>862</v>
      </c>
      <c r="B2093" t="s">
        <v>444</v>
      </c>
      <c r="C2093" t="s">
        <v>445</v>
      </c>
      <c r="D2093" t="s">
        <v>446</v>
      </c>
      <c r="E2093" t="s">
        <v>447</v>
      </c>
      <c r="F2093" t="s">
        <v>22</v>
      </c>
      <c r="G2093">
        <v>9921</v>
      </c>
    </row>
    <row r="2094" spans="1:7" x14ac:dyDescent="0.2">
      <c r="A2094" t="s">
        <v>862</v>
      </c>
      <c r="B2094" t="s">
        <v>444</v>
      </c>
      <c r="C2094" t="s">
        <v>445</v>
      </c>
      <c r="D2094" t="s">
        <v>448</v>
      </c>
      <c r="E2094" t="s">
        <v>449</v>
      </c>
      <c r="F2094" t="s">
        <v>28</v>
      </c>
      <c r="G2094">
        <v>6235</v>
      </c>
    </row>
    <row r="2095" spans="1:7" x14ac:dyDescent="0.2">
      <c r="A2095" t="s">
        <v>862</v>
      </c>
      <c r="B2095" t="s">
        <v>444</v>
      </c>
      <c r="C2095" t="s">
        <v>445</v>
      </c>
      <c r="D2095" t="s">
        <v>45</v>
      </c>
      <c r="G2095">
        <v>0</v>
      </c>
    </row>
    <row r="2096" spans="1:7" x14ac:dyDescent="0.2">
      <c r="A2096" t="s">
        <v>862</v>
      </c>
      <c r="B2096" t="s">
        <v>444</v>
      </c>
      <c r="C2096" t="s">
        <v>445</v>
      </c>
      <c r="D2096" t="s">
        <v>46</v>
      </c>
      <c r="G2096">
        <v>1166</v>
      </c>
    </row>
    <row r="2097" spans="1:7" x14ac:dyDescent="0.2">
      <c r="A2097" t="s">
        <v>862</v>
      </c>
      <c r="B2097" t="s">
        <v>450</v>
      </c>
      <c r="C2097" t="s">
        <v>451</v>
      </c>
      <c r="D2097" t="s">
        <v>8</v>
      </c>
      <c r="G2097">
        <v>17362</v>
      </c>
    </row>
    <row r="2098" spans="1:7" x14ac:dyDescent="0.2">
      <c r="A2098" t="s">
        <v>862</v>
      </c>
      <c r="B2098" t="s">
        <v>450</v>
      </c>
      <c r="C2098" t="s">
        <v>451</v>
      </c>
      <c r="D2098" t="s">
        <v>452</v>
      </c>
      <c r="E2098" t="s">
        <v>453</v>
      </c>
      <c r="F2098" t="s">
        <v>11</v>
      </c>
      <c r="G2098">
        <v>7112</v>
      </c>
    </row>
    <row r="2099" spans="1:7" x14ac:dyDescent="0.2">
      <c r="A2099" t="s">
        <v>862</v>
      </c>
      <c r="B2099" t="s">
        <v>450</v>
      </c>
      <c r="C2099" t="s">
        <v>451</v>
      </c>
      <c r="D2099" t="s">
        <v>454</v>
      </c>
      <c r="E2099" t="s">
        <v>455</v>
      </c>
      <c r="F2099" t="s">
        <v>22</v>
      </c>
      <c r="G2099">
        <v>8799</v>
      </c>
    </row>
    <row r="2100" spans="1:7" x14ac:dyDescent="0.2">
      <c r="A2100" t="s">
        <v>862</v>
      </c>
      <c r="B2100" t="s">
        <v>450</v>
      </c>
      <c r="C2100" t="s">
        <v>451</v>
      </c>
      <c r="D2100" t="s">
        <v>45</v>
      </c>
      <c r="G2100">
        <v>1</v>
      </c>
    </row>
    <row r="2101" spans="1:7" x14ac:dyDescent="0.2">
      <c r="A2101" t="s">
        <v>862</v>
      </c>
      <c r="B2101" t="s">
        <v>450</v>
      </c>
      <c r="C2101" t="s">
        <v>451</v>
      </c>
      <c r="D2101" t="s">
        <v>46</v>
      </c>
      <c r="G2101">
        <v>1450</v>
      </c>
    </row>
    <row r="2102" spans="1:7" x14ac:dyDescent="0.2">
      <c r="A2102" t="s">
        <v>862</v>
      </c>
      <c r="B2102" t="s">
        <v>456</v>
      </c>
      <c r="C2102" t="s">
        <v>457</v>
      </c>
      <c r="D2102" t="s">
        <v>8</v>
      </c>
      <c r="G2102">
        <v>16516</v>
      </c>
    </row>
    <row r="2103" spans="1:7" x14ac:dyDescent="0.2">
      <c r="A2103" t="s">
        <v>862</v>
      </c>
      <c r="B2103" t="s">
        <v>456</v>
      </c>
      <c r="C2103" t="s">
        <v>457</v>
      </c>
      <c r="D2103" t="s">
        <v>458</v>
      </c>
      <c r="E2103" t="s">
        <v>459</v>
      </c>
      <c r="F2103" t="s">
        <v>88</v>
      </c>
      <c r="G2103">
        <v>483</v>
      </c>
    </row>
    <row r="2104" spans="1:7" x14ac:dyDescent="0.2">
      <c r="A2104" t="s">
        <v>862</v>
      </c>
      <c r="B2104" t="s">
        <v>456</v>
      </c>
      <c r="C2104" t="s">
        <v>457</v>
      </c>
      <c r="D2104" t="s">
        <v>460</v>
      </c>
      <c r="E2104" t="s">
        <v>461</v>
      </c>
      <c r="F2104" t="s">
        <v>28</v>
      </c>
      <c r="G2104">
        <v>8883</v>
      </c>
    </row>
    <row r="2105" spans="1:7" x14ac:dyDescent="0.2">
      <c r="A2105" t="s">
        <v>862</v>
      </c>
      <c r="B2105" t="s">
        <v>456</v>
      </c>
      <c r="C2105" t="s">
        <v>457</v>
      </c>
      <c r="D2105" t="s">
        <v>462</v>
      </c>
      <c r="E2105" t="s">
        <v>463</v>
      </c>
      <c r="F2105" t="s">
        <v>22</v>
      </c>
      <c r="G2105">
        <v>6126</v>
      </c>
    </row>
    <row r="2106" spans="1:7" x14ac:dyDescent="0.2">
      <c r="A2106" t="s">
        <v>862</v>
      </c>
      <c r="B2106" t="s">
        <v>456</v>
      </c>
      <c r="C2106" t="s">
        <v>457</v>
      </c>
      <c r="D2106" t="s">
        <v>45</v>
      </c>
      <c r="G2106">
        <v>2</v>
      </c>
    </row>
    <row r="2107" spans="1:7" x14ac:dyDescent="0.2">
      <c r="A2107" t="s">
        <v>862</v>
      </c>
      <c r="B2107" t="s">
        <v>456</v>
      </c>
      <c r="C2107" t="s">
        <v>457</v>
      </c>
      <c r="D2107" t="s">
        <v>46</v>
      </c>
      <c r="G2107">
        <v>1022</v>
      </c>
    </row>
    <row r="2108" spans="1:7" x14ac:dyDescent="0.2">
      <c r="A2108" t="s">
        <v>862</v>
      </c>
      <c r="B2108" t="s">
        <v>464</v>
      </c>
      <c r="C2108" t="s">
        <v>465</v>
      </c>
      <c r="D2108" t="s">
        <v>8</v>
      </c>
      <c r="G2108">
        <v>25252</v>
      </c>
    </row>
    <row r="2109" spans="1:7" x14ac:dyDescent="0.2">
      <c r="A2109" t="s">
        <v>862</v>
      </c>
      <c r="B2109" t="s">
        <v>464</v>
      </c>
      <c r="C2109" t="s">
        <v>465</v>
      </c>
      <c r="D2109" t="s">
        <v>466</v>
      </c>
      <c r="E2109" t="s">
        <v>467</v>
      </c>
      <c r="F2109" t="s">
        <v>28</v>
      </c>
      <c r="G2109">
        <v>15206</v>
      </c>
    </row>
    <row r="2110" spans="1:7" x14ac:dyDescent="0.2">
      <c r="A2110" t="s">
        <v>862</v>
      </c>
      <c r="B2110" t="s">
        <v>464</v>
      </c>
      <c r="C2110" t="s">
        <v>465</v>
      </c>
      <c r="D2110" t="s">
        <v>468</v>
      </c>
      <c r="E2110" t="s">
        <v>469</v>
      </c>
      <c r="F2110" t="s">
        <v>22</v>
      </c>
      <c r="G2110">
        <v>8622</v>
      </c>
    </row>
    <row r="2111" spans="1:7" x14ac:dyDescent="0.2">
      <c r="A2111" t="s">
        <v>862</v>
      </c>
      <c r="B2111" t="s">
        <v>464</v>
      </c>
      <c r="C2111" t="s">
        <v>465</v>
      </c>
      <c r="D2111" t="s">
        <v>45</v>
      </c>
      <c r="G2111">
        <v>1</v>
      </c>
    </row>
    <row r="2112" spans="1:7" x14ac:dyDescent="0.2">
      <c r="A2112" t="s">
        <v>862</v>
      </c>
      <c r="B2112" t="s">
        <v>464</v>
      </c>
      <c r="C2112" t="s">
        <v>465</v>
      </c>
      <c r="D2112" t="s">
        <v>46</v>
      </c>
      <c r="G2112">
        <v>1423</v>
      </c>
    </row>
    <row r="2113" spans="1:7" x14ac:dyDescent="0.2">
      <c r="A2113" t="s">
        <v>862</v>
      </c>
      <c r="B2113" t="s">
        <v>470</v>
      </c>
      <c r="C2113" t="s">
        <v>471</v>
      </c>
      <c r="D2113" t="s">
        <v>8</v>
      </c>
      <c r="G2113">
        <v>26258</v>
      </c>
    </row>
    <row r="2114" spans="1:7" x14ac:dyDescent="0.2">
      <c r="A2114" t="s">
        <v>862</v>
      </c>
      <c r="B2114" t="s">
        <v>470</v>
      </c>
      <c r="C2114" t="s">
        <v>471</v>
      </c>
      <c r="D2114" t="s">
        <v>472</v>
      </c>
      <c r="E2114" t="s">
        <v>473</v>
      </c>
      <c r="F2114" t="s">
        <v>28</v>
      </c>
      <c r="G2114">
        <v>11303</v>
      </c>
    </row>
    <row r="2115" spans="1:7" x14ac:dyDescent="0.2">
      <c r="A2115" t="s">
        <v>862</v>
      </c>
      <c r="B2115" t="s">
        <v>470</v>
      </c>
      <c r="C2115" t="s">
        <v>471</v>
      </c>
      <c r="D2115" t="s">
        <v>474</v>
      </c>
      <c r="E2115" t="s">
        <v>475</v>
      </c>
      <c r="F2115" t="s">
        <v>22</v>
      </c>
      <c r="G2115">
        <v>13557</v>
      </c>
    </row>
    <row r="2116" spans="1:7" x14ac:dyDescent="0.2">
      <c r="A2116" t="s">
        <v>862</v>
      </c>
      <c r="B2116" t="s">
        <v>470</v>
      </c>
      <c r="C2116" t="s">
        <v>471</v>
      </c>
      <c r="D2116" t="s">
        <v>45</v>
      </c>
      <c r="G2116">
        <v>0</v>
      </c>
    </row>
    <row r="2117" spans="1:7" x14ac:dyDescent="0.2">
      <c r="A2117" t="s">
        <v>862</v>
      </c>
      <c r="B2117" t="s">
        <v>470</v>
      </c>
      <c r="C2117" t="s">
        <v>471</v>
      </c>
      <c r="D2117" t="s">
        <v>46</v>
      </c>
      <c r="G2117">
        <v>1398</v>
      </c>
    </row>
    <row r="2118" spans="1:7" x14ac:dyDescent="0.2">
      <c r="A2118" t="s">
        <v>862</v>
      </c>
      <c r="B2118" t="s">
        <v>476</v>
      </c>
      <c r="C2118" t="s">
        <v>477</v>
      </c>
      <c r="D2118" t="s">
        <v>8</v>
      </c>
      <c r="G2118">
        <v>21515</v>
      </c>
    </row>
    <row r="2119" spans="1:7" x14ac:dyDescent="0.2">
      <c r="A2119" t="s">
        <v>862</v>
      </c>
      <c r="B2119" t="s">
        <v>476</v>
      </c>
      <c r="C2119" t="s">
        <v>477</v>
      </c>
      <c r="D2119" t="s">
        <v>478</v>
      </c>
      <c r="E2119" t="s">
        <v>479</v>
      </c>
      <c r="F2119" t="s">
        <v>28</v>
      </c>
      <c r="G2119">
        <v>8861</v>
      </c>
    </row>
    <row r="2120" spans="1:7" x14ac:dyDescent="0.2">
      <c r="A2120" t="s">
        <v>862</v>
      </c>
      <c r="B2120" t="s">
        <v>476</v>
      </c>
      <c r="C2120" t="s">
        <v>477</v>
      </c>
      <c r="D2120" t="s">
        <v>480</v>
      </c>
      <c r="E2120" t="s">
        <v>481</v>
      </c>
      <c r="F2120" t="s">
        <v>22</v>
      </c>
      <c r="G2120">
        <v>11354</v>
      </c>
    </row>
    <row r="2121" spans="1:7" x14ac:dyDescent="0.2">
      <c r="A2121" t="s">
        <v>862</v>
      </c>
      <c r="B2121" t="s">
        <v>476</v>
      </c>
      <c r="C2121" t="s">
        <v>477</v>
      </c>
      <c r="D2121" t="s">
        <v>45</v>
      </c>
      <c r="G2121">
        <v>0</v>
      </c>
    </row>
    <row r="2122" spans="1:7" x14ac:dyDescent="0.2">
      <c r="A2122" t="s">
        <v>862</v>
      </c>
      <c r="B2122" t="s">
        <v>476</v>
      </c>
      <c r="C2122" t="s">
        <v>477</v>
      </c>
      <c r="D2122" t="s">
        <v>46</v>
      </c>
      <c r="G2122">
        <v>1300</v>
      </c>
    </row>
    <row r="2123" spans="1:7" x14ac:dyDescent="0.2">
      <c r="A2123" t="s">
        <v>862</v>
      </c>
      <c r="B2123" t="s">
        <v>482</v>
      </c>
      <c r="C2123" t="s">
        <v>483</v>
      </c>
      <c r="D2123" t="s">
        <v>8</v>
      </c>
      <c r="G2123">
        <v>23417</v>
      </c>
    </row>
    <row r="2124" spans="1:7" x14ac:dyDescent="0.2">
      <c r="A2124" t="s">
        <v>862</v>
      </c>
      <c r="B2124" t="s">
        <v>482</v>
      </c>
      <c r="C2124" t="s">
        <v>483</v>
      </c>
      <c r="D2124" t="s">
        <v>484</v>
      </c>
      <c r="E2124" t="s">
        <v>485</v>
      </c>
      <c r="F2124" t="s">
        <v>28</v>
      </c>
      <c r="G2124">
        <v>8539</v>
      </c>
    </row>
    <row r="2125" spans="1:7" x14ac:dyDescent="0.2">
      <c r="A2125" t="s">
        <v>862</v>
      </c>
      <c r="B2125" t="s">
        <v>482</v>
      </c>
      <c r="C2125" t="s">
        <v>483</v>
      </c>
      <c r="D2125" t="s">
        <v>486</v>
      </c>
      <c r="E2125" t="s">
        <v>487</v>
      </c>
      <c r="F2125" t="s">
        <v>22</v>
      </c>
      <c r="G2125">
        <v>13359</v>
      </c>
    </row>
    <row r="2126" spans="1:7" x14ac:dyDescent="0.2">
      <c r="A2126" t="s">
        <v>862</v>
      </c>
      <c r="B2126" t="s">
        <v>482</v>
      </c>
      <c r="C2126" t="s">
        <v>483</v>
      </c>
      <c r="D2126" t="s">
        <v>45</v>
      </c>
      <c r="G2126">
        <v>0</v>
      </c>
    </row>
    <row r="2127" spans="1:7" x14ac:dyDescent="0.2">
      <c r="A2127" t="s">
        <v>862</v>
      </c>
      <c r="B2127" t="s">
        <v>482</v>
      </c>
      <c r="C2127" t="s">
        <v>483</v>
      </c>
      <c r="D2127" t="s">
        <v>46</v>
      </c>
      <c r="G2127">
        <v>1519</v>
      </c>
    </row>
    <row r="2128" spans="1:7" x14ac:dyDescent="0.2">
      <c r="A2128" t="s">
        <v>862</v>
      </c>
      <c r="B2128" t="s">
        <v>488</v>
      </c>
      <c r="C2128" t="s">
        <v>489</v>
      </c>
      <c r="D2128" t="s">
        <v>8</v>
      </c>
      <c r="G2128">
        <v>22324</v>
      </c>
    </row>
    <row r="2129" spans="1:7" x14ac:dyDescent="0.2">
      <c r="A2129" t="s">
        <v>862</v>
      </c>
      <c r="B2129" t="s">
        <v>488</v>
      </c>
      <c r="C2129" t="s">
        <v>489</v>
      </c>
      <c r="D2129" t="s">
        <v>490</v>
      </c>
      <c r="E2129" t="s">
        <v>491</v>
      </c>
      <c r="F2129" t="s">
        <v>28</v>
      </c>
      <c r="G2129">
        <v>6871</v>
      </c>
    </row>
    <row r="2130" spans="1:7" x14ac:dyDescent="0.2">
      <c r="A2130" t="s">
        <v>862</v>
      </c>
      <c r="B2130" t="s">
        <v>488</v>
      </c>
      <c r="C2130" t="s">
        <v>489</v>
      </c>
      <c r="D2130" t="s">
        <v>492</v>
      </c>
      <c r="E2130" t="s">
        <v>493</v>
      </c>
      <c r="F2130" t="s">
        <v>22</v>
      </c>
      <c r="G2130">
        <v>13930</v>
      </c>
    </row>
    <row r="2131" spans="1:7" x14ac:dyDescent="0.2">
      <c r="A2131" t="s">
        <v>862</v>
      </c>
      <c r="B2131" t="s">
        <v>488</v>
      </c>
      <c r="C2131" t="s">
        <v>489</v>
      </c>
      <c r="D2131" t="s">
        <v>45</v>
      </c>
      <c r="G2131">
        <v>1</v>
      </c>
    </row>
    <row r="2132" spans="1:7" x14ac:dyDescent="0.2">
      <c r="A2132" t="s">
        <v>862</v>
      </c>
      <c r="B2132" t="s">
        <v>488</v>
      </c>
      <c r="C2132" t="s">
        <v>489</v>
      </c>
      <c r="D2132" t="s">
        <v>46</v>
      </c>
      <c r="G2132">
        <v>1522</v>
      </c>
    </row>
    <row r="2133" spans="1:7" x14ac:dyDescent="0.2">
      <c r="A2133" t="s">
        <v>862</v>
      </c>
      <c r="B2133" t="s">
        <v>494</v>
      </c>
      <c r="C2133" t="s">
        <v>495</v>
      </c>
      <c r="D2133" t="s">
        <v>8</v>
      </c>
      <c r="G2133">
        <v>22720</v>
      </c>
    </row>
    <row r="2134" spans="1:7" x14ac:dyDescent="0.2">
      <c r="A2134" t="s">
        <v>862</v>
      </c>
      <c r="B2134" t="s">
        <v>494</v>
      </c>
      <c r="C2134" t="s">
        <v>495</v>
      </c>
      <c r="D2134" t="s">
        <v>496</v>
      </c>
      <c r="E2134" t="s">
        <v>497</v>
      </c>
      <c r="F2134" t="s">
        <v>22</v>
      </c>
      <c r="G2134">
        <v>16757</v>
      </c>
    </row>
    <row r="2135" spans="1:7" x14ac:dyDescent="0.2">
      <c r="A2135" t="s">
        <v>862</v>
      </c>
      <c r="B2135" t="s">
        <v>494</v>
      </c>
      <c r="C2135" t="s">
        <v>495</v>
      </c>
      <c r="D2135" t="s">
        <v>45</v>
      </c>
      <c r="G2135">
        <v>0</v>
      </c>
    </row>
    <row r="2136" spans="1:7" x14ac:dyDescent="0.2">
      <c r="A2136" t="s">
        <v>862</v>
      </c>
      <c r="B2136" t="s">
        <v>494</v>
      </c>
      <c r="C2136" t="s">
        <v>495</v>
      </c>
      <c r="D2136" t="s">
        <v>46</v>
      </c>
      <c r="G2136">
        <v>5963</v>
      </c>
    </row>
    <row r="2137" spans="1:7" x14ac:dyDescent="0.2">
      <c r="A2137" t="s">
        <v>862</v>
      </c>
      <c r="B2137" t="s">
        <v>498</v>
      </c>
      <c r="C2137" t="s">
        <v>499</v>
      </c>
      <c r="D2137" t="s">
        <v>8</v>
      </c>
      <c r="G2137">
        <v>22593</v>
      </c>
    </row>
    <row r="2138" spans="1:7" x14ac:dyDescent="0.2">
      <c r="A2138" t="s">
        <v>862</v>
      </c>
      <c r="B2138" t="s">
        <v>498</v>
      </c>
      <c r="C2138" t="s">
        <v>499</v>
      </c>
      <c r="D2138" t="s">
        <v>500</v>
      </c>
      <c r="E2138" t="s">
        <v>501</v>
      </c>
      <c r="F2138" t="s">
        <v>22</v>
      </c>
      <c r="G2138">
        <v>15170</v>
      </c>
    </row>
    <row r="2139" spans="1:7" x14ac:dyDescent="0.2">
      <c r="A2139" t="s">
        <v>862</v>
      </c>
      <c r="B2139" t="s">
        <v>498</v>
      </c>
      <c r="C2139" t="s">
        <v>499</v>
      </c>
      <c r="D2139" t="s">
        <v>502</v>
      </c>
      <c r="E2139" t="s">
        <v>503</v>
      </c>
      <c r="F2139" t="s">
        <v>88</v>
      </c>
      <c r="G2139">
        <v>5034</v>
      </c>
    </row>
    <row r="2140" spans="1:7" x14ac:dyDescent="0.2">
      <c r="A2140" t="s">
        <v>862</v>
      </c>
      <c r="B2140" t="s">
        <v>498</v>
      </c>
      <c r="C2140" t="s">
        <v>499</v>
      </c>
      <c r="D2140" t="s">
        <v>45</v>
      </c>
      <c r="G2140">
        <v>1</v>
      </c>
    </row>
    <row r="2141" spans="1:7" x14ac:dyDescent="0.2">
      <c r="A2141" t="s">
        <v>862</v>
      </c>
      <c r="B2141" t="s">
        <v>498</v>
      </c>
      <c r="C2141" t="s">
        <v>499</v>
      </c>
      <c r="D2141" t="s">
        <v>46</v>
      </c>
      <c r="G2141">
        <v>2388</v>
      </c>
    </row>
    <row r="2142" spans="1:7" x14ac:dyDescent="0.2">
      <c r="A2142" t="s">
        <v>862</v>
      </c>
      <c r="B2142" t="s">
        <v>504</v>
      </c>
      <c r="C2142" t="s">
        <v>505</v>
      </c>
      <c r="D2142" t="s">
        <v>8</v>
      </c>
      <c r="G2142">
        <v>21904</v>
      </c>
    </row>
    <row r="2143" spans="1:7" x14ac:dyDescent="0.2">
      <c r="A2143" t="s">
        <v>862</v>
      </c>
      <c r="B2143" t="s">
        <v>504</v>
      </c>
      <c r="C2143" t="s">
        <v>505</v>
      </c>
      <c r="D2143" t="s">
        <v>506</v>
      </c>
      <c r="E2143" t="s">
        <v>507</v>
      </c>
      <c r="F2143" t="s">
        <v>28</v>
      </c>
      <c r="G2143">
        <v>7405</v>
      </c>
    </row>
    <row r="2144" spans="1:7" x14ac:dyDescent="0.2">
      <c r="A2144" t="s">
        <v>862</v>
      </c>
      <c r="B2144" t="s">
        <v>504</v>
      </c>
      <c r="C2144" t="s">
        <v>505</v>
      </c>
      <c r="D2144" t="s">
        <v>508</v>
      </c>
      <c r="E2144" t="s">
        <v>509</v>
      </c>
      <c r="F2144" t="s">
        <v>22</v>
      </c>
      <c r="G2144">
        <v>13054</v>
      </c>
    </row>
    <row r="2145" spans="1:7" x14ac:dyDescent="0.2">
      <c r="A2145" t="s">
        <v>862</v>
      </c>
      <c r="B2145" t="s">
        <v>504</v>
      </c>
      <c r="C2145" t="s">
        <v>505</v>
      </c>
      <c r="D2145" t="s">
        <v>45</v>
      </c>
      <c r="G2145">
        <v>1</v>
      </c>
    </row>
    <row r="2146" spans="1:7" x14ac:dyDescent="0.2">
      <c r="A2146" t="s">
        <v>862</v>
      </c>
      <c r="B2146" t="s">
        <v>504</v>
      </c>
      <c r="C2146" t="s">
        <v>505</v>
      </c>
      <c r="D2146" t="s">
        <v>46</v>
      </c>
      <c r="G2146">
        <v>1444</v>
      </c>
    </row>
    <row r="2147" spans="1:7" x14ac:dyDescent="0.2">
      <c r="A2147" t="s">
        <v>862</v>
      </c>
      <c r="B2147" t="s">
        <v>510</v>
      </c>
      <c r="C2147" t="s">
        <v>511</v>
      </c>
      <c r="D2147" t="s">
        <v>8</v>
      </c>
      <c r="G2147">
        <v>21869</v>
      </c>
    </row>
    <row r="2148" spans="1:7" x14ac:dyDescent="0.2">
      <c r="A2148" t="s">
        <v>862</v>
      </c>
      <c r="B2148" t="s">
        <v>510</v>
      </c>
      <c r="C2148" t="s">
        <v>511</v>
      </c>
      <c r="D2148" t="s">
        <v>512</v>
      </c>
      <c r="E2148" t="s">
        <v>513</v>
      </c>
      <c r="F2148" t="s">
        <v>28</v>
      </c>
      <c r="G2148">
        <v>6358</v>
      </c>
    </row>
    <row r="2149" spans="1:7" x14ac:dyDescent="0.2">
      <c r="A2149" t="s">
        <v>862</v>
      </c>
      <c r="B2149" t="s">
        <v>510</v>
      </c>
      <c r="C2149" t="s">
        <v>511</v>
      </c>
      <c r="D2149" t="s">
        <v>514</v>
      </c>
      <c r="E2149" t="s">
        <v>515</v>
      </c>
      <c r="F2149" t="s">
        <v>22</v>
      </c>
      <c r="G2149">
        <v>14166</v>
      </c>
    </row>
    <row r="2150" spans="1:7" x14ac:dyDescent="0.2">
      <c r="A2150" t="s">
        <v>862</v>
      </c>
      <c r="B2150" t="s">
        <v>510</v>
      </c>
      <c r="C2150" t="s">
        <v>511</v>
      </c>
      <c r="D2150" t="s">
        <v>45</v>
      </c>
      <c r="G2150">
        <v>1</v>
      </c>
    </row>
    <row r="2151" spans="1:7" x14ac:dyDescent="0.2">
      <c r="A2151" t="s">
        <v>862</v>
      </c>
      <c r="B2151" t="s">
        <v>510</v>
      </c>
      <c r="C2151" t="s">
        <v>511</v>
      </c>
      <c r="D2151" t="s">
        <v>46</v>
      </c>
      <c r="G2151">
        <v>1344</v>
      </c>
    </row>
    <row r="2152" spans="1:7" x14ac:dyDescent="0.2">
      <c r="A2152" t="s">
        <v>862</v>
      </c>
      <c r="B2152" t="s">
        <v>654</v>
      </c>
      <c r="C2152" t="s">
        <v>655</v>
      </c>
      <c r="D2152" t="s">
        <v>8</v>
      </c>
      <c r="G2152">
        <v>103415</v>
      </c>
    </row>
    <row r="2153" spans="1:7" x14ac:dyDescent="0.2">
      <c r="A2153" t="s">
        <v>862</v>
      </c>
      <c r="B2153" t="s">
        <v>654</v>
      </c>
      <c r="C2153" t="s">
        <v>655</v>
      </c>
      <c r="D2153" t="s">
        <v>656</v>
      </c>
      <c r="E2153" t="s">
        <v>657</v>
      </c>
      <c r="F2153" t="s">
        <v>28</v>
      </c>
      <c r="G2153">
        <v>68001</v>
      </c>
    </row>
    <row r="2154" spans="1:7" x14ac:dyDescent="0.2">
      <c r="A2154" t="s">
        <v>862</v>
      </c>
      <c r="B2154" t="s">
        <v>654</v>
      </c>
      <c r="C2154" t="s">
        <v>655</v>
      </c>
      <c r="D2154" t="s">
        <v>658</v>
      </c>
      <c r="E2154" t="s">
        <v>659</v>
      </c>
      <c r="F2154" t="s">
        <v>11</v>
      </c>
      <c r="G2154">
        <v>24833</v>
      </c>
    </row>
    <row r="2155" spans="1:7" x14ac:dyDescent="0.2">
      <c r="A2155" t="s">
        <v>862</v>
      </c>
      <c r="B2155" t="s">
        <v>654</v>
      </c>
      <c r="C2155" t="s">
        <v>655</v>
      </c>
      <c r="D2155" t="s">
        <v>45</v>
      </c>
      <c r="G2155">
        <v>4</v>
      </c>
    </row>
    <row r="2156" spans="1:7" x14ac:dyDescent="0.2">
      <c r="A2156" t="s">
        <v>862</v>
      </c>
      <c r="B2156" t="s">
        <v>654</v>
      </c>
      <c r="C2156" t="s">
        <v>655</v>
      </c>
      <c r="D2156" t="s">
        <v>46</v>
      </c>
      <c r="G2156">
        <v>10577</v>
      </c>
    </row>
    <row r="2157" spans="1:7" x14ac:dyDescent="0.2">
      <c r="A2157" t="s">
        <v>862</v>
      </c>
      <c r="B2157" t="s">
        <v>660</v>
      </c>
      <c r="C2157" t="s">
        <v>661</v>
      </c>
      <c r="D2157" t="s">
        <v>8</v>
      </c>
      <c r="G2157">
        <v>117404</v>
      </c>
    </row>
    <row r="2158" spans="1:7" x14ac:dyDescent="0.2">
      <c r="A2158" t="s">
        <v>862</v>
      </c>
      <c r="B2158" t="s">
        <v>660</v>
      </c>
      <c r="C2158" t="s">
        <v>661</v>
      </c>
      <c r="D2158" t="s">
        <v>662</v>
      </c>
      <c r="E2158" t="s">
        <v>663</v>
      </c>
      <c r="F2158" t="s">
        <v>22</v>
      </c>
      <c r="G2158">
        <v>57464</v>
      </c>
    </row>
    <row r="2159" spans="1:7" x14ac:dyDescent="0.2">
      <c r="A2159" t="s">
        <v>862</v>
      </c>
      <c r="B2159" t="s">
        <v>660</v>
      </c>
      <c r="C2159" t="s">
        <v>661</v>
      </c>
      <c r="D2159" t="s">
        <v>664</v>
      </c>
      <c r="E2159" t="s">
        <v>665</v>
      </c>
      <c r="F2159" t="s">
        <v>28</v>
      </c>
      <c r="G2159">
        <v>51660</v>
      </c>
    </row>
    <row r="2160" spans="1:7" x14ac:dyDescent="0.2">
      <c r="A2160" t="s">
        <v>862</v>
      </c>
      <c r="B2160" t="s">
        <v>660</v>
      </c>
      <c r="C2160" t="s">
        <v>661</v>
      </c>
      <c r="D2160" t="s">
        <v>45</v>
      </c>
      <c r="G2160">
        <v>5</v>
      </c>
    </row>
    <row r="2161" spans="1:7" x14ac:dyDescent="0.2">
      <c r="A2161" t="s">
        <v>862</v>
      </c>
      <c r="B2161" t="s">
        <v>660</v>
      </c>
      <c r="C2161" t="s">
        <v>661</v>
      </c>
      <c r="D2161" t="s">
        <v>46</v>
      </c>
      <c r="G2161">
        <v>8275</v>
      </c>
    </row>
    <row r="2162" spans="1:7" x14ac:dyDescent="0.2">
      <c r="A2162" t="s">
        <v>862</v>
      </c>
      <c r="B2162" t="s">
        <v>666</v>
      </c>
      <c r="C2162" t="s">
        <v>667</v>
      </c>
      <c r="D2162" t="s">
        <v>8</v>
      </c>
      <c r="G2162">
        <v>105224</v>
      </c>
    </row>
    <row r="2163" spans="1:7" x14ac:dyDescent="0.2">
      <c r="A2163" t="s">
        <v>862</v>
      </c>
      <c r="B2163" t="s">
        <v>666</v>
      </c>
      <c r="C2163" t="s">
        <v>667</v>
      </c>
      <c r="D2163" t="s">
        <v>668</v>
      </c>
      <c r="E2163" t="s">
        <v>669</v>
      </c>
      <c r="F2163" t="s">
        <v>22</v>
      </c>
      <c r="G2163">
        <v>67325</v>
      </c>
    </row>
    <row r="2164" spans="1:7" x14ac:dyDescent="0.2">
      <c r="A2164" t="s">
        <v>862</v>
      </c>
      <c r="B2164" t="s">
        <v>666</v>
      </c>
      <c r="C2164" t="s">
        <v>667</v>
      </c>
      <c r="D2164" t="s">
        <v>670</v>
      </c>
      <c r="E2164" t="s">
        <v>671</v>
      </c>
      <c r="F2164" t="s">
        <v>28</v>
      </c>
      <c r="G2164">
        <v>29753</v>
      </c>
    </row>
    <row r="2165" spans="1:7" x14ac:dyDescent="0.2">
      <c r="A2165" t="s">
        <v>862</v>
      </c>
      <c r="B2165" t="s">
        <v>666</v>
      </c>
      <c r="C2165" t="s">
        <v>667</v>
      </c>
      <c r="D2165" t="s">
        <v>45</v>
      </c>
      <c r="G2165">
        <v>6</v>
      </c>
    </row>
    <row r="2166" spans="1:7" x14ac:dyDescent="0.2">
      <c r="A2166" t="s">
        <v>862</v>
      </c>
      <c r="B2166" t="s">
        <v>666</v>
      </c>
      <c r="C2166" t="s">
        <v>667</v>
      </c>
      <c r="D2166" t="s">
        <v>46</v>
      </c>
      <c r="G2166">
        <v>8140</v>
      </c>
    </row>
    <row r="2167" spans="1:7" x14ac:dyDescent="0.2">
      <c r="A2167" t="s">
        <v>862</v>
      </c>
      <c r="B2167" t="s">
        <v>672</v>
      </c>
      <c r="C2167" t="s">
        <v>673</v>
      </c>
      <c r="D2167" t="s">
        <v>8</v>
      </c>
      <c r="G2167">
        <v>19830</v>
      </c>
    </row>
    <row r="2168" spans="1:7" x14ac:dyDescent="0.2">
      <c r="A2168" t="s">
        <v>862</v>
      </c>
      <c r="B2168" t="s">
        <v>672</v>
      </c>
      <c r="C2168" t="s">
        <v>673</v>
      </c>
      <c r="D2168" t="s">
        <v>674</v>
      </c>
      <c r="E2168" t="s">
        <v>675</v>
      </c>
      <c r="F2168" t="s">
        <v>22</v>
      </c>
      <c r="G2168">
        <v>9545</v>
      </c>
    </row>
    <row r="2169" spans="1:7" x14ac:dyDescent="0.2">
      <c r="A2169" t="s">
        <v>862</v>
      </c>
      <c r="B2169" t="s">
        <v>672</v>
      </c>
      <c r="C2169" t="s">
        <v>673</v>
      </c>
      <c r="D2169" t="s">
        <v>676</v>
      </c>
      <c r="E2169" t="s">
        <v>677</v>
      </c>
      <c r="F2169" t="s">
        <v>28</v>
      </c>
      <c r="G2169">
        <v>9128</v>
      </c>
    </row>
    <row r="2170" spans="1:7" x14ac:dyDescent="0.2">
      <c r="A2170" t="s">
        <v>862</v>
      </c>
      <c r="B2170" t="s">
        <v>672</v>
      </c>
      <c r="C2170" t="s">
        <v>673</v>
      </c>
      <c r="D2170" t="s">
        <v>45</v>
      </c>
      <c r="G2170">
        <v>2</v>
      </c>
    </row>
    <row r="2171" spans="1:7" x14ac:dyDescent="0.2">
      <c r="A2171" t="s">
        <v>862</v>
      </c>
      <c r="B2171" t="s">
        <v>672</v>
      </c>
      <c r="C2171" t="s">
        <v>673</v>
      </c>
      <c r="D2171" t="s">
        <v>46</v>
      </c>
      <c r="G2171">
        <v>1155</v>
      </c>
    </row>
    <row r="2172" spans="1:7" x14ac:dyDescent="0.2">
      <c r="A2172" t="s">
        <v>862</v>
      </c>
      <c r="B2172" t="s">
        <v>692</v>
      </c>
      <c r="C2172" t="s">
        <v>693</v>
      </c>
      <c r="D2172" t="s">
        <v>8</v>
      </c>
      <c r="G2172">
        <v>521756</v>
      </c>
    </row>
    <row r="2173" spans="1:7" x14ac:dyDescent="0.2">
      <c r="A2173" t="s">
        <v>862</v>
      </c>
      <c r="B2173" t="s">
        <v>692</v>
      </c>
      <c r="C2173" t="s">
        <v>693</v>
      </c>
      <c r="D2173" t="s">
        <v>694</v>
      </c>
      <c r="E2173" t="s">
        <v>695</v>
      </c>
      <c r="G2173">
        <v>305338</v>
      </c>
    </row>
    <row r="2174" spans="1:7" x14ac:dyDescent="0.2">
      <c r="A2174" t="s">
        <v>862</v>
      </c>
      <c r="B2174" t="s">
        <v>692</v>
      </c>
      <c r="C2174" t="s">
        <v>693</v>
      </c>
      <c r="D2174" t="s">
        <v>696</v>
      </c>
      <c r="E2174" t="s">
        <v>697</v>
      </c>
      <c r="G2174">
        <v>115074</v>
      </c>
    </row>
    <row r="2175" spans="1:7" x14ac:dyDescent="0.2">
      <c r="A2175" t="s">
        <v>862</v>
      </c>
      <c r="B2175" t="s">
        <v>692</v>
      </c>
      <c r="C2175" t="s">
        <v>693</v>
      </c>
      <c r="D2175" t="s">
        <v>45</v>
      </c>
      <c r="G2175">
        <v>60</v>
      </c>
    </row>
    <row r="2176" spans="1:7" x14ac:dyDescent="0.2">
      <c r="A2176" t="s">
        <v>862</v>
      </c>
      <c r="B2176" t="s">
        <v>692</v>
      </c>
      <c r="C2176" t="s">
        <v>693</v>
      </c>
      <c r="D2176" t="s">
        <v>46</v>
      </c>
      <c r="G2176">
        <v>101284</v>
      </c>
    </row>
    <row r="2177" spans="1:7" x14ac:dyDescent="0.2">
      <c r="A2177" t="s">
        <v>862</v>
      </c>
      <c r="B2177" t="s">
        <v>698</v>
      </c>
      <c r="C2177" t="s">
        <v>699</v>
      </c>
      <c r="D2177" t="s">
        <v>8</v>
      </c>
      <c r="G2177">
        <v>521756</v>
      </c>
    </row>
    <row r="2178" spans="1:7" x14ac:dyDescent="0.2">
      <c r="A2178" t="s">
        <v>862</v>
      </c>
      <c r="B2178" t="s">
        <v>698</v>
      </c>
      <c r="C2178" t="s">
        <v>699</v>
      </c>
      <c r="D2178" t="s">
        <v>694</v>
      </c>
      <c r="E2178" t="s">
        <v>700</v>
      </c>
      <c r="G2178">
        <v>301088</v>
      </c>
    </row>
    <row r="2179" spans="1:7" x14ac:dyDescent="0.2">
      <c r="A2179" t="s">
        <v>862</v>
      </c>
      <c r="B2179" t="s">
        <v>698</v>
      </c>
      <c r="C2179" t="s">
        <v>699</v>
      </c>
      <c r="D2179" t="s">
        <v>696</v>
      </c>
      <c r="E2179" t="s">
        <v>701</v>
      </c>
      <c r="G2179">
        <v>111028</v>
      </c>
    </row>
    <row r="2180" spans="1:7" x14ac:dyDescent="0.2">
      <c r="A2180" t="s">
        <v>862</v>
      </c>
      <c r="B2180" t="s">
        <v>698</v>
      </c>
      <c r="C2180" t="s">
        <v>699</v>
      </c>
      <c r="D2180" t="s">
        <v>45</v>
      </c>
      <c r="G2180">
        <v>38</v>
      </c>
    </row>
    <row r="2181" spans="1:7" x14ac:dyDescent="0.2">
      <c r="A2181" t="s">
        <v>862</v>
      </c>
      <c r="B2181" t="s">
        <v>698</v>
      </c>
      <c r="C2181" t="s">
        <v>699</v>
      </c>
      <c r="D2181" t="s">
        <v>46</v>
      </c>
      <c r="G2181">
        <v>109602</v>
      </c>
    </row>
    <row r="2182" spans="1:7" x14ac:dyDescent="0.2">
      <c r="A2182" t="s">
        <v>862</v>
      </c>
      <c r="B2182" t="s">
        <v>730</v>
      </c>
      <c r="C2182" t="s">
        <v>731</v>
      </c>
      <c r="D2182" t="s">
        <v>8</v>
      </c>
      <c r="G2182">
        <v>521756</v>
      </c>
    </row>
    <row r="2183" spans="1:7" x14ac:dyDescent="0.2">
      <c r="A2183" t="s">
        <v>862</v>
      </c>
      <c r="B2183" t="s">
        <v>730</v>
      </c>
      <c r="C2183" t="s">
        <v>731</v>
      </c>
      <c r="D2183" t="s">
        <v>694</v>
      </c>
      <c r="E2183" t="s">
        <v>732</v>
      </c>
      <c r="G2183">
        <v>302932</v>
      </c>
    </row>
    <row r="2184" spans="1:7" x14ac:dyDescent="0.2">
      <c r="A2184" t="s">
        <v>862</v>
      </c>
      <c r="B2184" t="s">
        <v>730</v>
      </c>
      <c r="C2184" t="s">
        <v>731</v>
      </c>
      <c r="D2184" t="s">
        <v>696</v>
      </c>
      <c r="E2184" t="s">
        <v>733</v>
      </c>
      <c r="G2184">
        <v>108763</v>
      </c>
    </row>
    <row r="2185" spans="1:7" x14ac:dyDescent="0.2">
      <c r="A2185" t="s">
        <v>862</v>
      </c>
      <c r="B2185" t="s">
        <v>730</v>
      </c>
      <c r="C2185" t="s">
        <v>731</v>
      </c>
      <c r="D2185" t="s">
        <v>45</v>
      </c>
      <c r="G2185">
        <v>57</v>
      </c>
    </row>
    <row r="2186" spans="1:7" x14ac:dyDescent="0.2">
      <c r="A2186" t="s">
        <v>862</v>
      </c>
      <c r="B2186" t="s">
        <v>730</v>
      </c>
      <c r="C2186" t="s">
        <v>731</v>
      </c>
      <c r="D2186" t="s">
        <v>46</v>
      </c>
      <c r="G2186">
        <v>110004</v>
      </c>
    </row>
    <row r="2187" spans="1:7" x14ac:dyDescent="0.2">
      <c r="A2187" t="s">
        <v>862</v>
      </c>
      <c r="B2187" t="s">
        <v>734</v>
      </c>
      <c r="C2187" t="s">
        <v>735</v>
      </c>
      <c r="D2187" t="s">
        <v>8</v>
      </c>
      <c r="G2187">
        <v>521756</v>
      </c>
    </row>
    <row r="2188" spans="1:7" x14ac:dyDescent="0.2">
      <c r="A2188" t="s">
        <v>862</v>
      </c>
      <c r="B2188" t="s">
        <v>734</v>
      </c>
      <c r="C2188" t="s">
        <v>735</v>
      </c>
      <c r="D2188" t="s">
        <v>694</v>
      </c>
      <c r="E2188" t="s">
        <v>736</v>
      </c>
      <c r="G2188">
        <v>305626</v>
      </c>
    </row>
    <row r="2189" spans="1:7" x14ac:dyDescent="0.2">
      <c r="A2189" t="s">
        <v>862</v>
      </c>
      <c r="B2189" t="s">
        <v>734</v>
      </c>
      <c r="C2189" t="s">
        <v>735</v>
      </c>
      <c r="D2189" t="s">
        <v>696</v>
      </c>
      <c r="E2189" t="s">
        <v>737</v>
      </c>
      <c r="G2189">
        <v>103446</v>
      </c>
    </row>
    <row r="2190" spans="1:7" x14ac:dyDescent="0.2">
      <c r="A2190" t="s">
        <v>862</v>
      </c>
      <c r="B2190" t="s">
        <v>734</v>
      </c>
      <c r="C2190" t="s">
        <v>735</v>
      </c>
      <c r="D2190" t="s">
        <v>45</v>
      </c>
      <c r="G2190">
        <v>54</v>
      </c>
    </row>
    <row r="2191" spans="1:7" x14ac:dyDescent="0.2">
      <c r="A2191" t="s">
        <v>862</v>
      </c>
      <c r="B2191" t="s">
        <v>734</v>
      </c>
      <c r="C2191" t="s">
        <v>735</v>
      </c>
      <c r="D2191" t="s">
        <v>46</v>
      </c>
      <c r="G2191">
        <v>112630</v>
      </c>
    </row>
    <row r="2192" spans="1:7" x14ac:dyDescent="0.2">
      <c r="A2192" t="s">
        <v>862</v>
      </c>
      <c r="B2192" t="s">
        <v>738</v>
      </c>
      <c r="C2192" t="s">
        <v>739</v>
      </c>
      <c r="D2192" t="s">
        <v>8</v>
      </c>
      <c r="G2192">
        <v>521756</v>
      </c>
    </row>
    <row r="2193" spans="1:7" x14ac:dyDescent="0.2">
      <c r="A2193" t="s">
        <v>862</v>
      </c>
      <c r="B2193" t="s">
        <v>738</v>
      </c>
      <c r="C2193" t="s">
        <v>739</v>
      </c>
      <c r="D2193" t="s">
        <v>694</v>
      </c>
      <c r="E2193" t="s">
        <v>740</v>
      </c>
      <c r="G2193">
        <v>301214</v>
      </c>
    </row>
    <row r="2194" spans="1:7" x14ac:dyDescent="0.2">
      <c r="A2194" t="s">
        <v>862</v>
      </c>
      <c r="B2194" t="s">
        <v>738</v>
      </c>
      <c r="C2194" t="s">
        <v>739</v>
      </c>
      <c r="D2194" t="s">
        <v>696</v>
      </c>
      <c r="E2194" t="s">
        <v>741</v>
      </c>
      <c r="G2194">
        <v>107480</v>
      </c>
    </row>
    <row r="2195" spans="1:7" x14ac:dyDescent="0.2">
      <c r="A2195" t="s">
        <v>862</v>
      </c>
      <c r="B2195" t="s">
        <v>738</v>
      </c>
      <c r="C2195" t="s">
        <v>739</v>
      </c>
      <c r="D2195" t="s">
        <v>45</v>
      </c>
      <c r="G2195">
        <v>70</v>
      </c>
    </row>
    <row r="2196" spans="1:7" x14ac:dyDescent="0.2">
      <c r="A2196" t="s">
        <v>862</v>
      </c>
      <c r="B2196" t="s">
        <v>738</v>
      </c>
      <c r="C2196" t="s">
        <v>739</v>
      </c>
      <c r="D2196" t="s">
        <v>46</v>
      </c>
      <c r="G2196">
        <v>112992</v>
      </c>
    </row>
    <row r="2197" spans="1:7" x14ac:dyDescent="0.2">
      <c r="A2197" t="s">
        <v>862</v>
      </c>
      <c r="B2197" t="s">
        <v>742</v>
      </c>
      <c r="C2197" t="s">
        <v>743</v>
      </c>
      <c r="D2197" t="s">
        <v>8</v>
      </c>
      <c r="G2197">
        <v>521756</v>
      </c>
    </row>
    <row r="2198" spans="1:7" x14ac:dyDescent="0.2">
      <c r="A2198" t="s">
        <v>862</v>
      </c>
      <c r="B2198" t="s">
        <v>742</v>
      </c>
      <c r="C2198" t="s">
        <v>743</v>
      </c>
      <c r="D2198" t="s">
        <v>694</v>
      </c>
      <c r="E2198" t="s">
        <v>744</v>
      </c>
      <c r="G2198">
        <v>297159</v>
      </c>
    </row>
    <row r="2199" spans="1:7" x14ac:dyDescent="0.2">
      <c r="A2199" t="s">
        <v>862</v>
      </c>
      <c r="B2199" t="s">
        <v>742</v>
      </c>
      <c r="C2199" t="s">
        <v>743</v>
      </c>
      <c r="D2199" t="s">
        <v>696</v>
      </c>
      <c r="E2199" t="s">
        <v>745</v>
      </c>
      <c r="G2199">
        <v>112017</v>
      </c>
    </row>
    <row r="2200" spans="1:7" x14ac:dyDescent="0.2">
      <c r="A2200" t="s">
        <v>862</v>
      </c>
      <c r="B2200" t="s">
        <v>742</v>
      </c>
      <c r="C2200" t="s">
        <v>743</v>
      </c>
      <c r="D2200" t="s">
        <v>45</v>
      </c>
      <c r="G2200">
        <v>56</v>
      </c>
    </row>
    <row r="2201" spans="1:7" x14ac:dyDescent="0.2">
      <c r="A2201" t="s">
        <v>862</v>
      </c>
      <c r="B2201" t="s">
        <v>742</v>
      </c>
      <c r="C2201" t="s">
        <v>743</v>
      </c>
      <c r="D2201" t="s">
        <v>46</v>
      </c>
      <c r="G2201">
        <v>112524</v>
      </c>
    </row>
    <row r="2202" spans="1:7" x14ac:dyDescent="0.2">
      <c r="A2202" t="s">
        <v>862</v>
      </c>
      <c r="B2202" t="s">
        <v>746</v>
      </c>
      <c r="C2202" t="s">
        <v>747</v>
      </c>
      <c r="D2202" t="s">
        <v>8</v>
      </c>
      <c r="G2202">
        <v>521756</v>
      </c>
    </row>
    <row r="2203" spans="1:7" x14ac:dyDescent="0.2">
      <c r="A2203" t="s">
        <v>862</v>
      </c>
      <c r="B2203" t="s">
        <v>746</v>
      </c>
      <c r="C2203" t="s">
        <v>747</v>
      </c>
      <c r="D2203" t="s">
        <v>694</v>
      </c>
      <c r="E2203" t="s">
        <v>748</v>
      </c>
      <c r="G2203">
        <v>301963</v>
      </c>
    </row>
    <row r="2204" spans="1:7" x14ac:dyDescent="0.2">
      <c r="A2204" t="s">
        <v>862</v>
      </c>
      <c r="B2204" t="s">
        <v>746</v>
      </c>
      <c r="C2204" t="s">
        <v>747</v>
      </c>
      <c r="D2204" t="s">
        <v>696</v>
      </c>
      <c r="E2204" t="s">
        <v>749</v>
      </c>
      <c r="G2204">
        <v>106868</v>
      </c>
    </row>
    <row r="2205" spans="1:7" x14ac:dyDescent="0.2">
      <c r="A2205" t="s">
        <v>862</v>
      </c>
      <c r="B2205" t="s">
        <v>746</v>
      </c>
      <c r="C2205" t="s">
        <v>747</v>
      </c>
      <c r="D2205" t="s">
        <v>45</v>
      </c>
      <c r="G2205">
        <v>44</v>
      </c>
    </row>
    <row r="2206" spans="1:7" x14ac:dyDescent="0.2">
      <c r="A2206" t="s">
        <v>862</v>
      </c>
      <c r="B2206" t="s">
        <v>746</v>
      </c>
      <c r="C2206" t="s">
        <v>747</v>
      </c>
      <c r="D2206" t="s">
        <v>46</v>
      </c>
      <c r="G2206">
        <v>112881</v>
      </c>
    </row>
    <row r="2207" spans="1:7" x14ac:dyDescent="0.2">
      <c r="A2207" t="s">
        <v>862</v>
      </c>
      <c r="B2207" t="s">
        <v>750</v>
      </c>
      <c r="C2207" t="s">
        <v>751</v>
      </c>
      <c r="D2207" t="s">
        <v>8</v>
      </c>
      <c r="G2207">
        <v>521756</v>
      </c>
    </row>
    <row r="2208" spans="1:7" x14ac:dyDescent="0.2">
      <c r="A2208" t="s">
        <v>862</v>
      </c>
      <c r="B2208" t="s">
        <v>750</v>
      </c>
      <c r="C2208" t="s">
        <v>751</v>
      </c>
      <c r="D2208" t="s">
        <v>694</v>
      </c>
      <c r="E2208" t="s">
        <v>752</v>
      </c>
      <c r="G2208">
        <v>296430</v>
      </c>
    </row>
    <row r="2209" spans="1:7" x14ac:dyDescent="0.2">
      <c r="A2209" t="s">
        <v>862</v>
      </c>
      <c r="B2209" t="s">
        <v>750</v>
      </c>
      <c r="C2209" t="s">
        <v>751</v>
      </c>
      <c r="D2209" t="s">
        <v>696</v>
      </c>
      <c r="E2209" t="s">
        <v>753</v>
      </c>
      <c r="G2209">
        <v>112426</v>
      </c>
    </row>
    <row r="2210" spans="1:7" x14ac:dyDescent="0.2">
      <c r="A2210" t="s">
        <v>862</v>
      </c>
      <c r="B2210" t="s">
        <v>750</v>
      </c>
      <c r="C2210" t="s">
        <v>751</v>
      </c>
      <c r="D2210" t="s">
        <v>45</v>
      </c>
      <c r="G2210">
        <v>72</v>
      </c>
    </row>
    <row r="2211" spans="1:7" x14ac:dyDescent="0.2">
      <c r="A2211" t="s">
        <v>862</v>
      </c>
      <c r="B2211" t="s">
        <v>750</v>
      </c>
      <c r="C2211" t="s">
        <v>751</v>
      </c>
      <c r="D2211" t="s">
        <v>46</v>
      </c>
      <c r="G2211">
        <v>112828</v>
      </c>
    </row>
    <row r="2212" spans="1:7" x14ac:dyDescent="0.2">
      <c r="A2212" t="s">
        <v>862</v>
      </c>
      <c r="B2212" t="s">
        <v>754</v>
      </c>
      <c r="C2212" t="s">
        <v>755</v>
      </c>
      <c r="D2212" t="s">
        <v>8</v>
      </c>
      <c r="G2212">
        <v>521756</v>
      </c>
    </row>
    <row r="2213" spans="1:7" x14ac:dyDescent="0.2">
      <c r="A2213" t="s">
        <v>862</v>
      </c>
      <c r="B2213" t="s">
        <v>754</v>
      </c>
      <c r="C2213" t="s">
        <v>755</v>
      </c>
      <c r="D2213" t="s">
        <v>694</v>
      </c>
      <c r="E2213" t="s">
        <v>756</v>
      </c>
      <c r="G2213">
        <v>318429</v>
      </c>
    </row>
    <row r="2214" spans="1:7" x14ac:dyDescent="0.2">
      <c r="A2214" t="s">
        <v>862</v>
      </c>
      <c r="B2214" t="s">
        <v>754</v>
      </c>
      <c r="C2214" t="s">
        <v>755</v>
      </c>
      <c r="D2214" t="s">
        <v>696</v>
      </c>
      <c r="E2214" t="s">
        <v>757</v>
      </c>
      <c r="G2214">
        <v>91343</v>
      </c>
    </row>
    <row r="2215" spans="1:7" x14ac:dyDescent="0.2">
      <c r="A2215" t="s">
        <v>862</v>
      </c>
      <c r="B2215" t="s">
        <v>754</v>
      </c>
      <c r="C2215" t="s">
        <v>755</v>
      </c>
      <c r="D2215" t="s">
        <v>45</v>
      </c>
      <c r="G2215">
        <v>50</v>
      </c>
    </row>
    <row r="2216" spans="1:7" x14ac:dyDescent="0.2">
      <c r="A2216" t="s">
        <v>862</v>
      </c>
      <c r="B2216" t="s">
        <v>754</v>
      </c>
      <c r="C2216" t="s">
        <v>755</v>
      </c>
      <c r="D2216" t="s">
        <v>46</v>
      </c>
      <c r="G2216">
        <v>111934</v>
      </c>
    </row>
    <row r="2217" spans="1:7" x14ac:dyDescent="0.2">
      <c r="A2217" t="s">
        <v>862</v>
      </c>
      <c r="B2217" t="s">
        <v>758</v>
      </c>
      <c r="C2217" t="s">
        <v>759</v>
      </c>
      <c r="D2217" t="s">
        <v>8</v>
      </c>
      <c r="G2217">
        <v>521756</v>
      </c>
    </row>
    <row r="2218" spans="1:7" x14ac:dyDescent="0.2">
      <c r="A2218" t="s">
        <v>862</v>
      </c>
      <c r="B2218" t="s">
        <v>758</v>
      </c>
      <c r="C2218" t="s">
        <v>759</v>
      </c>
      <c r="D2218" t="s">
        <v>694</v>
      </c>
      <c r="E2218" t="s">
        <v>760</v>
      </c>
      <c r="G2218">
        <v>319010</v>
      </c>
    </row>
    <row r="2219" spans="1:7" x14ac:dyDescent="0.2">
      <c r="A2219" t="s">
        <v>862</v>
      </c>
      <c r="B2219" t="s">
        <v>758</v>
      </c>
      <c r="C2219" t="s">
        <v>759</v>
      </c>
      <c r="D2219" t="s">
        <v>696</v>
      </c>
      <c r="E2219" t="s">
        <v>761</v>
      </c>
      <c r="G2219">
        <v>91580</v>
      </c>
    </row>
    <row r="2220" spans="1:7" x14ac:dyDescent="0.2">
      <c r="A2220" t="s">
        <v>862</v>
      </c>
      <c r="B2220" t="s">
        <v>758</v>
      </c>
      <c r="C2220" t="s">
        <v>759</v>
      </c>
      <c r="D2220" t="s">
        <v>45</v>
      </c>
      <c r="G2220">
        <v>42</v>
      </c>
    </row>
    <row r="2221" spans="1:7" x14ac:dyDescent="0.2">
      <c r="A2221" t="s">
        <v>862</v>
      </c>
      <c r="B2221" t="s">
        <v>758</v>
      </c>
      <c r="C2221" t="s">
        <v>759</v>
      </c>
      <c r="D2221" t="s">
        <v>46</v>
      </c>
      <c r="G2221">
        <v>111124</v>
      </c>
    </row>
    <row r="2222" spans="1:7" x14ac:dyDescent="0.2">
      <c r="A2222" t="s">
        <v>862</v>
      </c>
      <c r="B2222" t="s">
        <v>810</v>
      </c>
      <c r="C2222" t="s">
        <v>811</v>
      </c>
      <c r="D2222" t="s">
        <v>8</v>
      </c>
      <c r="G2222">
        <v>521756</v>
      </c>
    </row>
    <row r="2223" spans="1:7" x14ac:dyDescent="0.2">
      <c r="A2223" t="s">
        <v>862</v>
      </c>
      <c r="B2223" t="s">
        <v>810</v>
      </c>
      <c r="C2223" t="s">
        <v>811</v>
      </c>
      <c r="D2223" t="s">
        <v>694</v>
      </c>
      <c r="E2223" t="s">
        <v>812</v>
      </c>
      <c r="G2223">
        <v>315102</v>
      </c>
    </row>
    <row r="2224" spans="1:7" x14ac:dyDescent="0.2">
      <c r="A2224" t="s">
        <v>862</v>
      </c>
      <c r="B2224" t="s">
        <v>810</v>
      </c>
      <c r="C2224" t="s">
        <v>811</v>
      </c>
      <c r="D2224" t="s">
        <v>696</v>
      </c>
      <c r="E2224" t="s">
        <v>813</v>
      </c>
      <c r="G2224">
        <v>90829</v>
      </c>
    </row>
    <row r="2225" spans="1:7" x14ac:dyDescent="0.2">
      <c r="A2225" t="s">
        <v>862</v>
      </c>
      <c r="B2225" t="s">
        <v>810</v>
      </c>
      <c r="C2225" t="s">
        <v>811</v>
      </c>
      <c r="D2225" t="s">
        <v>45</v>
      </c>
      <c r="G2225">
        <v>46</v>
      </c>
    </row>
    <row r="2226" spans="1:7" x14ac:dyDescent="0.2">
      <c r="A2226" t="s">
        <v>862</v>
      </c>
      <c r="B2226" t="s">
        <v>810</v>
      </c>
      <c r="C2226" t="s">
        <v>811</v>
      </c>
      <c r="D2226" t="s">
        <v>46</v>
      </c>
      <c r="G2226">
        <v>115779</v>
      </c>
    </row>
    <row r="2227" spans="1:7" x14ac:dyDescent="0.2">
      <c r="A2227" t="s">
        <v>862</v>
      </c>
      <c r="B2227" t="s">
        <v>814</v>
      </c>
      <c r="C2227" t="s">
        <v>815</v>
      </c>
      <c r="D2227" t="s">
        <v>8</v>
      </c>
      <c r="G2227">
        <v>521756</v>
      </c>
    </row>
    <row r="2228" spans="1:7" x14ac:dyDescent="0.2">
      <c r="A2228" t="s">
        <v>862</v>
      </c>
      <c r="B2228" t="s">
        <v>814</v>
      </c>
      <c r="C2228" t="s">
        <v>815</v>
      </c>
      <c r="D2228" t="s">
        <v>694</v>
      </c>
      <c r="E2228" t="s">
        <v>816</v>
      </c>
      <c r="G2228">
        <v>315242</v>
      </c>
    </row>
    <row r="2229" spans="1:7" x14ac:dyDescent="0.2">
      <c r="A2229" t="s">
        <v>862</v>
      </c>
      <c r="B2229" t="s">
        <v>814</v>
      </c>
      <c r="C2229" t="s">
        <v>815</v>
      </c>
      <c r="D2229" t="s">
        <v>696</v>
      </c>
      <c r="E2229" t="s">
        <v>817</v>
      </c>
      <c r="G2229">
        <v>90349</v>
      </c>
    </row>
    <row r="2230" spans="1:7" x14ac:dyDescent="0.2">
      <c r="A2230" t="s">
        <v>862</v>
      </c>
      <c r="B2230" t="s">
        <v>814</v>
      </c>
      <c r="C2230" t="s">
        <v>815</v>
      </c>
      <c r="D2230" t="s">
        <v>45</v>
      </c>
      <c r="G2230">
        <v>244</v>
      </c>
    </row>
    <row r="2231" spans="1:7" x14ac:dyDescent="0.2">
      <c r="A2231" t="s">
        <v>862</v>
      </c>
      <c r="B2231" t="s">
        <v>814</v>
      </c>
      <c r="C2231" t="s">
        <v>815</v>
      </c>
      <c r="D2231" t="s">
        <v>46</v>
      </c>
      <c r="G2231">
        <v>115921</v>
      </c>
    </row>
    <row r="2232" spans="1:7" x14ac:dyDescent="0.2">
      <c r="A2232" t="s">
        <v>862</v>
      </c>
      <c r="B2232" t="s">
        <v>818</v>
      </c>
      <c r="C2232" t="s">
        <v>819</v>
      </c>
      <c r="D2232" t="s">
        <v>8</v>
      </c>
      <c r="G2232">
        <v>521756</v>
      </c>
    </row>
    <row r="2233" spans="1:7" x14ac:dyDescent="0.2">
      <c r="A2233" t="s">
        <v>862</v>
      </c>
      <c r="B2233" t="s">
        <v>818</v>
      </c>
      <c r="C2233" t="s">
        <v>819</v>
      </c>
      <c r="D2233" t="s">
        <v>694</v>
      </c>
      <c r="E2233" t="s">
        <v>820</v>
      </c>
      <c r="G2233">
        <v>319919</v>
      </c>
    </row>
    <row r="2234" spans="1:7" x14ac:dyDescent="0.2">
      <c r="A2234" t="s">
        <v>862</v>
      </c>
      <c r="B2234" t="s">
        <v>818</v>
      </c>
      <c r="C2234" t="s">
        <v>819</v>
      </c>
      <c r="D2234" t="s">
        <v>696</v>
      </c>
      <c r="E2234" t="s">
        <v>821</v>
      </c>
      <c r="G2234">
        <v>85722</v>
      </c>
    </row>
    <row r="2235" spans="1:7" x14ac:dyDescent="0.2">
      <c r="A2235" t="s">
        <v>862</v>
      </c>
      <c r="B2235" t="s">
        <v>818</v>
      </c>
      <c r="C2235" t="s">
        <v>819</v>
      </c>
      <c r="D2235" t="s">
        <v>45</v>
      </c>
      <c r="G2235">
        <v>93</v>
      </c>
    </row>
    <row r="2236" spans="1:7" x14ac:dyDescent="0.2">
      <c r="A2236" t="s">
        <v>862</v>
      </c>
      <c r="B2236" t="s">
        <v>818</v>
      </c>
      <c r="C2236" t="s">
        <v>819</v>
      </c>
      <c r="D2236" t="s">
        <v>46</v>
      </c>
      <c r="G2236">
        <v>116022</v>
      </c>
    </row>
    <row r="2237" spans="1:7" x14ac:dyDescent="0.2">
      <c r="A2237" t="s">
        <v>862</v>
      </c>
      <c r="B2237" t="s">
        <v>822</v>
      </c>
      <c r="C2237" t="s">
        <v>823</v>
      </c>
      <c r="D2237" t="s">
        <v>8</v>
      </c>
      <c r="G2237">
        <v>521756</v>
      </c>
    </row>
    <row r="2238" spans="1:7" x14ac:dyDescent="0.2">
      <c r="A2238" t="s">
        <v>862</v>
      </c>
      <c r="B2238" t="s">
        <v>822</v>
      </c>
      <c r="C2238" t="s">
        <v>823</v>
      </c>
      <c r="D2238" t="s">
        <v>694</v>
      </c>
      <c r="E2238" t="s">
        <v>824</v>
      </c>
      <c r="G2238">
        <v>313436</v>
      </c>
    </row>
    <row r="2239" spans="1:7" x14ac:dyDescent="0.2">
      <c r="A2239" t="s">
        <v>862</v>
      </c>
      <c r="B2239" t="s">
        <v>822</v>
      </c>
      <c r="C2239" t="s">
        <v>823</v>
      </c>
      <c r="D2239" t="s">
        <v>696</v>
      </c>
      <c r="E2239" t="s">
        <v>825</v>
      </c>
      <c r="G2239">
        <v>95167</v>
      </c>
    </row>
    <row r="2240" spans="1:7" x14ac:dyDescent="0.2">
      <c r="A2240" t="s">
        <v>862</v>
      </c>
      <c r="B2240" t="s">
        <v>822</v>
      </c>
      <c r="C2240" t="s">
        <v>823</v>
      </c>
      <c r="D2240" t="s">
        <v>45</v>
      </c>
      <c r="G2240">
        <v>122</v>
      </c>
    </row>
    <row r="2241" spans="1:7" x14ac:dyDescent="0.2">
      <c r="A2241" t="s">
        <v>862</v>
      </c>
      <c r="B2241" t="s">
        <v>822</v>
      </c>
      <c r="C2241" t="s">
        <v>823</v>
      </c>
      <c r="D2241" t="s">
        <v>46</v>
      </c>
      <c r="G2241">
        <v>113031</v>
      </c>
    </row>
    <row r="2242" spans="1:7" x14ac:dyDescent="0.2">
      <c r="A2242" t="s">
        <v>862</v>
      </c>
      <c r="B2242" t="s">
        <v>834</v>
      </c>
      <c r="C2242" t="s">
        <v>835</v>
      </c>
      <c r="D2242" t="s">
        <v>8</v>
      </c>
      <c r="G2242">
        <v>516712</v>
      </c>
    </row>
    <row r="2243" spans="1:7" x14ac:dyDescent="0.2">
      <c r="A2243" t="s">
        <v>862</v>
      </c>
      <c r="B2243" t="s">
        <v>834</v>
      </c>
      <c r="C2243" t="s">
        <v>835</v>
      </c>
      <c r="D2243" t="s">
        <v>836</v>
      </c>
      <c r="E2243" t="s">
        <v>837</v>
      </c>
      <c r="G2243">
        <v>355759</v>
      </c>
    </row>
    <row r="2244" spans="1:7" x14ac:dyDescent="0.2">
      <c r="A2244" t="s">
        <v>862</v>
      </c>
      <c r="B2244" t="s">
        <v>834</v>
      </c>
      <c r="C2244" t="s">
        <v>835</v>
      </c>
      <c r="D2244" t="s">
        <v>838</v>
      </c>
      <c r="E2244" t="s">
        <v>839</v>
      </c>
      <c r="G2244">
        <v>124371</v>
      </c>
    </row>
    <row r="2245" spans="1:7" x14ac:dyDescent="0.2">
      <c r="A2245" t="s">
        <v>862</v>
      </c>
      <c r="B2245" t="s">
        <v>834</v>
      </c>
      <c r="C2245" t="s">
        <v>835</v>
      </c>
      <c r="D2245" t="s">
        <v>45</v>
      </c>
      <c r="G2245">
        <v>34</v>
      </c>
    </row>
    <row r="2246" spans="1:7" x14ac:dyDescent="0.2">
      <c r="A2246" t="s">
        <v>862</v>
      </c>
      <c r="B2246" t="s">
        <v>834</v>
      </c>
      <c r="C2246" t="s">
        <v>835</v>
      </c>
      <c r="D2246" t="s">
        <v>46</v>
      </c>
      <c r="G2246">
        <v>36548</v>
      </c>
    </row>
    <row r="2247" spans="1:7" x14ac:dyDescent="0.2">
      <c r="A2247" t="s">
        <v>862</v>
      </c>
      <c r="B2247" t="s">
        <v>840</v>
      </c>
      <c r="C2247" t="s">
        <v>841</v>
      </c>
      <c r="D2247" t="s">
        <v>8</v>
      </c>
      <c r="G2247">
        <v>516712</v>
      </c>
    </row>
    <row r="2248" spans="1:7" x14ac:dyDescent="0.2">
      <c r="A2248" t="s">
        <v>862</v>
      </c>
      <c r="B2248" t="s">
        <v>840</v>
      </c>
      <c r="C2248" t="s">
        <v>841</v>
      </c>
      <c r="D2248" t="s">
        <v>836</v>
      </c>
      <c r="E2248" t="s">
        <v>842</v>
      </c>
      <c r="G2248">
        <v>389056</v>
      </c>
    </row>
    <row r="2249" spans="1:7" x14ac:dyDescent="0.2">
      <c r="A2249" t="s">
        <v>862</v>
      </c>
      <c r="B2249" t="s">
        <v>840</v>
      </c>
      <c r="C2249" t="s">
        <v>841</v>
      </c>
      <c r="D2249" t="s">
        <v>838</v>
      </c>
      <c r="E2249" t="s">
        <v>843</v>
      </c>
      <c r="G2249">
        <v>91100</v>
      </c>
    </row>
    <row r="2250" spans="1:7" x14ac:dyDescent="0.2">
      <c r="A2250" t="s">
        <v>862</v>
      </c>
      <c r="B2250" t="s">
        <v>840</v>
      </c>
      <c r="C2250" t="s">
        <v>841</v>
      </c>
      <c r="D2250" t="s">
        <v>45</v>
      </c>
      <c r="G2250">
        <v>40</v>
      </c>
    </row>
    <row r="2251" spans="1:7" x14ac:dyDescent="0.2">
      <c r="A2251" t="s">
        <v>862</v>
      </c>
      <c r="B2251" t="s">
        <v>840</v>
      </c>
      <c r="C2251" t="s">
        <v>841</v>
      </c>
      <c r="D2251" t="s">
        <v>46</v>
      </c>
      <c r="G2251">
        <v>36516</v>
      </c>
    </row>
    <row r="2252" spans="1:7" x14ac:dyDescent="0.2">
      <c r="A2252" t="s">
        <v>863</v>
      </c>
      <c r="B2252" t="s">
        <v>6</v>
      </c>
      <c r="C2252" t="s">
        <v>7</v>
      </c>
      <c r="D2252" t="s">
        <v>8</v>
      </c>
      <c r="G2252">
        <v>6441</v>
      </c>
    </row>
    <row r="2253" spans="1:7" x14ac:dyDescent="0.2">
      <c r="A2253" t="s">
        <v>863</v>
      </c>
      <c r="B2253" t="s">
        <v>6</v>
      </c>
      <c r="C2253" t="s">
        <v>7</v>
      </c>
      <c r="D2253" t="s">
        <v>9</v>
      </c>
      <c r="E2253" t="s">
        <v>10</v>
      </c>
      <c r="F2253" t="s">
        <v>11</v>
      </c>
      <c r="G2253">
        <v>16</v>
      </c>
    </row>
    <row r="2254" spans="1:7" x14ac:dyDescent="0.2">
      <c r="A2254" t="s">
        <v>863</v>
      </c>
      <c r="B2254" t="s">
        <v>6</v>
      </c>
      <c r="C2254" t="s">
        <v>7</v>
      </c>
      <c r="D2254" t="s">
        <v>12</v>
      </c>
      <c r="E2254" t="s">
        <v>13</v>
      </c>
      <c r="F2254" t="s">
        <v>11</v>
      </c>
      <c r="G2254">
        <v>10</v>
      </c>
    </row>
    <row r="2255" spans="1:7" x14ac:dyDescent="0.2">
      <c r="A2255" t="s">
        <v>863</v>
      </c>
      <c r="B2255" t="s">
        <v>6</v>
      </c>
      <c r="C2255" t="s">
        <v>7</v>
      </c>
      <c r="D2255" t="s">
        <v>14</v>
      </c>
      <c r="E2255" t="s">
        <v>15</v>
      </c>
      <c r="F2255" t="s">
        <v>16</v>
      </c>
      <c r="G2255">
        <v>32</v>
      </c>
    </row>
    <row r="2256" spans="1:7" x14ac:dyDescent="0.2">
      <c r="A2256" t="s">
        <v>863</v>
      </c>
      <c r="B2256" t="s">
        <v>6</v>
      </c>
      <c r="C2256" t="s">
        <v>7</v>
      </c>
      <c r="D2256" t="s">
        <v>17</v>
      </c>
      <c r="E2256" t="s">
        <v>18</v>
      </c>
      <c r="F2256" t="s">
        <v>19</v>
      </c>
      <c r="G2256">
        <v>14</v>
      </c>
    </row>
    <row r="2257" spans="1:7" x14ac:dyDescent="0.2">
      <c r="A2257" t="s">
        <v>863</v>
      </c>
      <c r="B2257" t="s">
        <v>6</v>
      </c>
      <c r="C2257" t="s">
        <v>7</v>
      </c>
      <c r="D2257" t="s">
        <v>20</v>
      </c>
      <c r="E2257" t="s">
        <v>21</v>
      </c>
      <c r="F2257" t="s">
        <v>22</v>
      </c>
      <c r="G2257">
        <v>3613</v>
      </c>
    </row>
    <row r="2258" spans="1:7" x14ac:dyDescent="0.2">
      <c r="A2258" t="s">
        <v>863</v>
      </c>
      <c r="B2258" t="s">
        <v>6</v>
      </c>
      <c r="C2258" t="s">
        <v>7</v>
      </c>
      <c r="D2258" t="s">
        <v>23</v>
      </c>
      <c r="E2258" t="s">
        <v>24</v>
      </c>
      <c r="F2258" t="s">
        <v>25</v>
      </c>
      <c r="G2258">
        <v>39</v>
      </c>
    </row>
    <row r="2259" spans="1:7" x14ac:dyDescent="0.2">
      <c r="A2259" t="s">
        <v>863</v>
      </c>
      <c r="B2259" t="s">
        <v>6</v>
      </c>
      <c r="C2259" t="s">
        <v>7</v>
      </c>
      <c r="D2259" t="s">
        <v>26</v>
      </c>
      <c r="E2259" t="s">
        <v>27</v>
      </c>
      <c r="F2259" t="s">
        <v>28</v>
      </c>
      <c r="G2259">
        <v>2581</v>
      </c>
    </row>
    <row r="2260" spans="1:7" x14ac:dyDescent="0.2">
      <c r="A2260" t="s">
        <v>863</v>
      </c>
      <c r="B2260" t="s">
        <v>6</v>
      </c>
      <c r="C2260" t="s">
        <v>7</v>
      </c>
      <c r="D2260" t="s">
        <v>29</v>
      </c>
      <c r="E2260" t="s">
        <v>30</v>
      </c>
      <c r="F2260" t="s">
        <v>11</v>
      </c>
      <c r="G2260">
        <v>23</v>
      </c>
    </row>
    <row r="2261" spans="1:7" x14ac:dyDescent="0.2">
      <c r="A2261" t="s">
        <v>863</v>
      </c>
      <c r="B2261" t="s">
        <v>6</v>
      </c>
      <c r="C2261" t="s">
        <v>7</v>
      </c>
      <c r="D2261" t="s">
        <v>31</v>
      </c>
      <c r="E2261" t="s">
        <v>32</v>
      </c>
      <c r="F2261" t="s">
        <v>11</v>
      </c>
      <c r="G2261">
        <v>0</v>
      </c>
    </row>
    <row r="2262" spans="1:7" x14ac:dyDescent="0.2">
      <c r="A2262" t="s">
        <v>863</v>
      </c>
      <c r="B2262" t="s">
        <v>6</v>
      </c>
      <c r="C2262" t="s">
        <v>7</v>
      </c>
      <c r="D2262" t="s">
        <v>33</v>
      </c>
      <c r="E2262" t="s">
        <v>34</v>
      </c>
      <c r="F2262" t="s">
        <v>11</v>
      </c>
      <c r="G2262">
        <v>1</v>
      </c>
    </row>
    <row r="2263" spans="1:7" x14ac:dyDescent="0.2">
      <c r="A2263" t="s">
        <v>863</v>
      </c>
      <c r="B2263" t="s">
        <v>6</v>
      </c>
      <c r="C2263" t="s">
        <v>7</v>
      </c>
      <c r="D2263" t="s">
        <v>35</v>
      </c>
      <c r="E2263" t="s">
        <v>36</v>
      </c>
      <c r="F2263" t="s">
        <v>11</v>
      </c>
      <c r="G2263">
        <v>0</v>
      </c>
    </row>
    <row r="2264" spans="1:7" x14ac:dyDescent="0.2">
      <c r="A2264" t="s">
        <v>863</v>
      </c>
      <c r="B2264" t="s">
        <v>6</v>
      </c>
      <c r="C2264" t="s">
        <v>7</v>
      </c>
      <c r="D2264" t="s">
        <v>37</v>
      </c>
      <c r="E2264" t="s">
        <v>38</v>
      </c>
      <c r="F2264" t="s">
        <v>11</v>
      </c>
      <c r="G2264">
        <v>0</v>
      </c>
    </row>
    <row r="2265" spans="1:7" x14ac:dyDescent="0.2">
      <c r="A2265" t="s">
        <v>863</v>
      </c>
      <c r="B2265" t="s">
        <v>6</v>
      </c>
      <c r="C2265" t="s">
        <v>7</v>
      </c>
      <c r="D2265" t="s">
        <v>39</v>
      </c>
      <c r="E2265" t="s">
        <v>40</v>
      </c>
      <c r="F2265" t="s">
        <v>11</v>
      </c>
      <c r="G2265">
        <v>0</v>
      </c>
    </row>
    <row r="2266" spans="1:7" x14ac:dyDescent="0.2">
      <c r="A2266" t="s">
        <v>863</v>
      </c>
      <c r="B2266" t="s">
        <v>6</v>
      </c>
      <c r="C2266" t="s">
        <v>7</v>
      </c>
      <c r="D2266" t="s">
        <v>41</v>
      </c>
      <c r="E2266" t="s">
        <v>42</v>
      </c>
      <c r="F2266" t="s">
        <v>11</v>
      </c>
      <c r="G2266">
        <v>0</v>
      </c>
    </row>
    <row r="2267" spans="1:7" x14ac:dyDescent="0.2">
      <c r="A2267" t="s">
        <v>863</v>
      </c>
      <c r="B2267" t="s">
        <v>6</v>
      </c>
      <c r="C2267" t="s">
        <v>7</v>
      </c>
      <c r="D2267" t="s">
        <v>43</v>
      </c>
      <c r="E2267" t="s">
        <v>44</v>
      </c>
      <c r="F2267" t="s">
        <v>11</v>
      </c>
      <c r="G2267">
        <v>0</v>
      </c>
    </row>
    <row r="2268" spans="1:7" x14ac:dyDescent="0.2">
      <c r="A2268" t="s">
        <v>863</v>
      </c>
      <c r="B2268" t="s">
        <v>6</v>
      </c>
      <c r="C2268" t="s">
        <v>7</v>
      </c>
      <c r="D2268" t="s">
        <v>45</v>
      </c>
      <c r="G2268">
        <v>10</v>
      </c>
    </row>
    <row r="2269" spans="1:7" x14ac:dyDescent="0.2">
      <c r="A2269" t="s">
        <v>863</v>
      </c>
      <c r="B2269" t="s">
        <v>6</v>
      </c>
      <c r="C2269" t="s">
        <v>7</v>
      </c>
      <c r="D2269" t="s">
        <v>46</v>
      </c>
      <c r="G2269">
        <v>41</v>
      </c>
    </row>
    <row r="2270" spans="1:7" x14ac:dyDescent="0.2">
      <c r="A2270" t="s">
        <v>863</v>
      </c>
      <c r="B2270" t="s">
        <v>47</v>
      </c>
      <c r="C2270" t="s">
        <v>48</v>
      </c>
      <c r="D2270" t="s">
        <v>8</v>
      </c>
      <c r="G2270">
        <v>6441</v>
      </c>
    </row>
    <row r="2271" spans="1:7" x14ac:dyDescent="0.2">
      <c r="A2271" t="s">
        <v>863</v>
      </c>
      <c r="B2271" t="s">
        <v>47</v>
      </c>
      <c r="C2271" t="s">
        <v>48</v>
      </c>
      <c r="D2271" t="s">
        <v>49</v>
      </c>
      <c r="E2271" t="s">
        <v>50</v>
      </c>
      <c r="F2271" t="s">
        <v>51</v>
      </c>
      <c r="G2271">
        <v>348</v>
      </c>
    </row>
    <row r="2272" spans="1:7" x14ac:dyDescent="0.2">
      <c r="A2272" t="s">
        <v>863</v>
      </c>
      <c r="B2272" t="s">
        <v>47</v>
      </c>
      <c r="C2272" t="s">
        <v>48</v>
      </c>
      <c r="D2272" t="s">
        <v>52</v>
      </c>
      <c r="E2272" t="s">
        <v>53</v>
      </c>
      <c r="F2272" t="s">
        <v>22</v>
      </c>
      <c r="G2272">
        <v>3694</v>
      </c>
    </row>
    <row r="2273" spans="1:7" x14ac:dyDescent="0.2">
      <c r="A2273" t="s">
        <v>863</v>
      </c>
      <c r="B2273" t="s">
        <v>47</v>
      </c>
      <c r="C2273" t="s">
        <v>48</v>
      </c>
      <c r="D2273" t="s">
        <v>54</v>
      </c>
      <c r="E2273" t="s">
        <v>55</v>
      </c>
      <c r="F2273" t="s">
        <v>28</v>
      </c>
      <c r="G2273">
        <v>2141</v>
      </c>
    </row>
    <row r="2274" spans="1:7" x14ac:dyDescent="0.2">
      <c r="A2274" t="s">
        <v>863</v>
      </c>
      <c r="B2274" t="s">
        <v>47</v>
      </c>
      <c r="C2274" t="s">
        <v>48</v>
      </c>
      <c r="D2274" t="s">
        <v>56</v>
      </c>
      <c r="E2274" t="s">
        <v>57</v>
      </c>
      <c r="F2274" t="s">
        <v>11</v>
      </c>
      <c r="G2274">
        <v>1</v>
      </c>
    </row>
    <row r="2275" spans="1:7" x14ac:dyDescent="0.2">
      <c r="A2275" t="s">
        <v>863</v>
      </c>
      <c r="B2275" t="s">
        <v>47</v>
      </c>
      <c r="C2275" t="s">
        <v>48</v>
      </c>
      <c r="D2275" t="s">
        <v>45</v>
      </c>
      <c r="G2275">
        <v>20</v>
      </c>
    </row>
    <row r="2276" spans="1:7" x14ac:dyDescent="0.2">
      <c r="A2276" t="s">
        <v>863</v>
      </c>
      <c r="B2276" t="s">
        <v>47</v>
      </c>
      <c r="C2276" t="s">
        <v>48</v>
      </c>
      <c r="D2276" t="s">
        <v>46</v>
      </c>
      <c r="G2276">
        <v>201</v>
      </c>
    </row>
    <row r="2277" spans="1:7" x14ac:dyDescent="0.2">
      <c r="A2277" t="s">
        <v>863</v>
      </c>
      <c r="B2277" t="s">
        <v>76</v>
      </c>
      <c r="C2277" t="s">
        <v>77</v>
      </c>
      <c r="D2277" t="s">
        <v>8</v>
      </c>
      <c r="G2277">
        <v>6441</v>
      </c>
    </row>
    <row r="2278" spans="1:7" x14ac:dyDescent="0.2">
      <c r="A2278" t="s">
        <v>863</v>
      </c>
      <c r="B2278" t="s">
        <v>76</v>
      </c>
      <c r="C2278" t="s">
        <v>77</v>
      </c>
      <c r="D2278" t="s">
        <v>78</v>
      </c>
      <c r="E2278" t="s">
        <v>79</v>
      </c>
      <c r="F2278" t="s">
        <v>22</v>
      </c>
      <c r="G2278">
        <v>3636</v>
      </c>
    </row>
    <row r="2279" spans="1:7" x14ac:dyDescent="0.2">
      <c r="A2279" t="s">
        <v>863</v>
      </c>
      <c r="B2279" t="s">
        <v>76</v>
      </c>
      <c r="C2279" t="s">
        <v>77</v>
      </c>
      <c r="D2279" t="s">
        <v>80</v>
      </c>
      <c r="E2279" t="s">
        <v>81</v>
      </c>
      <c r="F2279" t="s">
        <v>28</v>
      </c>
      <c r="G2279">
        <v>2370</v>
      </c>
    </row>
    <row r="2280" spans="1:7" x14ac:dyDescent="0.2">
      <c r="A2280" t="s">
        <v>863</v>
      </c>
      <c r="B2280" t="s">
        <v>76</v>
      </c>
      <c r="C2280" t="s">
        <v>77</v>
      </c>
      <c r="D2280" t="s">
        <v>45</v>
      </c>
      <c r="G2280">
        <v>2</v>
      </c>
    </row>
    <row r="2281" spans="1:7" x14ac:dyDescent="0.2">
      <c r="A2281" t="s">
        <v>863</v>
      </c>
      <c r="B2281" t="s">
        <v>76</v>
      </c>
      <c r="C2281" t="s">
        <v>77</v>
      </c>
      <c r="D2281" t="s">
        <v>46</v>
      </c>
      <c r="G2281">
        <v>433</v>
      </c>
    </row>
    <row r="2282" spans="1:7" x14ac:dyDescent="0.2">
      <c r="A2282" t="s">
        <v>863</v>
      </c>
      <c r="B2282" t="s">
        <v>93</v>
      </c>
      <c r="C2282" t="s">
        <v>94</v>
      </c>
      <c r="D2282" t="s">
        <v>8</v>
      </c>
      <c r="G2282">
        <v>6441</v>
      </c>
    </row>
    <row r="2283" spans="1:7" x14ac:dyDescent="0.2">
      <c r="A2283" t="s">
        <v>863</v>
      </c>
      <c r="B2283" t="s">
        <v>93</v>
      </c>
      <c r="C2283" t="s">
        <v>94</v>
      </c>
      <c r="D2283" t="s">
        <v>95</v>
      </c>
      <c r="E2283" t="s">
        <v>96</v>
      </c>
      <c r="F2283" t="s">
        <v>22</v>
      </c>
      <c r="G2283">
        <v>2241</v>
      </c>
    </row>
    <row r="2284" spans="1:7" x14ac:dyDescent="0.2">
      <c r="A2284" t="s">
        <v>863</v>
      </c>
      <c r="B2284" t="s">
        <v>93</v>
      </c>
      <c r="C2284" t="s">
        <v>94</v>
      </c>
      <c r="D2284" t="s">
        <v>97</v>
      </c>
      <c r="E2284" t="s">
        <v>98</v>
      </c>
      <c r="F2284" t="s">
        <v>51</v>
      </c>
      <c r="G2284">
        <v>119</v>
      </c>
    </row>
    <row r="2285" spans="1:7" x14ac:dyDescent="0.2">
      <c r="A2285" t="s">
        <v>863</v>
      </c>
      <c r="B2285" t="s">
        <v>93</v>
      </c>
      <c r="C2285" t="s">
        <v>94</v>
      </c>
      <c r="D2285" t="s">
        <v>99</v>
      </c>
      <c r="E2285" t="s">
        <v>100</v>
      </c>
      <c r="F2285" t="s">
        <v>28</v>
      </c>
      <c r="G2285">
        <v>1994</v>
      </c>
    </row>
    <row r="2286" spans="1:7" x14ac:dyDescent="0.2">
      <c r="A2286" t="s">
        <v>863</v>
      </c>
      <c r="B2286" t="s">
        <v>93</v>
      </c>
      <c r="C2286" t="s">
        <v>94</v>
      </c>
      <c r="D2286" t="s">
        <v>101</v>
      </c>
      <c r="E2286" t="s">
        <v>102</v>
      </c>
      <c r="F2286" t="s">
        <v>25</v>
      </c>
      <c r="G2286">
        <v>105</v>
      </c>
    </row>
    <row r="2287" spans="1:7" x14ac:dyDescent="0.2">
      <c r="A2287" t="s">
        <v>863</v>
      </c>
      <c r="B2287" t="s">
        <v>93</v>
      </c>
      <c r="C2287" t="s">
        <v>94</v>
      </c>
      <c r="D2287" t="s">
        <v>103</v>
      </c>
      <c r="E2287" t="s">
        <v>104</v>
      </c>
      <c r="F2287" t="s">
        <v>11</v>
      </c>
      <c r="G2287">
        <v>55</v>
      </c>
    </row>
    <row r="2288" spans="1:7" x14ac:dyDescent="0.2">
      <c r="A2288" t="s">
        <v>863</v>
      </c>
      <c r="B2288" t="s">
        <v>93</v>
      </c>
      <c r="C2288" t="s">
        <v>94</v>
      </c>
      <c r="D2288" t="s">
        <v>105</v>
      </c>
      <c r="E2288" t="s">
        <v>106</v>
      </c>
      <c r="F2288" t="s">
        <v>11</v>
      </c>
      <c r="G2288">
        <v>1715</v>
      </c>
    </row>
    <row r="2289" spans="1:7" x14ac:dyDescent="0.2">
      <c r="A2289" t="s">
        <v>863</v>
      </c>
      <c r="B2289" t="s">
        <v>93</v>
      </c>
      <c r="C2289" t="s">
        <v>94</v>
      </c>
      <c r="D2289" t="s">
        <v>107</v>
      </c>
      <c r="E2289" t="s">
        <v>108</v>
      </c>
      <c r="F2289" t="s">
        <v>11</v>
      </c>
      <c r="G2289">
        <v>6</v>
      </c>
    </row>
    <row r="2290" spans="1:7" x14ac:dyDescent="0.2">
      <c r="A2290" t="s">
        <v>863</v>
      </c>
      <c r="B2290" t="s">
        <v>93</v>
      </c>
      <c r="C2290" t="s">
        <v>94</v>
      </c>
      <c r="D2290" t="s">
        <v>45</v>
      </c>
      <c r="G2290">
        <v>24</v>
      </c>
    </row>
    <row r="2291" spans="1:7" x14ac:dyDescent="0.2">
      <c r="A2291" t="s">
        <v>863</v>
      </c>
      <c r="B2291" t="s">
        <v>93</v>
      </c>
      <c r="C2291" t="s">
        <v>94</v>
      </c>
      <c r="D2291" t="s">
        <v>46</v>
      </c>
      <c r="G2291">
        <v>170</v>
      </c>
    </row>
    <row r="2292" spans="1:7" x14ac:dyDescent="0.2">
      <c r="A2292" t="s">
        <v>863</v>
      </c>
      <c r="B2292" t="s">
        <v>109</v>
      </c>
      <c r="C2292" t="s">
        <v>110</v>
      </c>
      <c r="D2292" t="s">
        <v>8</v>
      </c>
      <c r="G2292">
        <v>6441</v>
      </c>
    </row>
    <row r="2293" spans="1:7" x14ac:dyDescent="0.2">
      <c r="A2293" t="s">
        <v>863</v>
      </c>
      <c r="B2293" t="s">
        <v>109</v>
      </c>
      <c r="C2293" t="s">
        <v>110</v>
      </c>
      <c r="D2293" t="s">
        <v>111</v>
      </c>
      <c r="E2293" t="s">
        <v>112</v>
      </c>
      <c r="F2293" t="s">
        <v>22</v>
      </c>
      <c r="G2293">
        <v>3373</v>
      </c>
    </row>
    <row r="2294" spans="1:7" x14ac:dyDescent="0.2">
      <c r="A2294" t="s">
        <v>863</v>
      </c>
      <c r="B2294" t="s">
        <v>109</v>
      </c>
      <c r="C2294" t="s">
        <v>110</v>
      </c>
      <c r="D2294" t="s">
        <v>113</v>
      </c>
      <c r="E2294" t="s">
        <v>114</v>
      </c>
      <c r="F2294" t="s">
        <v>28</v>
      </c>
      <c r="G2294">
        <v>2169</v>
      </c>
    </row>
    <row r="2295" spans="1:7" x14ac:dyDescent="0.2">
      <c r="A2295" t="s">
        <v>863</v>
      </c>
      <c r="B2295" t="s">
        <v>109</v>
      </c>
      <c r="C2295" t="s">
        <v>110</v>
      </c>
      <c r="D2295" t="s">
        <v>115</v>
      </c>
      <c r="E2295" t="s">
        <v>116</v>
      </c>
      <c r="F2295" t="s">
        <v>25</v>
      </c>
      <c r="G2295">
        <v>232</v>
      </c>
    </row>
    <row r="2296" spans="1:7" x14ac:dyDescent="0.2">
      <c r="A2296" t="s">
        <v>863</v>
      </c>
      <c r="B2296" t="s">
        <v>109</v>
      </c>
      <c r="C2296" t="s">
        <v>110</v>
      </c>
      <c r="D2296" t="s">
        <v>117</v>
      </c>
      <c r="E2296" t="s">
        <v>118</v>
      </c>
      <c r="F2296" t="s">
        <v>11</v>
      </c>
      <c r="G2296">
        <v>166</v>
      </c>
    </row>
    <row r="2297" spans="1:7" x14ac:dyDescent="0.2">
      <c r="A2297" t="s">
        <v>863</v>
      </c>
      <c r="B2297" t="s">
        <v>109</v>
      </c>
      <c r="C2297" t="s">
        <v>110</v>
      </c>
      <c r="D2297" t="s">
        <v>119</v>
      </c>
      <c r="E2297" t="s">
        <v>120</v>
      </c>
      <c r="F2297" t="s">
        <v>88</v>
      </c>
      <c r="G2297">
        <v>206</v>
      </c>
    </row>
    <row r="2298" spans="1:7" x14ac:dyDescent="0.2">
      <c r="A2298" t="s">
        <v>863</v>
      </c>
      <c r="B2298" t="s">
        <v>109</v>
      </c>
      <c r="C2298" t="s">
        <v>110</v>
      </c>
      <c r="D2298" t="s">
        <v>45</v>
      </c>
      <c r="G2298">
        <v>1</v>
      </c>
    </row>
    <row r="2299" spans="1:7" x14ac:dyDescent="0.2">
      <c r="A2299" t="s">
        <v>863</v>
      </c>
      <c r="B2299" t="s">
        <v>109</v>
      </c>
      <c r="C2299" t="s">
        <v>110</v>
      </c>
      <c r="D2299" t="s">
        <v>46</v>
      </c>
      <c r="G2299">
        <v>294</v>
      </c>
    </row>
    <row r="2300" spans="1:7" x14ac:dyDescent="0.2">
      <c r="A2300" t="s">
        <v>863</v>
      </c>
      <c r="B2300" t="s">
        <v>121</v>
      </c>
      <c r="C2300" t="s">
        <v>122</v>
      </c>
      <c r="D2300" t="s">
        <v>8</v>
      </c>
      <c r="G2300">
        <v>6441</v>
      </c>
    </row>
    <row r="2301" spans="1:7" x14ac:dyDescent="0.2">
      <c r="A2301" t="s">
        <v>863</v>
      </c>
      <c r="B2301" t="s">
        <v>121</v>
      </c>
      <c r="C2301" t="s">
        <v>122</v>
      </c>
      <c r="D2301" t="s">
        <v>123</v>
      </c>
      <c r="E2301" t="s">
        <v>124</v>
      </c>
      <c r="F2301" t="s">
        <v>22</v>
      </c>
      <c r="G2301">
        <v>3577</v>
      </c>
    </row>
    <row r="2302" spans="1:7" x14ac:dyDescent="0.2">
      <c r="A2302" t="s">
        <v>863</v>
      </c>
      <c r="B2302" t="s">
        <v>121</v>
      </c>
      <c r="C2302" t="s">
        <v>122</v>
      </c>
      <c r="D2302" t="s">
        <v>125</v>
      </c>
      <c r="E2302" t="s">
        <v>126</v>
      </c>
      <c r="F2302" t="s">
        <v>16</v>
      </c>
      <c r="G2302">
        <v>276</v>
      </c>
    </row>
    <row r="2303" spans="1:7" x14ac:dyDescent="0.2">
      <c r="A2303" t="s">
        <v>863</v>
      </c>
      <c r="B2303" t="s">
        <v>121</v>
      </c>
      <c r="C2303" t="s">
        <v>122</v>
      </c>
      <c r="D2303" t="s">
        <v>127</v>
      </c>
      <c r="E2303" t="s">
        <v>128</v>
      </c>
      <c r="F2303" t="s">
        <v>28</v>
      </c>
      <c r="G2303">
        <v>2241</v>
      </c>
    </row>
    <row r="2304" spans="1:7" x14ac:dyDescent="0.2">
      <c r="A2304" t="s">
        <v>863</v>
      </c>
      <c r="B2304" t="s">
        <v>121</v>
      </c>
      <c r="C2304" t="s">
        <v>122</v>
      </c>
      <c r="D2304" t="s">
        <v>45</v>
      </c>
      <c r="G2304">
        <v>0</v>
      </c>
    </row>
    <row r="2305" spans="1:7" x14ac:dyDescent="0.2">
      <c r="A2305" t="s">
        <v>863</v>
      </c>
      <c r="B2305" t="s">
        <v>121</v>
      </c>
      <c r="C2305" t="s">
        <v>122</v>
      </c>
      <c r="D2305" t="s">
        <v>46</v>
      </c>
      <c r="G2305">
        <v>347</v>
      </c>
    </row>
    <row r="2306" spans="1:7" x14ac:dyDescent="0.2">
      <c r="A2306" t="s">
        <v>863</v>
      </c>
      <c r="B2306" t="s">
        <v>129</v>
      </c>
      <c r="C2306" t="s">
        <v>130</v>
      </c>
      <c r="D2306" t="s">
        <v>8</v>
      </c>
      <c r="G2306">
        <v>6441</v>
      </c>
    </row>
    <row r="2307" spans="1:7" x14ac:dyDescent="0.2">
      <c r="A2307" t="s">
        <v>863</v>
      </c>
      <c r="B2307" t="s">
        <v>129</v>
      </c>
      <c r="C2307" t="s">
        <v>130</v>
      </c>
      <c r="D2307" t="s">
        <v>131</v>
      </c>
      <c r="E2307" t="s">
        <v>132</v>
      </c>
      <c r="F2307" t="s">
        <v>133</v>
      </c>
      <c r="G2307">
        <v>204</v>
      </c>
    </row>
    <row r="2308" spans="1:7" x14ac:dyDescent="0.2">
      <c r="A2308" t="s">
        <v>863</v>
      </c>
      <c r="B2308" t="s">
        <v>129</v>
      </c>
      <c r="C2308" t="s">
        <v>130</v>
      </c>
      <c r="D2308" t="s">
        <v>134</v>
      </c>
      <c r="E2308" t="s">
        <v>135</v>
      </c>
      <c r="F2308" t="s">
        <v>22</v>
      </c>
      <c r="G2308">
        <v>3550</v>
      </c>
    </row>
    <row r="2309" spans="1:7" x14ac:dyDescent="0.2">
      <c r="A2309" t="s">
        <v>863</v>
      </c>
      <c r="B2309" t="s">
        <v>129</v>
      </c>
      <c r="C2309" t="s">
        <v>130</v>
      </c>
      <c r="D2309" t="s">
        <v>136</v>
      </c>
      <c r="E2309" t="s">
        <v>137</v>
      </c>
      <c r="F2309" t="s">
        <v>28</v>
      </c>
      <c r="G2309">
        <v>2308</v>
      </c>
    </row>
    <row r="2310" spans="1:7" x14ac:dyDescent="0.2">
      <c r="A2310" t="s">
        <v>863</v>
      </c>
      <c r="B2310" t="s">
        <v>129</v>
      </c>
      <c r="C2310" t="s">
        <v>130</v>
      </c>
      <c r="D2310" t="s">
        <v>45</v>
      </c>
      <c r="G2310">
        <v>1</v>
      </c>
    </row>
    <row r="2311" spans="1:7" x14ac:dyDescent="0.2">
      <c r="A2311" t="s">
        <v>863</v>
      </c>
      <c r="B2311" t="s">
        <v>129</v>
      </c>
      <c r="C2311" t="s">
        <v>130</v>
      </c>
      <c r="D2311" t="s">
        <v>46</v>
      </c>
      <c r="G2311">
        <v>378</v>
      </c>
    </row>
    <row r="2312" spans="1:7" x14ac:dyDescent="0.2">
      <c r="A2312" t="s">
        <v>863</v>
      </c>
      <c r="B2312" t="s">
        <v>210</v>
      </c>
      <c r="C2312" t="s">
        <v>211</v>
      </c>
      <c r="D2312" t="s">
        <v>8</v>
      </c>
      <c r="G2312">
        <v>6441</v>
      </c>
    </row>
    <row r="2313" spans="1:7" x14ac:dyDescent="0.2">
      <c r="A2313" t="s">
        <v>863</v>
      </c>
      <c r="B2313" t="s">
        <v>210</v>
      </c>
      <c r="C2313" t="s">
        <v>211</v>
      </c>
      <c r="D2313" t="s">
        <v>212</v>
      </c>
      <c r="E2313" t="s">
        <v>213</v>
      </c>
      <c r="F2313" t="s">
        <v>11</v>
      </c>
      <c r="G2313">
        <v>201</v>
      </c>
    </row>
    <row r="2314" spans="1:7" x14ac:dyDescent="0.2">
      <c r="A2314" t="s">
        <v>863</v>
      </c>
      <c r="B2314" t="s">
        <v>210</v>
      </c>
      <c r="C2314" t="s">
        <v>211</v>
      </c>
      <c r="D2314" t="s">
        <v>214</v>
      </c>
      <c r="E2314" t="s">
        <v>215</v>
      </c>
      <c r="F2314" t="s">
        <v>28</v>
      </c>
      <c r="G2314">
        <v>2280</v>
      </c>
    </row>
    <row r="2315" spans="1:7" x14ac:dyDescent="0.2">
      <c r="A2315" t="s">
        <v>863</v>
      </c>
      <c r="B2315" t="s">
        <v>210</v>
      </c>
      <c r="C2315" t="s">
        <v>211</v>
      </c>
      <c r="D2315" t="s">
        <v>216</v>
      </c>
      <c r="E2315" t="s">
        <v>217</v>
      </c>
      <c r="F2315" t="s">
        <v>22</v>
      </c>
      <c r="G2315">
        <v>3554</v>
      </c>
    </row>
    <row r="2316" spans="1:7" x14ac:dyDescent="0.2">
      <c r="A2316" t="s">
        <v>863</v>
      </c>
      <c r="B2316" t="s">
        <v>210</v>
      </c>
      <c r="C2316" t="s">
        <v>211</v>
      </c>
      <c r="D2316" t="s">
        <v>45</v>
      </c>
      <c r="G2316">
        <v>1</v>
      </c>
    </row>
    <row r="2317" spans="1:7" x14ac:dyDescent="0.2">
      <c r="A2317" t="s">
        <v>863</v>
      </c>
      <c r="B2317" t="s">
        <v>210</v>
      </c>
      <c r="C2317" t="s">
        <v>211</v>
      </c>
      <c r="D2317" t="s">
        <v>46</v>
      </c>
      <c r="G2317">
        <v>405</v>
      </c>
    </row>
    <row r="2318" spans="1:7" x14ac:dyDescent="0.2">
      <c r="A2318" t="s">
        <v>863</v>
      </c>
      <c r="B2318" t="s">
        <v>612</v>
      </c>
      <c r="C2318" t="s">
        <v>613</v>
      </c>
      <c r="D2318" t="s">
        <v>8</v>
      </c>
      <c r="G2318">
        <v>6441</v>
      </c>
    </row>
    <row r="2319" spans="1:7" x14ac:dyDescent="0.2">
      <c r="A2319" t="s">
        <v>863</v>
      </c>
      <c r="B2319" t="s">
        <v>612</v>
      </c>
      <c r="C2319" t="s">
        <v>613</v>
      </c>
      <c r="D2319" t="s">
        <v>614</v>
      </c>
      <c r="E2319" t="s">
        <v>615</v>
      </c>
      <c r="F2319" t="s">
        <v>22</v>
      </c>
      <c r="G2319">
        <v>3518</v>
      </c>
    </row>
    <row r="2320" spans="1:7" x14ac:dyDescent="0.2">
      <c r="A2320" t="s">
        <v>863</v>
      </c>
      <c r="B2320" t="s">
        <v>612</v>
      </c>
      <c r="C2320" t="s">
        <v>613</v>
      </c>
      <c r="D2320" t="s">
        <v>616</v>
      </c>
      <c r="E2320" t="s">
        <v>617</v>
      </c>
      <c r="F2320" t="s">
        <v>28</v>
      </c>
      <c r="G2320">
        <v>2665</v>
      </c>
    </row>
    <row r="2321" spans="1:7" x14ac:dyDescent="0.2">
      <c r="A2321" t="s">
        <v>863</v>
      </c>
      <c r="B2321" t="s">
        <v>612</v>
      </c>
      <c r="C2321" t="s">
        <v>613</v>
      </c>
      <c r="D2321" t="s">
        <v>45</v>
      </c>
      <c r="G2321">
        <v>4</v>
      </c>
    </row>
    <row r="2322" spans="1:7" x14ac:dyDescent="0.2">
      <c r="A2322" t="s">
        <v>863</v>
      </c>
      <c r="B2322" t="s">
        <v>612</v>
      </c>
      <c r="C2322" t="s">
        <v>613</v>
      </c>
      <c r="D2322" t="s">
        <v>46</v>
      </c>
      <c r="G2322">
        <v>254</v>
      </c>
    </row>
    <row r="2323" spans="1:7" x14ac:dyDescent="0.2">
      <c r="A2323" t="s">
        <v>863</v>
      </c>
      <c r="B2323" t="s">
        <v>688</v>
      </c>
      <c r="C2323" t="s">
        <v>689</v>
      </c>
      <c r="D2323" t="s">
        <v>8</v>
      </c>
      <c r="G2323">
        <v>6441</v>
      </c>
    </row>
    <row r="2324" spans="1:7" x14ac:dyDescent="0.2">
      <c r="A2324" t="s">
        <v>863</v>
      </c>
      <c r="B2324" t="s">
        <v>688</v>
      </c>
      <c r="C2324" t="s">
        <v>689</v>
      </c>
      <c r="D2324" t="s">
        <v>690</v>
      </c>
      <c r="E2324" t="s">
        <v>691</v>
      </c>
      <c r="F2324" t="s">
        <v>22</v>
      </c>
      <c r="G2324">
        <v>4624</v>
      </c>
    </row>
    <row r="2325" spans="1:7" x14ac:dyDescent="0.2">
      <c r="A2325" t="s">
        <v>863</v>
      </c>
      <c r="B2325" t="s">
        <v>688</v>
      </c>
      <c r="C2325" t="s">
        <v>689</v>
      </c>
      <c r="D2325" t="s">
        <v>45</v>
      </c>
      <c r="G2325">
        <v>0</v>
      </c>
    </row>
    <row r="2326" spans="1:7" x14ac:dyDescent="0.2">
      <c r="A2326" t="s">
        <v>863</v>
      </c>
      <c r="B2326" t="s">
        <v>688</v>
      </c>
      <c r="C2326" t="s">
        <v>689</v>
      </c>
      <c r="D2326" t="s">
        <v>46</v>
      </c>
      <c r="G2326">
        <v>1817</v>
      </c>
    </row>
    <row r="2327" spans="1:7" x14ac:dyDescent="0.2">
      <c r="A2327" t="s">
        <v>863</v>
      </c>
      <c r="B2327" t="s">
        <v>692</v>
      </c>
      <c r="C2327" t="s">
        <v>693</v>
      </c>
      <c r="D2327" t="s">
        <v>8</v>
      </c>
      <c r="G2327">
        <v>6441</v>
      </c>
    </row>
    <row r="2328" spans="1:7" x14ac:dyDescent="0.2">
      <c r="A2328" t="s">
        <v>863</v>
      </c>
      <c r="B2328" t="s">
        <v>692</v>
      </c>
      <c r="C2328" t="s">
        <v>693</v>
      </c>
      <c r="D2328" t="s">
        <v>694</v>
      </c>
      <c r="E2328" t="s">
        <v>695</v>
      </c>
      <c r="G2328">
        <v>3755</v>
      </c>
    </row>
    <row r="2329" spans="1:7" x14ac:dyDescent="0.2">
      <c r="A2329" t="s">
        <v>863</v>
      </c>
      <c r="B2329" t="s">
        <v>692</v>
      </c>
      <c r="C2329" t="s">
        <v>693</v>
      </c>
      <c r="D2329" t="s">
        <v>696</v>
      </c>
      <c r="E2329" t="s">
        <v>697</v>
      </c>
      <c r="G2329">
        <v>1513</v>
      </c>
    </row>
    <row r="2330" spans="1:7" x14ac:dyDescent="0.2">
      <c r="A2330" t="s">
        <v>863</v>
      </c>
      <c r="B2330" t="s">
        <v>692</v>
      </c>
      <c r="C2330" t="s">
        <v>693</v>
      </c>
      <c r="D2330" t="s">
        <v>45</v>
      </c>
      <c r="G2330">
        <v>6</v>
      </c>
    </row>
    <row r="2331" spans="1:7" x14ac:dyDescent="0.2">
      <c r="A2331" t="s">
        <v>863</v>
      </c>
      <c r="B2331" t="s">
        <v>692</v>
      </c>
      <c r="C2331" t="s">
        <v>693</v>
      </c>
      <c r="D2331" t="s">
        <v>46</v>
      </c>
      <c r="G2331">
        <v>1167</v>
      </c>
    </row>
    <row r="2332" spans="1:7" x14ac:dyDescent="0.2">
      <c r="A2332" t="s">
        <v>863</v>
      </c>
      <c r="B2332" t="s">
        <v>698</v>
      </c>
      <c r="C2332" t="s">
        <v>699</v>
      </c>
      <c r="D2332" t="s">
        <v>8</v>
      </c>
      <c r="G2332">
        <v>6441</v>
      </c>
    </row>
    <row r="2333" spans="1:7" x14ac:dyDescent="0.2">
      <c r="A2333" t="s">
        <v>863</v>
      </c>
      <c r="B2333" t="s">
        <v>698</v>
      </c>
      <c r="C2333" t="s">
        <v>699</v>
      </c>
      <c r="D2333" t="s">
        <v>694</v>
      </c>
      <c r="E2333" t="s">
        <v>700</v>
      </c>
      <c r="G2333">
        <v>3695</v>
      </c>
    </row>
    <row r="2334" spans="1:7" x14ac:dyDescent="0.2">
      <c r="A2334" t="s">
        <v>863</v>
      </c>
      <c r="B2334" t="s">
        <v>698</v>
      </c>
      <c r="C2334" t="s">
        <v>699</v>
      </c>
      <c r="D2334" t="s">
        <v>696</v>
      </c>
      <c r="E2334" t="s">
        <v>701</v>
      </c>
      <c r="G2334">
        <v>1514</v>
      </c>
    </row>
    <row r="2335" spans="1:7" x14ac:dyDescent="0.2">
      <c r="A2335" t="s">
        <v>863</v>
      </c>
      <c r="B2335" t="s">
        <v>698</v>
      </c>
      <c r="C2335" t="s">
        <v>699</v>
      </c>
      <c r="D2335" t="s">
        <v>45</v>
      </c>
      <c r="G2335">
        <v>1</v>
      </c>
    </row>
    <row r="2336" spans="1:7" x14ac:dyDescent="0.2">
      <c r="A2336" t="s">
        <v>863</v>
      </c>
      <c r="B2336" t="s">
        <v>698</v>
      </c>
      <c r="C2336" t="s">
        <v>699</v>
      </c>
      <c r="D2336" t="s">
        <v>46</v>
      </c>
      <c r="G2336">
        <v>1231</v>
      </c>
    </row>
    <row r="2337" spans="1:7" x14ac:dyDescent="0.2">
      <c r="A2337" t="s">
        <v>863</v>
      </c>
      <c r="B2337" t="s">
        <v>790</v>
      </c>
      <c r="C2337" t="s">
        <v>791</v>
      </c>
      <c r="D2337" t="s">
        <v>8</v>
      </c>
      <c r="G2337">
        <v>6441</v>
      </c>
    </row>
    <row r="2338" spans="1:7" x14ac:dyDescent="0.2">
      <c r="A2338" t="s">
        <v>863</v>
      </c>
      <c r="B2338" t="s">
        <v>790</v>
      </c>
      <c r="C2338" t="s">
        <v>791</v>
      </c>
      <c r="D2338" t="s">
        <v>694</v>
      </c>
      <c r="E2338" t="s">
        <v>792</v>
      </c>
      <c r="G2338">
        <v>3722</v>
      </c>
    </row>
    <row r="2339" spans="1:7" x14ac:dyDescent="0.2">
      <c r="A2339" t="s">
        <v>863</v>
      </c>
      <c r="B2339" t="s">
        <v>790</v>
      </c>
      <c r="C2339" t="s">
        <v>791</v>
      </c>
      <c r="D2339" t="s">
        <v>696</v>
      </c>
      <c r="E2339" t="s">
        <v>793</v>
      </c>
      <c r="G2339">
        <v>1479</v>
      </c>
    </row>
    <row r="2340" spans="1:7" x14ac:dyDescent="0.2">
      <c r="A2340" t="s">
        <v>863</v>
      </c>
      <c r="B2340" t="s">
        <v>790</v>
      </c>
      <c r="C2340" t="s">
        <v>791</v>
      </c>
      <c r="D2340" t="s">
        <v>45</v>
      </c>
      <c r="G2340">
        <v>0</v>
      </c>
    </row>
    <row r="2341" spans="1:7" x14ac:dyDescent="0.2">
      <c r="A2341" t="s">
        <v>863</v>
      </c>
      <c r="B2341" t="s">
        <v>790</v>
      </c>
      <c r="C2341" t="s">
        <v>791</v>
      </c>
      <c r="D2341" t="s">
        <v>46</v>
      </c>
      <c r="G2341">
        <v>1240</v>
      </c>
    </row>
    <row r="2342" spans="1:7" x14ac:dyDescent="0.2">
      <c r="A2342" t="s">
        <v>863</v>
      </c>
      <c r="B2342" t="s">
        <v>834</v>
      </c>
      <c r="C2342" t="s">
        <v>835</v>
      </c>
      <c r="D2342" t="s">
        <v>8</v>
      </c>
      <c r="G2342">
        <v>6441</v>
      </c>
    </row>
    <row r="2343" spans="1:7" x14ac:dyDescent="0.2">
      <c r="A2343" t="s">
        <v>863</v>
      </c>
      <c r="B2343" t="s">
        <v>834</v>
      </c>
      <c r="C2343" t="s">
        <v>835</v>
      </c>
      <c r="D2343" t="s">
        <v>836</v>
      </c>
      <c r="E2343" t="s">
        <v>837</v>
      </c>
      <c r="G2343">
        <v>4039</v>
      </c>
    </row>
    <row r="2344" spans="1:7" x14ac:dyDescent="0.2">
      <c r="A2344" t="s">
        <v>863</v>
      </c>
      <c r="B2344" t="s">
        <v>834</v>
      </c>
      <c r="C2344" t="s">
        <v>835</v>
      </c>
      <c r="D2344" t="s">
        <v>838</v>
      </c>
      <c r="E2344" t="s">
        <v>839</v>
      </c>
      <c r="G2344">
        <v>1853</v>
      </c>
    </row>
    <row r="2345" spans="1:7" x14ac:dyDescent="0.2">
      <c r="A2345" t="s">
        <v>863</v>
      </c>
      <c r="B2345" t="s">
        <v>834</v>
      </c>
      <c r="C2345" t="s">
        <v>835</v>
      </c>
      <c r="D2345" t="s">
        <v>45</v>
      </c>
      <c r="G2345">
        <v>3</v>
      </c>
    </row>
    <row r="2346" spans="1:7" x14ac:dyDescent="0.2">
      <c r="A2346" t="s">
        <v>863</v>
      </c>
      <c r="B2346" t="s">
        <v>834</v>
      </c>
      <c r="C2346" t="s">
        <v>835</v>
      </c>
      <c r="D2346" t="s">
        <v>46</v>
      </c>
      <c r="G2346">
        <v>546</v>
      </c>
    </row>
    <row r="2347" spans="1:7" x14ac:dyDescent="0.2">
      <c r="A2347" t="s">
        <v>863</v>
      </c>
      <c r="B2347" t="s">
        <v>840</v>
      </c>
      <c r="C2347" t="s">
        <v>841</v>
      </c>
      <c r="D2347" t="s">
        <v>8</v>
      </c>
      <c r="G2347">
        <v>6441</v>
      </c>
    </row>
    <row r="2348" spans="1:7" x14ac:dyDescent="0.2">
      <c r="A2348" t="s">
        <v>863</v>
      </c>
      <c r="B2348" t="s">
        <v>840</v>
      </c>
      <c r="C2348" t="s">
        <v>841</v>
      </c>
      <c r="D2348" t="s">
        <v>836</v>
      </c>
      <c r="E2348" t="s">
        <v>842</v>
      </c>
      <c r="G2348">
        <v>5043</v>
      </c>
    </row>
    <row r="2349" spans="1:7" x14ac:dyDescent="0.2">
      <c r="A2349" t="s">
        <v>863</v>
      </c>
      <c r="B2349" t="s">
        <v>840</v>
      </c>
      <c r="C2349" t="s">
        <v>841</v>
      </c>
      <c r="D2349" t="s">
        <v>838</v>
      </c>
      <c r="E2349" t="s">
        <v>843</v>
      </c>
      <c r="G2349">
        <v>885</v>
      </c>
    </row>
    <row r="2350" spans="1:7" x14ac:dyDescent="0.2">
      <c r="A2350" t="s">
        <v>863</v>
      </c>
      <c r="B2350" t="s">
        <v>840</v>
      </c>
      <c r="C2350" t="s">
        <v>841</v>
      </c>
      <c r="D2350" t="s">
        <v>45</v>
      </c>
      <c r="G2350">
        <v>3</v>
      </c>
    </row>
    <row r="2351" spans="1:7" x14ac:dyDescent="0.2">
      <c r="A2351" t="s">
        <v>863</v>
      </c>
      <c r="B2351" t="s">
        <v>840</v>
      </c>
      <c r="C2351" t="s">
        <v>841</v>
      </c>
      <c r="D2351" t="s">
        <v>46</v>
      </c>
      <c r="G2351">
        <v>510</v>
      </c>
    </row>
    <row r="2352" spans="1:7" x14ac:dyDescent="0.2">
      <c r="A2352" t="s">
        <v>864</v>
      </c>
      <c r="B2352" t="s">
        <v>6</v>
      </c>
      <c r="C2352" t="s">
        <v>7</v>
      </c>
      <c r="D2352" t="s">
        <v>8</v>
      </c>
      <c r="G2352">
        <v>13226</v>
      </c>
    </row>
    <row r="2353" spans="1:7" x14ac:dyDescent="0.2">
      <c r="A2353" t="s">
        <v>864</v>
      </c>
      <c r="B2353" t="s">
        <v>6</v>
      </c>
      <c r="C2353" t="s">
        <v>7</v>
      </c>
      <c r="D2353" t="s">
        <v>9</v>
      </c>
      <c r="E2353" t="s">
        <v>10</v>
      </c>
      <c r="F2353" t="s">
        <v>11</v>
      </c>
      <c r="G2353">
        <v>17</v>
      </c>
    </row>
    <row r="2354" spans="1:7" x14ac:dyDescent="0.2">
      <c r="A2354" t="s">
        <v>864</v>
      </c>
      <c r="B2354" t="s">
        <v>6</v>
      </c>
      <c r="C2354" t="s">
        <v>7</v>
      </c>
      <c r="D2354" t="s">
        <v>12</v>
      </c>
      <c r="E2354" t="s">
        <v>13</v>
      </c>
      <c r="F2354" t="s">
        <v>11</v>
      </c>
      <c r="G2354">
        <v>15</v>
      </c>
    </row>
    <row r="2355" spans="1:7" x14ac:dyDescent="0.2">
      <c r="A2355" t="s">
        <v>864</v>
      </c>
      <c r="B2355" t="s">
        <v>6</v>
      </c>
      <c r="C2355" t="s">
        <v>7</v>
      </c>
      <c r="D2355" t="s">
        <v>14</v>
      </c>
      <c r="E2355" t="s">
        <v>15</v>
      </c>
      <c r="F2355" t="s">
        <v>16</v>
      </c>
      <c r="G2355">
        <v>197</v>
      </c>
    </row>
    <row r="2356" spans="1:7" x14ac:dyDescent="0.2">
      <c r="A2356" t="s">
        <v>864</v>
      </c>
      <c r="B2356" t="s">
        <v>6</v>
      </c>
      <c r="C2356" t="s">
        <v>7</v>
      </c>
      <c r="D2356" t="s">
        <v>17</v>
      </c>
      <c r="E2356" t="s">
        <v>18</v>
      </c>
      <c r="F2356" t="s">
        <v>19</v>
      </c>
      <c r="G2356">
        <v>35</v>
      </c>
    </row>
    <row r="2357" spans="1:7" x14ac:dyDescent="0.2">
      <c r="A2357" t="s">
        <v>864</v>
      </c>
      <c r="B2357" t="s">
        <v>6</v>
      </c>
      <c r="C2357" t="s">
        <v>7</v>
      </c>
      <c r="D2357" t="s">
        <v>20</v>
      </c>
      <c r="E2357" t="s">
        <v>21</v>
      </c>
      <c r="F2357" t="s">
        <v>22</v>
      </c>
      <c r="G2357">
        <v>10653</v>
      </c>
    </row>
    <row r="2358" spans="1:7" x14ac:dyDescent="0.2">
      <c r="A2358" t="s">
        <v>864</v>
      </c>
      <c r="B2358" t="s">
        <v>6</v>
      </c>
      <c r="C2358" t="s">
        <v>7</v>
      </c>
      <c r="D2358" t="s">
        <v>23</v>
      </c>
      <c r="E2358" t="s">
        <v>24</v>
      </c>
      <c r="F2358" t="s">
        <v>25</v>
      </c>
      <c r="G2358">
        <v>101</v>
      </c>
    </row>
    <row r="2359" spans="1:7" x14ac:dyDescent="0.2">
      <c r="A2359" t="s">
        <v>864</v>
      </c>
      <c r="B2359" t="s">
        <v>6</v>
      </c>
      <c r="C2359" t="s">
        <v>7</v>
      </c>
      <c r="D2359" t="s">
        <v>26</v>
      </c>
      <c r="E2359" t="s">
        <v>27</v>
      </c>
      <c r="F2359" t="s">
        <v>28</v>
      </c>
      <c r="G2359">
        <v>1906</v>
      </c>
    </row>
    <row r="2360" spans="1:7" x14ac:dyDescent="0.2">
      <c r="A2360" t="s">
        <v>864</v>
      </c>
      <c r="B2360" t="s">
        <v>6</v>
      </c>
      <c r="C2360" t="s">
        <v>7</v>
      </c>
      <c r="D2360" t="s">
        <v>29</v>
      </c>
      <c r="E2360" t="s">
        <v>30</v>
      </c>
      <c r="F2360" t="s">
        <v>11</v>
      </c>
      <c r="G2360">
        <v>19</v>
      </c>
    </row>
    <row r="2361" spans="1:7" x14ac:dyDescent="0.2">
      <c r="A2361" t="s">
        <v>864</v>
      </c>
      <c r="B2361" t="s">
        <v>6</v>
      </c>
      <c r="C2361" t="s">
        <v>7</v>
      </c>
      <c r="D2361" t="s">
        <v>31</v>
      </c>
      <c r="E2361" t="s">
        <v>32</v>
      </c>
      <c r="F2361" t="s">
        <v>11</v>
      </c>
      <c r="G2361">
        <v>0</v>
      </c>
    </row>
    <row r="2362" spans="1:7" x14ac:dyDescent="0.2">
      <c r="A2362" t="s">
        <v>864</v>
      </c>
      <c r="B2362" t="s">
        <v>6</v>
      </c>
      <c r="C2362" t="s">
        <v>7</v>
      </c>
      <c r="D2362" t="s">
        <v>33</v>
      </c>
      <c r="E2362" t="s">
        <v>34</v>
      </c>
      <c r="F2362" t="s">
        <v>11</v>
      </c>
      <c r="G2362">
        <v>0</v>
      </c>
    </row>
    <row r="2363" spans="1:7" x14ac:dyDescent="0.2">
      <c r="A2363" t="s">
        <v>864</v>
      </c>
      <c r="B2363" t="s">
        <v>6</v>
      </c>
      <c r="C2363" t="s">
        <v>7</v>
      </c>
      <c r="D2363" t="s">
        <v>35</v>
      </c>
      <c r="E2363" t="s">
        <v>36</v>
      </c>
      <c r="F2363" t="s">
        <v>11</v>
      </c>
      <c r="G2363">
        <v>0</v>
      </c>
    </row>
    <row r="2364" spans="1:7" x14ac:dyDescent="0.2">
      <c r="A2364" t="s">
        <v>864</v>
      </c>
      <c r="B2364" t="s">
        <v>6</v>
      </c>
      <c r="C2364" t="s">
        <v>7</v>
      </c>
      <c r="D2364" t="s">
        <v>37</v>
      </c>
      <c r="E2364" t="s">
        <v>38</v>
      </c>
      <c r="F2364" t="s">
        <v>11</v>
      </c>
      <c r="G2364">
        <v>1</v>
      </c>
    </row>
    <row r="2365" spans="1:7" x14ac:dyDescent="0.2">
      <c r="A2365" t="s">
        <v>864</v>
      </c>
      <c r="B2365" t="s">
        <v>6</v>
      </c>
      <c r="C2365" t="s">
        <v>7</v>
      </c>
      <c r="D2365" t="s">
        <v>39</v>
      </c>
      <c r="E2365" t="s">
        <v>40</v>
      </c>
      <c r="F2365" t="s">
        <v>11</v>
      </c>
      <c r="G2365">
        <v>0</v>
      </c>
    </row>
    <row r="2366" spans="1:7" x14ac:dyDescent="0.2">
      <c r="A2366" t="s">
        <v>864</v>
      </c>
      <c r="B2366" t="s">
        <v>6</v>
      </c>
      <c r="C2366" t="s">
        <v>7</v>
      </c>
      <c r="D2366" t="s">
        <v>41</v>
      </c>
      <c r="E2366" t="s">
        <v>42</v>
      </c>
      <c r="F2366" t="s">
        <v>11</v>
      </c>
      <c r="G2366">
        <v>0</v>
      </c>
    </row>
    <row r="2367" spans="1:7" x14ac:dyDescent="0.2">
      <c r="A2367" t="s">
        <v>864</v>
      </c>
      <c r="B2367" t="s">
        <v>6</v>
      </c>
      <c r="C2367" t="s">
        <v>7</v>
      </c>
      <c r="D2367" t="s">
        <v>43</v>
      </c>
      <c r="E2367" t="s">
        <v>44</v>
      </c>
      <c r="F2367" t="s">
        <v>11</v>
      </c>
      <c r="G2367">
        <v>0</v>
      </c>
    </row>
    <row r="2368" spans="1:7" x14ac:dyDescent="0.2">
      <c r="A2368" t="s">
        <v>864</v>
      </c>
      <c r="B2368" t="s">
        <v>6</v>
      </c>
      <c r="C2368" t="s">
        <v>7</v>
      </c>
      <c r="D2368" t="s">
        <v>45</v>
      </c>
      <c r="G2368">
        <v>11</v>
      </c>
    </row>
    <row r="2369" spans="1:7" x14ac:dyDescent="0.2">
      <c r="A2369" t="s">
        <v>864</v>
      </c>
      <c r="B2369" t="s">
        <v>6</v>
      </c>
      <c r="C2369" t="s">
        <v>7</v>
      </c>
      <c r="D2369" t="s">
        <v>46</v>
      </c>
      <c r="G2369">
        <v>95</v>
      </c>
    </row>
    <row r="2370" spans="1:7" x14ac:dyDescent="0.2">
      <c r="A2370" t="s">
        <v>864</v>
      </c>
      <c r="B2370" t="s">
        <v>47</v>
      </c>
      <c r="C2370" t="s">
        <v>48</v>
      </c>
      <c r="D2370" t="s">
        <v>8</v>
      </c>
      <c r="G2370">
        <v>13226</v>
      </c>
    </row>
    <row r="2371" spans="1:7" x14ac:dyDescent="0.2">
      <c r="A2371" t="s">
        <v>864</v>
      </c>
      <c r="B2371" t="s">
        <v>47</v>
      </c>
      <c r="C2371" t="s">
        <v>48</v>
      </c>
      <c r="D2371" t="s">
        <v>49</v>
      </c>
      <c r="E2371" t="s">
        <v>50</v>
      </c>
      <c r="F2371" t="s">
        <v>51</v>
      </c>
      <c r="G2371">
        <v>1166</v>
      </c>
    </row>
    <row r="2372" spans="1:7" x14ac:dyDescent="0.2">
      <c r="A2372" t="s">
        <v>864</v>
      </c>
      <c r="B2372" t="s">
        <v>47</v>
      </c>
      <c r="C2372" t="s">
        <v>48</v>
      </c>
      <c r="D2372" t="s">
        <v>52</v>
      </c>
      <c r="E2372" t="s">
        <v>53</v>
      </c>
      <c r="F2372" t="s">
        <v>22</v>
      </c>
      <c r="G2372">
        <v>10173</v>
      </c>
    </row>
    <row r="2373" spans="1:7" x14ac:dyDescent="0.2">
      <c r="A2373" t="s">
        <v>864</v>
      </c>
      <c r="B2373" t="s">
        <v>47</v>
      </c>
      <c r="C2373" t="s">
        <v>48</v>
      </c>
      <c r="D2373" t="s">
        <v>54</v>
      </c>
      <c r="E2373" t="s">
        <v>55</v>
      </c>
      <c r="F2373" t="s">
        <v>28</v>
      </c>
      <c r="G2373">
        <v>1429</v>
      </c>
    </row>
    <row r="2374" spans="1:7" x14ac:dyDescent="0.2">
      <c r="A2374" t="s">
        <v>864</v>
      </c>
      <c r="B2374" t="s">
        <v>47</v>
      </c>
      <c r="C2374" t="s">
        <v>48</v>
      </c>
      <c r="D2374" t="s">
        <v>56</v>
      </c>
      <c r="E2374" t="s">
        <v>57</v>
      </c>
      <c r="F2374" t="s">
        <v>11</v>
      </c>
      <c r="G2374">
        <v>2</v>
      </c>
    </row>
    <row r="2375" spans="1:7" x14ac:dyDescent="0.2">
      <c r="A2375" t="s">
        <v>864</v>
      </c>
      <c r="B2375" t="s">
        <v>47</v>
      </c>
      <c r="C2375" t="s">
        <v>48</v>
      </c>
      <c r="D2375" t="s">
        <v>45</v>
      </c>
      <c r="G2375">
        <v>0</v>
      </c>
    </row>
    <row r="2376" spans="1:7" x14ac:dyDescent="0.2">
      <c r="A2376" t="s">
        <v>864</v>
      </c>
      <c r="B2376" t="s">
        <v>47</v>
      </c>
      <c r="C2376" t="s">
        <v>48</v>
      </c>
      <c r="D2376" t="s">
        <v>46</v>
      </c>
      <c r="G2376">
        <v>351</v>
      </c>
    </row>
    <row r="2377" spans="1:7" x14ac:dyDescent="0.2">
      <c r="A2377" t="s">
        <v>864</v>
      </c>
      <c r="B2377" t="s">
        <v>82</v>
      </c>
      <c r="C2377" t="s">
        <v>83</v>
      </c>
      <c r="D2377" t="s">
        <v>8</v>
      </c>
      <c r="G2377">
        <v>13226</v>
      </c>
    </row>
    <row r="2378" spans="1:7" x14ac:dyDescent="0.2">
      <c r="A2378" t="s">
        <v>864</v>
      </c>
      <c r="B2378" t="s">
        <v>82</v>
      </c>
      <c r="C2378" t="s">
        <v>83</v>
      </c>
      <c r="D2378" t="s">
        <v>84</v>
      </c>
      <c r="E2378" t="s">
        <v>85</v>
      </c>
      <c r="F2378" t="s">
        <v>11</v>
      </c>
      <c r="G2378">
        <v>184</v>
      </c>
    </row>
    <row r="2379" spans="1:7" x14ac:dyDescent="0.2">
      <c r="A2379" t="s">
        <v>864</v>
      </c>
      <c r="B2379" t="s">
        <v>82</v>
      </c>
      <c r="C2379" t="s">
        <v>83</v>
      </c>
      <c r="D2379" t="s">
        <v>86</v>
      </c>
      <c r="E2379" t="s">
        <v>87</v>
      </c>
      <c r="F2379" t="s">
        <v>88</v>
      </c>
      <c r="G2379">
        <v>523</v>
      </c>
    </row>
    <row r="2380" spans="1:7" x14ac:dyDescent="0.2">
      <c r="A2380" t="s">
        <v>864</v>
      </c>
      <c r="B2380" t="s">
        <v>82</v>
      </c>
      <c r="C2380" t="s">
        <v>83</v>
      </c>
      <c r="D2380" t="s">
        <v>89</v>
      </c>
      <c r="E2380" t="s">
        <v>90</v>
      </c>
      <c r="F2380" t="s">
        <v>28</v>
      </c>
      <c r="G2380">
        <v>1462</v>
      </c>
    </row>
    <row r="2381" spans="1:7" x14ac:dyDescent="0.2">
      <c r="A2381" t="s">
        <v>864</v>
      </c>
      <c r="B2381" t="s">
        <v>82</v>
      </c>
      <c r="C2381" t="s">
        <v>83</v>
      </c>
      <c r="D2381" t="s">
        <v>91</v>
      </c>
      <c r="E2381" t="s">
        <v>92</v>
      </c>
      <c r="F2381" t="s">
        <v>22</v>
      </c>
      <c r="G2381">
        <v>10617</v>
      </c>
    </row>
    <row r="2382" spans="1:7" x14ac:dyDescent="0.2">
      <c r="A2382" t="s">
        <v>864</v>
      </c>
      <c r="B2382" t="s">
        <v>82</v>
      </c>
      <c r="C2382" t="s">
        <v>83</v>
      </c>
      <c r="D2382" t="s">
        <v>45</v>
      </c>
      <c r="G2382">
        <v>2</v>
      </c>
    </row>
    <row r="2383" spans="1:7" x14ac:dyDescent="0.2">
      <c r="A2383" t="s">
        <v>864</v>
      </c>
      <c r="B2383" t="s">
        <v>82</v>
      </c>
      <c r="C2383" t="s">
        <v>83</v>
      </c>
      <c r="D2383" t="s">
        <v>46</v>
      </c>
      <c r="G2383">
        <v>438</v>
      </c>
    </row>
    <row r="2384" spans="1:7" x14ac:dyDescent="0.2">
      <c r="A2384" t="s">
        <v>864</v>
      </c>
      <c r="B2384" t="s">
        <v>93</v>
      </c>
      <c r="C2384" t="s">
        <v>94</v>
      </c>
      <c r="D2384" t="s">
        <v>8</v>
      </c>
      <c r="G2384">
        <v>13226</v>
      </c>
    </row>
    <row r="2385" spans="1:7" x14ac:dyDescent="0.2">
      <c r="A2385" t="s">
        <v>864</v>
      </c>
      <c r="B2385" t="s">
        <v>93</v>
      </c>
      <c r="C2385" t="s">
        <v>94</v>
      </c>
      <c r="D2385" t="s">
        <v>95</v>
      </c>
      <c r="E2385" t="s">
        <v>96</v>
      </c>
      <c r="F2385" t="s">
        <v>22</v>
      </c>
      <c r="G2385">
        <v>8052</v>
      </c>
    </row>
    <row r="2386" spans="1:7" x14ac:dyDescent="0.2">
      <c r="A2386" t="s">
        <v>864</v>
      </c>
      <c r="B2386" t="s">
        <v>93</v>
      </c>
      <c r="C2386" t="s">
        <v>94</v>
      </c>
      <c r="D2386" t="s">
        <v>97</v>
      </c>
      <c r="E2386" t="s">
        <v>98</v>
      </c>
      <c r="F2386" t="s">
        <v>51</v>
      </c>
      <c r="G2386">
        <v>370</v>
      </c>
    </row>
    <row r="2387" spans="1:7" x14ac:dyDescent="0.2">
      <c r="A2387" t="s">
        <v>864</v>
      </c>
      <c r="B2387" t="s">
        <v>93</v>
      </c>
      <c r="C2387" t="s">
        <v>94</v>
      </c>
      <c r="D2387" t="s">
        <v>99</v>
      </c>
      <c r="E2387" t="s">
        <v>100</v>
      </c>
      <c r="F2387" t="s">
        <v>28</v>
      </c>
      <c r="G2387">
        <v>1240</v>
      </c>
    </row>
    <row r="2388" spans="1:7" x14ac:dyDescent="0.2">
      <c r="A2388" t="s">
        <v>864</v>
      </c>
      <c r="B2388" t="s">
        <v>93</v>
      </c>
      <c r="C2388" t="s">
        <v>94</v>
      </c>
      <c r="D2388" t="s">
        <v>101</v>
      </c>
      <c r="E2388" t="s">
        <v>102</v>
      </c>
      <c r="F2388" t="s">
        <v>25</v>
      </c>
      <c r="G2388">
        <v>322</v>
      </c>
    </row>
    <row r="2389" spans="1:7" x14ac:dyDescent="0.2">
      <c r="A2389" t="s">
        <v>864</v>
      </c>
      <c r="B2389" t="s">
        <v>93</v>
      </c>
      <c r="C2389" t="s">
        <v>94</v>
      </c>
      <c r="D2389" t="s">
        <v>103</v>
      </c>
      <c r="E2389" t="s">
        <v>104</v>
      </c>
      <c r="F2389" t="s">
        <v>11</v>
      </c>
      <c r="G2389">
        <v>68</v>
      </c>
    </row>
    <row r="2390" spans="1:7" x14ac:dyDescent="0.2">
      <c r="A2390" t="s">
        <v>864</v>
      </c>
      <c r="B2390" t="s">
        <v>93</v>
      </c>
      <c r="C2390" t="s">
        <v>94</v>
      </c>
      <c r="D2390" t="s">
        <v>105</v>
      </c>
      <c r="E2390" t="s">
        <v>106</v>
      </c>
      <c r="F2390" t="s">
        <v>11</v>
      </c>
      <c r="G2390">
        <v>2767</v>
      </c>
    </row>
    <row r="2391" spans="1:7" x14ac:dyDescent="0.2">
      <c r="A2391" t="s">
        <v>864</v>
      </c>
      <c r="B2391" t="s">
        <v>93</v>
      </c>
      <c r="C2391" t="s">
        <v>94</v>
      </c>
      <c r="D2391" t="s">
        <v>107</v>
      </c>
      <c r="E2391" t="s">
        <v>108</v>
      </c>
      <c r="F2391" t="s">
        <v>11</v>
      </c>
      <c r="G2391">
        <v>2</v>
      </c>
    </row>
    <row r="2392" spans="1:7" x14ac:dyDescent="0.2">
      <c r="A2392" t="s">
        <v>864</v>
      </c>
      <c r="B2392" t="s">
        <v>93</v>
      </c>
      <c r="C2392" t="s">
        <v>94</v>
      </c>
      <c r="D2392" t="s">
        <v>45</v>
      </c>
      <c r="G2392">
        <v>3</v>
      </c>
    </row>
    <row r="2393" spans="1:7" x14ac:dyDescent="0.2">
      <c r="A2393" t="s">
        <v>864</v>
      </c>
      <c r="B2393" t="s">
        <v>93</v>
      </c>
      <c r="C2393" t="s">
        <v>94</v>
      </c>
      <c r="D2393" t="s">
        <v>46</v>
      </c>
      <c r="G2393">
        <v>302</v>
      </c>
    </row>
    <row r="2394" spans="1:7" x14ac:dyDescent="0.2">
      <c r="A2394" t="s">
        <v>864</v>
      </c>
      <c r="B2394" t="s">
        <v>109</v>
      </c>
      <c r="C2394" t="s">
        <v>110</v>
      </c>
      <c r="D2394" t="s">
        <v>8</v>
      </c>
      <c r="G2394">
        <v>13226</v>
      </c>
    </row>
    <row r="2395" spans="1:7" x14ac:dyDescent="0.2">
      <c r="A2395" t="s">
        <v>864</v>
      </c>
      <c r="B2395" t="s">
        <v>109</v>
      </c>
      <c r="C2395" t="s">
        <v>110</v>
      </c>
      <c r="D2395" t="s">
        <v>111</v>
      </c>
      <c r="E2395" t="s">
        <v>112</v>
      </c>
      <c r="F2395" t="s">
        <v>22</v>
      </c>
      <c r="G2395">
        <v>9751</v>
      </c>
    </row>
    <row r="2396" spans="1:7" x14ac:dyDescent="0.2">
      <c r="A2396" t="s">
        <v>864</v>
      </c>
      <c r="B2396" t="s">
        <v>109</v>
      </c>
      <c r="C2396" t="s">
        <v>110</v>
      </c>
      <c r="D2396" t="s">
        <v>113</v>
      </c>
      <c r="E2396" t="s">
        <v>114</v>
      </c>
      <c r="F2396" t="s">
        <v>28</v>
      </c>
      <c r="G2396">
        <v>1325</v>
      </c>
    </row>
    <row r="2397" spans="1:7" x14ac:dyDescent="0.2">
      <c r="A2397" t="s">
        <v>864</v>
      </c>
      <c r="B2397" t="s">
        <v>109</v>
      </c>
      <c r="C2397" t="s">
        <v>110</v>
      </c>
      <c r="D2397" t="s">
        <v>115</v>
      </c>
      <c r="E2397" t="s">
        <v>116</v>
      </c>
      <c r="F2397" t="s">
        <v>25</v>
      </c>
      <c r="G2397">
        <v>414</v>
      </c>
    </row>
    <row r="2398" spans="1:7" x14ac:dyDescent="0.2">
      <c r="A2398" t="s">
        <v>864</v>
      </c>
      <c r="B2398" t="s">
        <v>109</v>
      </c>
      <c r="C2398" t="s">
        <v>110</v>
      </c>
      <c r="D2398" t="s">
        <v>117</v>
      </c>
      <c r="E2398" t="s">
        <v>118</v>
      </c>
      <c r="F2398" t="s">
        <v>11</v>
      </c>
      <c r="G2398">
        <v>662</v>
      </c>
    </row>
    <row r="2399" spans="1:7" x14ac:dyDescent="0.2">
      <c r="A2399" t="s">
        <v>864</v>
      </c>
      <c r="B2399" t="s">
        <v>109</v>
      </c>
      <c r="C2399" t="s">
        <v>110</v>
      </c>
      <c r="D2399" t="s">
        <v>119</v>
      </c>
      <c r="E2399" t="s">
        <v>120</v>
      </c>
      <c r="F2399" t="s">
        <v>88</v>
      </c>
      <c r="G2399">
        <v>597</v>
      </c>
    </row>
    <row r="2400" spans="1:7" x14ac:dyDescent="0.2">
      <c r="A2400" t="s">
        <v>864</v>
      </c>
      <c r="B2400" t="s">
        <v>109</v>
      </c>
      <c r="C2400" t="s">
        <v>110</v>
      </c>
      <c r="D2400" t="s">
        <v>45</v>
      </c>
      <c r="G2400">
        <v>0</v>
      </c>
    </row>
    <row r="2401" spans="1:7" x14ac:dyDescent="0.2">
      <c r="A2401" t="s">
        <v>864</v>
      </c>
      <c r="B2401" t="s">
        <v>109</v>
      </c>
      <c r="C2401" t="s">
        <v>110</v>
      </c>
      <c r="D2401" t="s">
        <v>46</v>
      </c>
      <c r="G2401">
        <v>477</v>
      </c>
    </row>
    <row r="2402" spans="1:7" x14ac:dyDescent="0.2">
      <c r="A2402" t="s">
        <v>864</v>
      </c>
      <c r="B2402" t="s">
        <v>121</v>
      </c>
      <c r="C2402" t="s">
        <v>122</v>
      </c>
      <c r="D2402" t="s">
        <v>8</v>
      </c>
      <c r="G2402">
        <v>13226</v>
      </c>
    </row>
    <row r="2403" spans="1:7" x14ac:dyDescent="0.2">
      <c r="A2403" t="s">
        <v>864</v>
      </c>
      <c r="B2403" t="s">
        <v>121</v>
      </c>
      <c r="C2403" t="s">
        <v>122</v>
      </c>
      <c r="D2403" t="s">
        <v>123</v>
      </c>
      <c r="E2403" t="s">
        <v>124</v>
      </c>
      <c r="F2403" t="s">
        <v>22</v>
      </c>
      <c r="G2403">
        <v>10183</v>
      </c>
    </row>
    <row r="2404" spans="1:7" x14ac:dyDescent="0.2">
      <c r="A2404" t="s">
        <v>864</v>
      </c>
      <c r="B2404" t="s">
        <v>121</v>
      </c>
      <c r="C2404" t="s">
        <v>122</v>
      </c>
      <c r="D2404" t="s">
        <v>125</v>
      </c>
      <c r="E2404" t="s">
        <v>126</v>
      </c>
      <c r="F2404" t="s">
        <v>16</v>
      </c>
      <c r="G2404">
        <v>981</v>
      </c>
    </row>
    <row r="2405" spans="1:7" x14ac:dyDescent="0.2">
      <c r="A2405" t="s">
        <v>864</v>
      </c>
      <c r="B2405" t="s">
        <v>121</v>
      </c>
      <c r="C2405" t="s">
        <v>122</v>
      </c>
      <c r="D2405" t="s">
        <v>127</v>
      </c>
      <c r="E2405" t="s">
        <v>128</v>
      </c>
      <c r="F2405" t="s">
        <v>28</v>
      </c>
      <c r="G2405">
        <v>1438</v>
      </c>
    </row>
    <row r="2406" spans="1:7" x14ac:dyDescent="0.2">
      <c r="A2406" t="s">
        <v>864</v>
      </c>
      <c r="B2406" t="s">
        <v>121</v>
      </c>
      <c r="C2406" t="s">
        <v>122</v>
      </c>
      <c r="D2406" t="s">
        <v>45</v>
      </c>
      <c r="G2406">
        <v>0</v>
      </c>
    </row>
    <row r="2407" spans="1:7" x14ac:dyDescent="0.2">
      <c r="A2407" t="s">
        <v>864</v>
      </c>
      <c r="B2407" t="s">
        <v>121</v>
      </c>
      <c r="C2407" t="s">
        <v>122</v>
      </c>
      <c r="D2407" t="s">
        <v>46</v>
      </c>
      <c r="G2407">
        <v>624</v>
      </c>
    </row>
    <row r="2408" spans="1:7" x14ac:dyDescent="0.2">
      <c r="A2408" t="s">
        <v>864</v>
      </c>
      <c r="B2408" t="s">
        <v>129</v>
      </c>
      <c r="C2408" t="s">
        <v>130</v>
      </c>
      <c r="D2408" t="s">
        <v>8</v>
      </c>
      <c r="G2408">
        <v>13226</v>
      </c>
    </row>
    <row r="2409" spans="1:7" x14ac:dyDescent="0.2">
      <c r="A2409" t="s">
        <v>864</v>
      </c>
      <c r="B2409" t="s">
        <v>129</v>
      </c>
      <c r="C2409" t="s">
        <v>130</v>
      </c>
      <c r="D2409" t="s">
        <v>131</v>
      </c>
      <c r="E2409" t="s">
        <v>132</v>
      </c>
      <c r="F2409" t="s">
        <v>133</v>
      </c>
      <c r="G2409">
        <v>480</v>
      </c>
    </row>
    <row r="2410" spans="1:7" x14ac:dyDescent="0.2">
      <c r="A2410" t="s">
        <v>864</v>
      </c>
      <c r="B2410" t="s">
        <v>129</v>
      </c>
      <c r="C2410" t="s">
        <v>130</v>
      </c>
      <c r="D2410" t="s">
        <v>134</v>
      </c>
      <c r="E2410" t="s">
        <v>135</v>
      </c>
      <c r="F2410" t="s">
        <v>22</v>
      </c>
      <c r="G2410">
        <v>10534</v>
      </c>
    </row>
    <row r="2411" spans="1:7" x14ac:dyDescent="0.2">
      <c r="A2411" t="s">
        <v>864</v>
      </c>
      <c r="B2411" t="s">
        <v>129</v>
      </c>
      <c r="C2411" t="s">
        <v>130</v>
      </c>
      <c r="D2411" t="s">
        <v>136</v>
      </c>
      <c r="E2411" t="s">
        <v>137</v>
      </c>
      <c r="F2411" t="s">
        <v>28</v>
      </c>
      <c r="G2411">
        <v>1470</v>
      </c>
    </row>
    <row r="2412" spans="1:7" x14ac:dyDescent="0.2">
      <c r="A2412" t="s">
        <v>864</v>
      </c>
      <c r="B2412" t="s">
        <v>129</v>
      </c>
      <c r="C2412" t="s">
        <v>130</v>
      </c>
      <c r="D2412" t="s">
        <v>45</v>
      </c>
      <c r="G2412">
        <v>1</v>
      </c>
    </row>
    <row r="2413" spans="1:7" x14ac:dyDescent="0.2">
      <c r="A2413" t="s">
        <v>864</v>
      </c>
      <c r="B2413" t="s">
        <v>129</v>
      </c>
      <c r="C2413" t="s">
        <v>130</v>
      </c>
      <c r="D2413" t="s">
        <v>46</v>
      </c>
      <c r="G2413">
        <v>741</v>
      </c>
    </row>
    <row r="2414" spans="1:7" x14ac:dyDescent="0.2">
      <c r="A2414" t="s">
        <v>864</v>
      </c>
      <c r="B2414" t="s">
        <v>218</v>
      </c>
      <c r="C2414" t="s">
        <v>219</v>
      </c>
      <c r="D2414" t="s">
        <v>8</v>
      </c>
      <c r="G2414">
        <v>13226</v>
      </c>
    </row>
    <row r="2415" spans="1:7" x14ac:dyDescent="0.2">
      <c r="A2415" t="s">
        <v>864</v>
      </c>
      <c r="B2415" t="s">
        <v>218</v>
      </c>
      <c r="C2415" t="s">
        <v>219</v>
      </c>
      <c r="D2415" t="s">
        <v>220</v>
      </c>
      <c r="E2415" t="s">
        <v>221</v>
      </c>
      <c r="F2415" t="s">
        <v>22</v>
      </c>
      <c r="G2415">
        <v>11185</v>
      </c>
    </row>
    <row r="2416" spans="1:7" x14ac:dyDescent="0.2">
      <c r="A2416" t="s">
        <v>864</v>
      </c>
      <c r="B2416" t="s">
        <v>218</v>
      </c>
      <c r="C2416" t="s">
        <v>219</v>
      </c>
      <c r="D2416" t="s">
        <v>45</v>
      </c>
      <c r="G2416">
        <v>0</v>
      </c>
    </row>
    <row r="2417" spans="1:7" x14ac:dyDescent="0.2">
      <c r="A2417" t="s">
        <v>864</v>
      </c>
      <c r="B2417" t="s">
        <v>218</v>
      </c>
      <c r="C2417" t="s">
        <v>219</v>
      </c>
      <c r="D2417" t="s">
        <v>46</v>
      </c>
      <c r="G2417">
        <v>2041</v>
      </c>
    </row>
    <row r="2418" spans="1:7" x14ac:dyDescent="0.2">
      <c r="A2418" t="s">
        <v>864</v>
      </c>
      <c r="B2418" t="s">
        <v>598</v>
      </c>
      <c r="C2418" t="s">
        <v>599</v>
      </c>
      <c r="D2418" t="s">
        <v>8</v>
      </c>
      <c r="G2418">
        <v>13226</v>
      </c>
    </row>
    <row r="2419" spans="1:7" x14ac:dyDescent="0.2">
      <c r="A2419" t="s">
        <v>864</v>
      </c>
      <c r="B2419" t="s">
        <v>598</v>
      </c>
      <c r="C2419" t="s">
        <v>599</v>
      </c>
      <c r="D2419" t="s">
        <v>600</v>
      </c>
      <c r="E2419" t="s">
        <v>601</v>
      </c>
      <c r="F2419" t="s">
        <v>22</v>
      </c>
      <c r="G2419">
        <v>11111</v>
      </c>
    </row>
    <row r="2420" spans="1:7" x14ac:dyDescent="0.2">
      <c r="A2420" t="s">
        <v>864</v>
      </c>
      <c r="B2420" t="s">
        <v>598</v>
      </c>
      <c r="C2420" t="s">
        <v>599</v>
      </c>
      <c r="D2420" t="s">
        <v>45</v>
      </c>
      <c r="G2420">
        <v>0</v>
      </c>
    </row>
    <row r="2421" spans="1:7" x14ac:dyDescent="0.2">
      <c r="A2421" t="s">
        <v>864</v>
      </c>
      <c r="B2421" t="s">
        <v>598</v>
      </c>
      <c r="C2421" t="s">
        <v>599</v>
      </c>
      <c r="D2421" t="s">
        <v>46</v>
      </c>
      <c r="G2421">
        <v>2115</v>
      </c>
    </row>
    <row r="2422" spans="1:7" x14ac:dyDescent="0.2">
      <c r="A2422" t="s">
        <v>864</v>
      </c>
      <c r="B2422" t="s">
        <v>692</v>
      </c>
      <c r="C2422" t="s">
        <v>693</v>
      </c>
      <c r="D2422" t="s">
        <v>8</v>
      </c>
      <c r="G2422">
        <v>13226</v>
      </c>
    </row>
    <row r="2423" spans="1:7" x14ac:dyDescent="0.2">
      <c r="A2423" t="s">
        <v>864</v>
      </c>
      <c r="B2423" t="s">
        <v>692</v>
      </c>
      <c r="C2423" t="s">
        <v>693</v>
      </c>
      <c r="D2423" t="s">
        <v>694</v>
      </c>
      <c r="E2423" t="s">
        <v>695</v>
      </c>
      <c r="G2423">
        <v>9115</v>
      </c>
    </row>
    <row r="2424" spans="1:7" x14ac:dyDescent="0.2">
      <c r="A2424" t="s">
        <v>864</v>
      </c>
      <c r="B2424" t="s">
        <v>692</v>
      </c>
      <c r="C2424" t="s">
        <v>693</v>
      </c>
      <c r="D2424" t="s">
        <v>696</v>
      </c>
      <c r="E2424" t="s">
        <v>697</v>
      </c>
      <c r="G2424">
        <v>2378</v>
      </c>
    </row>
    <row r="2425" spans="1:7" x14ac:dyDescent="0.2">
      <c r="A2425" t="s">
        <v>864</v>
      </c>
      <c r="B2425" t="s">
        <v>692</v>
      </c>
      <c r="C2425" t="s">
        <v>693</v>
      </c>
      <c r="D2425" t="s">
        <v>45</v>
      </c>
      <c r="G2425">
        <v>6</v>
      </c>
    </row>
    <row r="2426" spans="1:7" x14ac:dyDescent="0.2">
      <c r="A2426" t="s">
        <v>864</v>
      </c>
      <c r="B2426" t="s">
        <v>692</v>
      </c>
      <c r="C2426" t="s">
        <v>693</v>
      </c>
      <c r="D2426" t="s">
        <v>46</v>
      </c>
      <c r="G2426">
        <v>1727</v>
      </c>
    </row>
    <row r="2427" spans="1:7" x14ac:dyDescent="0.2">
      <c r="A2427" t="s">
        <v>864</v>
      </c>
      <c r="B2427" t="s">
        <v>698</v>
      </c>
      <c r="C2427" t="s">
        <v>699</v>
      </c>
      <c r="D2427" t="s">
        <v>8</v>
      </c>
      <c r="G2427">
        <v>13226</v>
      </c>
    </row>
    <row r="2428" spans="1:7" x14ac:dyDescent="0.2">
      <c r="A2428" t="s">
        <v>864</v>
      </c>
      <c r="B2428" t="s">
        <v>698</v>
      </c>
      <c r="C2428" t="s">
        <v>699</v>
      </c>
      <c r="D2428" t="s">
        <v>694</v>
      </c>
      <c r="E2428" t="s">
        <v>700</v>
      </c>
      <c r="G2428">
        <v>9005</v>
      </c>
    </row>
    <row r="2429" spans="1:7" x14ac:dyDescent="0.2">
      <c r="A2429" t="s">
        <v>864</v>
      </c>
      <c r="B2429" t="s">
        <v>698</v>
      </c>
      <c r="C2429" t="s">
        <v>699</v>
      </c>
      <c r="D2429" t="s">
        <v>696</v>
      </c>
      <c r="E2429" t="s">
        <v>701</v>
      </c>
      <c r="G2429">
        <v>2386</v>
      </c>
    </row>
    <row r="2430" spans="1:7" x14ac:dyDescent="0.2">
      <c r="A2430" t="s">
        <v>864</v>
      </c>
      <c r="B2430" t="s">
        <v>698</v>
      </c>
      <c r="C2430" t="s">
        <v>699</v>
      </c>
      <c r="D2430" t="s">
        <v>45</v>
      </c>
      <c r="G2430">
        <v>0</v>
      </c>
    </row>
    <row r="2431" spans="1:7" x14ac:dyDescent="0.2">
      <c r="A2431" t="s">
        <v>864</v>
      </c>
      <c r="B2431" t="s">
        <v>698</v>
      </c>
      <c r="C2431" t="s">
        <v>699</v>
      </c>
      <c r="D2431" t="s">
        <v>46</v>
      </c>
      <c r="G2431">
        <v>1835</v>
      </c>
    </row>
    <row r="2432" spans="1:7" x14ac:dyDescent="0.2">
      <c r="A2432" t="s">
        <v>864</v>
      </c>
      <c r="B2432" t="s">
        <v>834</v>
      </c>
      <c r="C2432" t="s">
        <v>835</v>
      </c>
      <c r="D2432" t="s">
        <v>8</v>
      </c>
      <c r="G2432">
        <v>13226</v>
      </c>
    </row>
    <row r="2433" spans="1:7" x14ac:dyDescent="0.2">
      <c r="A2433" t="s">
        <v>864</v>
      </c>
      <c r="B2433" t="s">
        <v>834</v>
      </c>
      <c r="C2433" t="s">
        <v>835</v>
      </c>
      <c r="D2433" t="s">
        <v>836</v>
      </c>
      <c r="E2433" t="s">
        <v>837</v>
      </c>
      <c r="G2433">
        <v>7766</v>
      </c>
    </row>
    <row r="2434" spans="1:7" x14ac:dyDescent="0.2">
      <c r="A2434" t="s">
        <v>864</v>
      </c>
      <c r="B2434" t="s">
        <v>834</v>
      </c>
      <c r="C2434" t="s">
        <v>835</v>
      </c>
      <c r="D2434" t="s">
        <v>838</v>
      </c>
      <c r="E2434" t="s">
        <v>839</v>
      </c>
      <c r="G2434">
        <v>4648</v>
      </c>
    </row>
    <row r="2435" spans="1:7" x14ac:dyDescent="0.2">
      <c r="A2435" t="s">
        <v>864</v>
      </c>
      <c r="B2435" t="s">
        <v>834</v>
      </c>
      <c r="C2435" t="s">
        <v>835</v>
      </c>
      <c r="D2435" t="s">
        <v>45</v>
      </c>
      <c r="G2435">
        <v>7</v>
      </c>
    </row>
    <row r="2436" spans="1:7" x14ac:dyDescent="0.2">
      <c r="A2436" t="s">
        <v>864</v>
      </c>
      <c r="B2436" t="s">
        <v>834</v>
      </c>
      <c r="C2436" t="s">
        <v>835</v>
      </c>
      <c r="D2436" t="s">
        <v>46</v>
      </c>
      <c r="G2436">
        <v>805</v>
      </c>
    </row>
    <row r="2437" spans="1:7" x14ac:dyDescent="0.2">
      <c r="A2437" t="s">
        <v>864</v>
      </c>
      <c r="B2437" t="s">
        <v>840</v>
      </c>
      <c r="C2437" t="s">
        <v>841</v>
      </c>
      <c r="D2437" t="s">
        <v>8</v>
      </c>
      <c r="G2437">
        <v>13226</v>
      </c>
    </row>
    <row r="2438" spans="1:7" x14ac:dyDescent="0.2">
      <c r="A2438" t="s">
        <v>864</v>
      </c>
      <c r="B2438" t="s">
        <v>840</v>
      </c>
      <c r="C2438" t="s">
        <v>841</v>
      </c>
      <c r="D2438" t="s">
        <v>836</v>
      </c>
      <c r="E2438" t="s">
        <v>842</v>
      </c>
      <c r="G2438">
        <v>10780</v>
      </c>
    </row>
    <row r="2439" spans="1:7" x14ac:dyDescent="0.2">
      <c r="A2439" t="s">
        <v>864</v>
      </c>
      <c r="B2439" t="s">
        <v>840</v>
      </c>
      <c r="C2439" t="s">
        <v>841</v>
      </c>
      <c r="D2439" t="s">
        <v>838</v>
      </c>
      <c r="E2439" t="s">
        <v>843</v>
      </c>
      <c r="G2439">
        <v>1739</v>
      </c>
    </row>
    <row r="2440" spans="1:7" x14ac:dyDescent="0.2">
      <c r="A2440" t="s">
        <v>864</v>
      </c>
      <c r="B2440" t="s">
        <v>840</v>
      </c>
      <c r="C2440" t="s">
        <v>841</v>
      </c>
      <c r="D2440" t="s">
        <v>45</v>
      </c>
      <c r="G2440">
        <v>0</v>
      </c>
    </row>
    <row r="2441" spans="1:7" x14ac:dyDescent="0.2">
      <c r="A2441" t="s">
        <v>864</v>
      </c>
      <c r="B2441" t="s">
        <v>840</v>
      </c>
      <c r="C2441" t="s">
        <v>841</v>
      </c>
      <c r="D2441" t="s">
        <v>46</v>
      </c>
      <c r="G2441">
        <v>707</v>
      </c>
    </row>
    <row r="2442" spans="1:7" x14ac:dyDescent="0.2">
      <c r="A2442" t="s">
        <v>865</v>
      </c>
      <c r="B2442" t="s">
        <v>6</v>
      </c>
      <c r="C2442" t="s">
        <v>7</v>
      </c>
      <c r="D2442" t="s">
        <v>8</v>
      </c>
      <c r="G2442">
        <v>11072</v>
      </c>
    </row>
    <row r="2443" spans="1:7" x14ac:dyDescent="0.2">
      <c r="A2443" t="s">
        <v>865</v>
      </c>
      <c r="B2443" t="s">
        <v>6</v>
      </c>
      <c r="C2443" t="s">
        <v>7</v>
      </c>
      <c r="D2443" t="s">
        <v>9</v>
      </c>
      <c r="E2443" t="s">
        <v>10</v>
      </c>
      <c r="F2443" t="s">
        <v>11</v>
      </c>
      <c r="G2443">
        <v>4</v>
      </c>
    </row>
    <row r="2444" spans="1:7" x14ac:dyDescent="0.2">
      <c r="A2444" t="s">
        <v>865</v>
      </c>
      <c r="B2444" t="s">
        <v>6</v>
      </c>
      <c r="C2444" t="s">
        <v>7</v>
      </c>
      <c r="D2444" t="s">
        <v>12</v>
      </c>
      <c r="E2444" t="s">
        <v>13</v>
      </c>
      <c r="F2444" t="s">
        <v>11</v>
      </c>
      <c r="G2444">
        <v>11</v>
      </c>
    </row>
    <row r="2445" spans="1:7" x14ac:dyDescent="0.2">
      <c r="A2445" t="s">
        <v>865</v>
      </c>
      <c r="B2445" t="s">
        <v>6</v>
      </c>
      <c r="C2445" t="s">
        <v>7</v>
      </c>
      <c r="D2445" t="s">
        <v>14</v>
      </c>
      <c r="E2445" t="s">
        <v>15</v>
      </c>
      <c r="F2445" t="s">
        <v>16</v>
      </c>
      <c r="G2445">
        <v>47</v>
      </c>
    </row>
    <row r="2446" spans="1:7" x14ac:dyDescent="0.2">
      <c r="A2446" t="s">
        <v>865</v>
      </c>
      <c r="B2446" t="s">
        <v>6</v>
      </c>
      <c r="C2446" t="s">
        <v>7</v>
      </c>
      <c r="D2446" t="s">
        <v>17</v>
      </c>
      <c r="E2446" t="s">
        <v>18</v>
      </c>
      <c r="F2446" t="s">
        <v>19</v>
      </c>
      <c r="G2446">
        <v>27</v>
      </c>
    </row>
    <row r="2447" spans="1:7" x14ac:dyDescent="0.2">
      <c r="A2447" t="s">
        <v>865</v>
      </c>
      <c r="B2447" t="s">
        <v>6</v>
      </c>
      <c r="C2447" t="s">
        <v>7</v>
      </c>
      <c r="D2447" t="s">
        <v>20</v>
      </c>
      <c r="E2447" t="s">
        <v>21</v>
      </c>
      <c r="F2447" t="s">
        <v>22</v>
      </c>
      <c r="G2447">
        <v>9526</v>
      </c>
    </row>
    <row r="2448" spans="1:7" x14ac:dyDescent="0.2">
      <c r="A2448" t="s">
        <v>865</v>
      </c>
      <c r="B2448" t="s">
        <v>6</v>
      </c>
      <c r="C2448" t="s">
        <v>7</v>
      </c>
      <c r="D2448" t="s">
        <v>23</v>
      </c>
      <c r="E2448" t="s">
        <v>24</v>
      </c>
      <c r="F2448" t="s">
        <v>25</v>
      </c>
      <c r="G2448">
        <v>64</v>
      </c>
    </row>
    <row r="2449" spans="1:7" x14ac:dyDescent="0.2">
      <c r="A2449" t="s">
        <v>865</v>
      </c>
      <c r="B2449" t="s">
        <v>6</v>
      </c>
      <c r="C2449" t="s">
        <v>7</v>
      </c>
      <c r="D2449" t="s">
        <v>26</v>
      </c>
      <c r="E2449" t="s">
        <v>27</v>
      </c>
      <c r="F2449" t="s">
        <v>28</v>
      </c>
      <c r="G2449">
        <v>1236</v>
      </c>
    </row>
    <row r="2450" spans="1:7" x14ac:dyDescent="0.2">
      <c r="A2450" t="s">
        <v>865</v>
      </c>
      <c r="B2450" t="s">
        <v>6</v>
      </c>
      <c r="C2450" t="s">
        <v>7</v>
      </c>
      <c r="D2450" t="s">
        <v>29</v>
      </c>
      <c r="E2450" t="s">
        <v>30</v>
      </c>
      <c r="F2450" t="s">
        <v>11</v>
      </c>
      <c r="G2450">
        <v>11</v>
      </c>
    </row>
    <row r="2451" spans="1:7" x14ac:dyDescent="0.2">
      <c r="A2451" t="s">
        <v>865</v>
      </c>
      <c r="B2451" t="s">
        <v>6</v>
      </c>
      <c r="C2451" t="s">
        <v>7</v>
      </c>
      <c r="D2451" t="s">
        <v>31</v>
      </c>
      <c r="E2451" t="s">
        <v>32</v>
      </c>
      <c r="F2451" t="s">
        <v>11</v>
      </c>
      <c r="G2451">
        <v>0</v>
      </c>
    </row>
    <row r="2452" spans="1:7" x14ac:dyDescent="0.2">
      <c r="A2452" t="s">
        <v>865</v>
      </c>
      <c r="B2452" t="s">
        <v>6</v>
      </c>
      <c r="C2452" t="s">
        <v>7</v>
      </c>
      <c r="D2452" t="s">
        <v>33</v>
      </c>
      <c r="E2452" t="s">
        <v>34</v>
      </c>
      <c r="F2452" t="s">
        <v>11</v>
      </c>
      <c r="G2452">
        <v>0</v>
      </c>
    </row>
    <row r="2453" spans="1:7" x14ac:dyDescent="0.2">
      <c r="A2453" t="s">
        <v>865</v>
      </c>
      <c r="B2453" t="s">
        <v>6</v>
      </c>
      <c r="C2453" t="s">
        <v>7</v>
      </c>
      <c r="D2453" t="s">
        <v>35</v>
      </c>
      <c r="E2453" t="s">
        <v>36</v>
      </c>
      <c r="F2453" t="s">
        <v>11</v>
      </c>
      <c r="G2453">
        <v>0</v>
      </c>
    </row>
    <row r="2454" spans="1:7" x14ac:dyDescent="0.2">
      <c r="A2454" t="s">
        <v>865</v>
      </c>
      <c r="B2454" t="s">
        <v>6</v>
      </c>
      <c r="C2454" t="s">
        <v>7</v>
      </c>
      <c r="D2454" t="s">
        <v>37</v>
      </c>
      <c r="E2454" t="s">
        <v>38</v>
      </c>
      <c r="F2454" t="s">
        <v>11</v>
      </c>
      <c r="G2454">
        <v>0</v>
      </c>
    </row>
    <row r="2455" spans="1:7" x14ac:dyDescent="0.2">
      <c r="A2455" t="s">
        <v>865</v>
      </c>
      <c r="B2455" t="s">
        <v>6</v>
      </c>
      <c r="C2455" t="s">
        <v>7</v>
      </c>
      <c r="D2455" t="s">
        <v>39</v>
      </c>
      <c r="E2455" t="s">
        <v>40</v>
      </c>
      <c r="F2455" t="s">
        <v>11</v>
      </c>
      <c r="G2455">
        <v>0</v>
      </c>
    </row>
    <row r="2456" spans="1:7" x14ac:dyDescent="0.2">
      <c r="A2456" t="s">
        <v>865</v>
      </c>
      <c r="B2456" t="s">
        <v>6</v>
      </c>
      <c r="C2456" t="s">
        <v>7</v>
      </c>
      <c r="D2456" t="s">
        <v>41</v>
      </c>
      <c r="E2456" t="s">
        <v>42</v>
      </c>
      <c r="F2456" t="s">
        <v>11</v>
      </c>
      <c r="G2456">
        <v>0</v>
      </c>
    </row>
    <row r="2457" spans="1:7" x14ac:dyDescent="0.2">
      <c r="A2457" t="s">
        <v>865</v>
      </c>
      <c r="B2457" t="s">
        <v>6</v>
      </c>
      <c r="C2457" t="s">
        <v>7</v>
      </c>
      <c r="D2457" t="s">
        <v>43</v>
      </c>
      <c r="E2457" t="s">
        <v>44</v>
      </c>
      <c r="F2457" t="s">
        <v>11</v>
      </c>
      <c r="G2457">
        <v>0</v>
      </c>
    </row>
    <row r="2458" spans="1:7" x14ac:dyDescent="0.2">
      <c r="A2458" t="s">
        <v>865</v>
      </c>
      <c r="B2458" t="s">
        <v>6</v>
      </c>
      <c r="C2458" t="s">
        <v>7</v>
      </c>
      <c r="D2458" t="s">
        <v>45</v>
      </c>
      <c r="G2458">
        <v>1</v>
      </c>
    </row>
    <row r="2459" spans="1:7" x14ac:dyDescent="0.2">
      <c r="A2459" t="s">
        <v>865</v>
      </c>
      <c r="B2459" t="s">
        <v>6</v>
      </c>
      <c r="C2459" t="s">
        <v>7</v>
      </c>
      <c r="D2459" t="s">
        <v>46</v>
      </c>
      <c r="G2459">
        <v>80</v>
      </c>
    </row>
    <row r="2460" spans="1:7" x14ac:dyDescent="0.2">
      <c r="A2460" t="s">
        <v>865</v>
      </c>
      <c r="B2460" t="s">
        <v>47</v>
      </c>
      <c r="C2460" t="s">
        <v>48</v>
      </c>
      <c r="D2460" t="s">
        <v>8</v>
      </c>
      <c r="G2460">
        <v>11072</v>
      </c>
    </row>
    <row r="2461" spans="1:7" x14ac:dyDescent="0.2">
      <c r="A2461" t="s">
        <v>865</v>
      </c>
      <c r="B2461" t="s">
        <v>47</v>
      </c>
      <c r="C2461" t="s">
        <v>48</v>
      </c>
      <c r="D2461" t="s">
        <v>49</v>
      </c>
      <c r="E2461" t="s">
        <v>50</v>
      </c>
      <c r="F2461" t="s">
        <v>51</v>
      </c>
      <c r="G2461">
        <v>739</v>
      </c>
    </row>
    <row r="2462" spans="1:7" x14ac:dyDescent="0.2">
      <c r="A2462" t="s">
        <v>865</v>
      </c>
      <c r="B2462" t="s">
        <v>47</v>
      </c>
      <c r="C2462" t="s">
        <v>48</v>
      </c>
      <c r="D2462" t="s">
        <v>52</v>
      </c>
      <c r="E2462" t="s">
        <v>53</v>
      </c>
      <c r="F2462" t="s">
        <v>22</v>
      </c>
      <c r="G2462">
        <v>9103</v>
      </c>
    </row>
    <row r="2463" spans="1:7" x14ac:dyDescent="0.2">
      <c r="A2463" t="s">
        <v>865</v>
      </c>
      <c r="B2463" t="s">
        <v>47</v>
      </c>
      <c r="C2463" t="s">
        <v>48</v>
      </c>
      <c r="D2463" t="s">
        <v>54</v>
      </c>
      <c r="E2463" t="s">
        <v>55</v>
      </c>
      <c r="F2463" t="s">
        <v>28</v>
      </c>
      <c r="G2463">
        <v>938</v>
      </c>
    </row>
    <row r="2464" spans="1:7" x14ac:dyDescent="0.2">
      <c r="A2464" t="s">
        <v>865</v>
      </c>
      <c r="B2464" t="s">
        <v>47</v>
      </c>
      <c r="C2464" t="s">
        <v>48</v>
      </c>
      <c r="D2464" t="s">
        <v>56</v>
      </c>
      <c r="E2464" t="s">
        <v>57</v>
      </c>
      <c r="F2464" t="s">
        <v>11</v>
      </c>
      <c r="G2464">
        <v>0</v>
      </c>
    </row>
    <row r="2465" spans="1:7" x14ac:dyDescent="0.2">
      <c r="A2465" t="s">
        <v>865</v>
      </c>
      <c r="B2465" t="s">
        <v>47</v>
      </c>
      <c r="C2465" t="s">
        <v>48</v>
      </c>
      <c r="D2465" t="s">
        <v>45</v>
      </c>
      <c r="G2465">
        <v>4</v>
      </c>
    </row>
    <row r="2466" spans="1:7" x14ac:dyDescent="0.2">
      <c r="A2466" t="s">
        <v>865</v>
      </c>
      <c r="B2466" t="s">
        <v>47</v>
      </c>
      <c r="C2466" t="s">
        <v>48</v>
      </c>
      <c r="D2466" t="s">
        <v>46</v>
      </c>
      <c r="G2466">
        <v>249</v>
      </c>
    </row>
    <row r="2467" spans="1:7" x14ac:dyDescent="0.2">
      <c r="A2467" t="s">
        <v>865</v>
      </c>
      <c r="B2467" t="s">
        <v>66</v>
      </c>
      <c r="C2467" t="s">
        <v>67</v>
      </c>
      <c r="D2467" t="s">
        <v>8</v>
      </c>
      <c r="G2467">
        <v>11072</v>
      </c>
    </row>
    <row r="2468" spans="1:7" x14ac:dyDescent="0.2">
      <c r="A2468" t="s">
        <v>865</v>
      </c>
      <c r="B2468" t="s">
        <v>66</v>
      </c>
      <c r="C2468" t="s">
        <v>67</v>
      </c>
      <c r="D2468" t="s">
        <v>68</v>
      </c>
      <c r="E2468" t="s">
        <v>69</v>
      </c>
      <c r="F2468" t="s">
        <v>28</v>
      </c>
      <c r="G2468">
        <v>912</v>
      </c>
    </row>
    <row r="2469" spans="1:7" x14ac:dyDescent="0.2">
      <c r="A2469" t="s">
        <v>865</v>
      </c>
      <c r="B2469" t="s">
        <v>66</v>
      </c>
      <c r="C2469" t="s">
        <v>67</v>
      </c>
      <c r="D2469" t="s">
        <v>70</v>
      </c>
      <c r="E2469" t="s">
        <v>71</v>
      </c>
      <c r="F2469" t="s">
        <v>16</v>
      </c>
      <c r="G2469">
        <v>608</v>
      </c>
    </row>
    <row r="2470" spans="1:7" x14ac:dyDescent="0.2">
      <c r="A2470" t="s">
        <v>865</v>
      </c>
      <c r="B2470" t="s">
        <v>66</v>
      </c>
      <c r="C2470" t="s">
        <v>67</v>
      </c>
      <c r="D2470" t="s">
        <v>72</v>
      </c>
      <c r="E2470" t="s">
        <v>73</v>
      </c>
      <c r="F2470" t="s">
        <v>22</v>
      </c>
      <c r="G2470">
        <v>8948</v>
      </c>
    </row>
    <row r="2471" spans="1:7" x14ac:dyDescent="0.2">
      <c r="A2471" t="s">
        <v>865</v>
      </c>
      <c r="B2471" t="s">
        <v>66</v>
      </c>
      <c r="C2471" t="s">
        <v>67</v>
      </c>
      <c r="D2471" t="s">
        <v>74</v>
      </c>
      <c r="E2471" t="s">
        <v>75</v>
      </c>
      <c r="F2471" t="s">
        <v>11</v>
      </c>
      <c r="G2471">
        <v>192</v>
      </c>
    </row>
    <row r="2472" spans="1:7" x14ac:dyDescent="0.2">
      <c r="A2472" t="s">
        <v>865</v>
      </c>
      <c r="B2472" t="s">
        <v>66</v>
      </c>
      <c r="C2472" t="s">
        <v>67</v>
      </c>
      <c r="D2472" t="s">
        <v>45</v>
      </c>
      <c r="G2472">
        <v>2</v>
      </c>
    </row>
    <row r="2473" spans="1:7" x14ac:dyDescent="0.2">
      <c r="A2473" t="s">
        <v>865</v>
      </c>
      <c r="B2473" t="s">
        <v>66</v>
      </c>
      <c r="C2473" t="s">
        <v>67</v>
      </c>
      <c r="D2473" t="s">
        <v>46</v>
      </c>
      <c r="G2473">
        <v>410</v>
      </c>
    </row>
    <row r="2474" spans="1:7" x14ac:dyDescent="0.2">
      <c r="A2474" t="s">
        <v>865</v>
      </c>
      <c r="B2474" t="s">
        <v>93</v>
      </c>
      <c r="C2474" t="s">
        <v>94</v>
      </c>
      <c r="D2474" t="s">
        <v>8</v>
      </c>
      <c r="G2474">
        <v>11072</v>
      </c>
    </row>
    <row r="2475" spans="1:7" x14ac:dyDescent="0.2">
      <c r="A2475" t="s">
        <v>865</v>
      </c>
      <c r="B2475" t="s">
        <v>93</v>
      </c>
      <c r="C2475" t="s">
        <v>94</v>
      </c>
      <c r="D2475" t="s">
        <v>95</v>
      </c>
      <c r="E2475" t="s">
        <v>96</v>
      </c>
      <c r="F2475" t="s">
        <v>22</v>
      </c>
      <c r="G2475">
        <v>7341</v>
      </c>
    </row>
    <row r="2476" spans="1:7" x14ac:dyDescent="0.2">
      <c r="A2476" t="s">
        <v>865</v>
      </c>
      <c r="B2476" t="s">
        <v>93</v>
      </c>
      <c r="C2476" t="s">
        <v>94</v>
      </c>
      <c r="D2476" t="s">
        <v>97</v>
      </c>
      <c r="E2476" t="s">
        <v>98</v>
      </c>
      <c r="F2476" t="s">
        <v>51</v>
      </c>
      <c r="G2476">
        <v>246</v>
      </c>
    </row>
    <row r="2477" spans="1:7" x14ac:dyDescent="0.2">
      <c r="A2477" t="s">
        <v>865</v>
      </c>
      <c r="B2477" t="s">
        <v>93</v>
      </c>
      <c r="C2477" t="s">
        <v>94</v>
      </c>
      <c r="D2477" t="s">
        <v>99</v>
      </c>
      <c r="E2477" t="s">
        <v>100</v>
      </c>
      <c r="F2477" t="s">
        <v>28</v>
      </c>
      <c r="G2477">
        <v>777</v>
      </c>
    </row>
    <row r="2478" spans="1:7" x14ac:dyDescent="0.2">
      <c r="A2478" t="s">
        <v>865</v>
      </c>
      <c r="B2478" t="s">
        <v>93</v>
      </c>
      <c r="C2478" t="s">
        <v>94</v>
      </c>
      <c r="D2478" t="s">
        <v>101</v>
      </c>
      <c r="E2478" t="s">
        <v>102</v>
      </c>
      <c r="F2478" t="s">
        <v>25</v>
      </c>
      <c r="G2478">
        <v>213</v>
      </c>
    </row>
    <row r="2479" spans="1:7" x14ac:dyDescent="0.2">
      <c r="A2479" t="s">
        <v>865</v>
      </c>
      <c r="B2479" t="s">
        <v>93</v>
      </c>
      <c r="C2479" t="s">
        <v>94</v>
      </c>
      <c r="D2479" t="s">
        <v>103</v>
      </c>
      <c r="E2479" t="s">
        <v>104</v>
      </c>
      <c r="F2479" t="s">
        <v>11</v>
      </c>
      <c r="G2479">
        <v>43</v>
      </c>
    </row>
    <row r="2480" spans="1:7" x14ac:dyDescent="0.2">
      <c r="A2480" t="s">
        <v>865</v>
      </c>
      <c r="B2480" t="s">
        <v>93</v>
      </c>
      <c r="C2480" t="s">
        <v>94</v>
      </c>
      <c r="D2480" t="s">
        <v>105</v>
      </c>
      <c r="E2480" t="s">
        <v>106</v>
      </c>
      <c r="F2480" t="s">
        <v>11</v>
      </c>
      <c r="G2480">
        <v>2162</v>
      </c>
    </row>
    <row r="2481" spans="1:7" x14ac:dyDescent="0.2">
      <c r="A2481" t="s">
        <v>865</v>
      </c>
      <c r="B2481" t="s">
        <v>93</v>
      </c>
      <c r="C2481" t="s">
        <v>94</v>
      </c>
      <c r="D2481" t="s">
        <v>107</v>
      </c>
      <c r="E2481" t="s">
        <v>108</v>
      </c>
      <c r="F2481" t="s">
        <v>11</v>
      </c>
      <c r="G2481">
        <v>4</v>
      </c>
    </row>
    <row r="2482" spans="1:7" x14ac:dyDescent="0.2">
      <c r="A2482" t="s">
        <v>865</v>
      </c>
      <c r="B2482" t="s">
        <v>93</v>
      </c>
      <c r="C2482" t="s">
        <v>94</v>
      </c>
      <c r="D2482" t="s">
        <v>45</v>
      </c>
      <c r="G2482">
        <v>2</v>
      </c>
    </row>
    <row r="2483" spans="1:7" x14ac:dyDescent="0.2">
      <c r="A2483" t="s">
        <v>865</v>
      </c>
      <c r="B2483" t="s">
        <v>93</v>
      </c>
      <c r="C2483" t="s">
        <v>94</v>
      </c>
      <c r="D2483" t="s">
        <v>46</v>
      </c>
      <c r="G2483">
        <v>255</v>
      </c>
    </row>
    <row r="2484" spans="1:7" x14ac:dyDescent="0.2">
      <c r="A2484" t="s">
        <v>865</v>
      </c>
      <c r="B2484" t="s">
        <v>109</v>
      </c>
      <c r="C2484" t="s">
        <v>110</v>
      </c>
      <c r="D2484" t="s">
        <v>8</v>
      </c>
      <c r="G2484">
        <v>11072</v>
      </c>
    </row>
    <row r="2485" spans="1:7" x14ac:dyDescent="0.2">
      <c r="A2485" t="s">
        <v>865</v>
      </c>
      <c r="B2485" t="s">
        <v>109</v>
      </c>
      <c r="C2485" t="s">
        <v>110</v>
      </c>
      <c r="D2485" t="s">
        <v>111</v>
      </c>
      <c r="E2485" t="s">
        <v>112</v>
      </c>
      <c r="F2485" t="s">
        <v>22</v>
      </c>
      <c r="G2485">
        <v>9011</v>
      </c>
    </row>
    <row r="2486" spans="1:7" x14ac:dyDescent="0.2">
      <c r="A2486" t="s">
        <v>865</v>
      </c>
      <c r="B2486" t="s">
        <v>109</v>
      </c>
      <c r="C2486" t="s">
        <v>110</v>
      </c>
      <c r="D2486" t="s">
        <v>113</v>
      </c>
      <c r="E2486" t="s">
        <v>114</v>
      </c>
      <c r="F2486" t="s">
        <v>28</v>
      </c>
      <c r="G2486">
        <v>850</v>
      </c>
    </row>
    <row r="2487" spans="1:7" x14ac:dyDescent="0.2">
      <c r="A2487" t="s">
        <v>865</v>
      </c>
      <c r="B2487" t="s">
        <v>109</v>
      </c>
      <c r="C2487" t="s">
        <v>110</v>
      </c>
      <c r="D2487" t="s">
        <v>115</v>
      </c>
      <c r="E2487" t="s">
        <v>116</v>
      </c>
      <c r="F2487" t="s">
        <v>25</v>
      </c>
      <c r="G2487">
        <v>271</v>
      </c>
    </row>
    <row r="2488" spans="1:7" x14ac:dyDescent="0.2">
      <c r="A2488" t="s">
        <v>865</v>
      </c>
      <c r="B2488" t="s">
        <v>109</v>
      </c>
      <c r="C2488" t="s">
        <v>110</v>
      </c>
      <c r="D2488" t="s">
        <v>117</v>
      </c>
      <c r="E2488" t="s">
        <v>118</v>
      </c>
      <c r="F2488" t="s">
        <v>11</v>
      </c>
      <c r="G2488">
        <v>284</v>
      </c>
    </row>
    <row r="2489" spans="1:7" x14ac:dyDescent="0.2">
      <c r="A2489" t="s">
        <v>865</v>
      </c>
      <c r="B2489" t="s">
        <v>109</v>
      </c>
      <c r="C2489" t="s">
        <v>110</v>
      </c>
      <c r="D2489" t="s">
        <v>119</v>
      </c>
      <c r="E2489" t="s">
        <v>120</v>
      </c>
      <c r="F2489" t="s">
        <v>88</v>
      </c>
      <c r="G2489">
        <v>275</v>
      </c>
    </row>
    <row r="2490" spans="1:7" x14ac:dyDescent="0.2">
      <c r="A2490" t="s">
        <v>865</v>
      </c>
      <c r="B2490" t="s">
        <v>109</v>
      </c>
      <c r="C2490" t="s">
        <v>110</v>
      </c>
      <c r="D2490" t="s">
        <v>45</v>
      </c>
      <c r="G2490">
        <v>1</v>
      </c>
    </row>
    <row r="2491" spans="1:7" x14ac:dyDescent="0.2">
      <c r="A2491" t="s">
        <v>865</v>
      </c>
      <c r="B2491" t="s">
        <v>109</v>
      </c>
      <c r="C2491" t="s">
        <v>110</v>
      </c>
      <c r="D2491" t="s">
        <v>46</v>
      </c>
      <c r="G2491">
        <v>380</v>
      </c>
    </row>
    <row r="2492" spans="1:7" x14ac:dyDescent="0.2">
      <c r="A2492" t="s">
        <v>865</v>
      </c>
      <c r="B2492" t="s">
        <v>121</v>
      </c>
      <c r="C2492" t="s">
        <v>122</v>
      </c>
      <c r="D2492" t="s">
        <v>8</v>
      </c>
      <c r="G2492">
        <v>11072</v>
      </c>
    </row>
    <row r="2493" spans="1:7" x14ac:dyDescent="0.2">
      <c r="A2493" t="s">
        <v>865</v>
      </c>
      <c r="B2493" t="s">
        <v>121</v>
      </c>
      <c r="C2493" t="s">
        <v>122</v>
      </c>
      <c r="D2493" t="s">
        <v>123</v>
      </c>
      <c r="E2493" t="s">
        <v>124</v>
      </c>
      <c r="F2493" t="s">
        <v>22</v>
      </c>
      <c r="G2493">
        <v>9176</v>
      </c>
    </row>
    <row r="2494" spans="1:7" x14ac:dyDescent="0.2">
      <c r="A2494" t="s">
        <v>865</v>
      </c>
      <c r="B2494" t="s">
        <v>121</v>
      </c>
      <c r="C2494" t="s">
        <v>122</v>
      </c>
      <c r="D2494" t="s">
        <v>125</v>
      </c>
      <c r="E2494" t="s">
        <v>126</v>
      </c>
      <c r="F2494" t="s">
        <v>16</v>
      </c>
      <c r="G2494">
        <v>514</v>
      </c>
    </row>
    <row r="2495" spans="1:7" x14ac:dyDescent="0.2">
      <c r="A2495" t="s">
        <v>865</v>
      </c>
      <c r="B2495" t="s">
        <v>121</v>
      </c>
      <c r="C2495" t="s">
        <v>122</v>
      </c>
      <c r="D2495" t="s">
        <v>127</v>
      </c>
      <c r="E2495" t="s">
        <v>128</v>
      </c>
      <c r="F2495" t="s">
        <v>28</v>
      </c>
      <c r="G2495">
        <v>909</v>
      </c>
    </row>
    <row r="2496" spans="1:7" x14ac:dyDescent="0.2">
      <c r="A2496" t="s">
        <v>865</v>
      </c>
      <c r="B2496" t="s">
        <v>121</v>
      </c>
      <c r="C2496" t="s">
        <v>122</v>
      </c>
      <c r="D2496" t="s">
        <v>45</v>
      </c>
      <c r="G2496">
        <v>1</v>
      </c>
    </row>
    <row r="2497" spans="1:7" x14ac:dyDescent="0.2">
      <c r="A2497" t="s">
        <v>865</v>
      </c>
      <c r="B2497" t="s">
        <v>121</v>
      </c>
      <c r="C2497" t="s">
        <v>122</v>
      </c>
      <c r="D2497" t="s">
        <v>46</v>
      </c>
      <c r="G2497">
        <v>472</v>
      </c>
    </row>
    <row r="2498" spans="1:7" x14ac:dyDescent="0.2">
      <c r="A2498" t="s">
        <v>865</v>
      </c>
      <c r="B2498" t="s">
        <v>129</v>
      </c>
      <c r="C2498" t="s">
        <v>130</v>
      </c>
      <c r="D2498" t="s">
        <v>8</v>
      </c>
      <c r="G2498">
        <v>11072</v>
      </c>
    </row>
    <row r="2499" spans="1:7" x14ac:dyDescent="0.2">
      <c r="A2499" t="s">
        <v>865</v>
      </c>
      <c r="B2499" t="s">
        <v>129</v>
      </c>
      <c r="C2499" t="s">
        <v>130</v>
      </c>
      <c r="D2499" t="s">
        <v>131</v>
      </c>
      <c r="E2499" t="s">
        <v>132</v>
      </c>
      <c r="F2499" t="s">
        <v>133</v>
      </c>
      <c r="G2499">
        <v>275</v>
      </c>
    </row>
    <row r="2500" spans="1:7" x14ac:dyDescent="0.2">
      <c r="A2500" t="s">
        <v>865</v>
      </c>
      <c r="B2500" t="s">
        <v>129</v>
      </c>
      <c r="C2500" t="s">
        <v>130</v>
      </c>
      <c r="D2500" t="s">
        <v>134</v>
      </c>
      <c r="E2500" t="s">
        <v>135</v>
      </c>
      <c r="F2500" t="s">
        <v>22</v>
      </c>
      <c r="G2500">
        <v>9311</v>
      </c>
    </row>
    <row r="2501" spans="1:7" x14ac:dyDescent="0.2">
      <c r="A2501" t="s">
        <v>865</v>
      </c>
      <c r="B2501" t="s">
        <v>129</v>
      </c>
      <c r="C2501" t="s">
        <v>130</v>
      </c>
      <c r="D2501" t="s">
        <v>136</v>
      </c>
      <c r="E2501" t="s">
        <v>137</v>
      </c>
      <c r="F2501" t="s">
        <v>28</v>
      </c>
      <c r="G2501">
        <v>921</v>
      </c>
    </row>
    <row r="2502" spans="1:7" x14ac:dyDescent="0.2">
      <c r="A2502" t="s">
        <v>865</v>
      </c>
      <c r="B2502" t="s">
        <v>129</v>
      </c>
      <c r="C2502" t="s">
        <v>130</v>
      </c>
      <c r="D2502" t="s">
        <v>45</v>
      </c>
      <c r="G2502">
        <v>2</v>
      </c>
    </row>
    <row r="2503" spans="1:7" x14ac:dyDescent="0.2">
      <c r="A2503" t="s">
        <v>865</v>
      </c>
      <c r="B2503" t="s">
        <v>129</v>
      </c>
      <c r="C2503" t="s">
        <v>130</v>
      </c>
      <c r="D2503" t="s">
        <v>46</v>
      </c>
      <c r="G2503">
        <v>563</v>
      </c>
    </row>
    <row r="2504" spans="1:7" x14ac:dyDescent="0.2">
      <c r="A2504" t="s">
        <v>865</v>
      </c>
      <c r="B2504" t="s">
        <v>218</v>
      </c>
      <c r="C2504" t="s">
        <v>219</v>
      </c>
      <c r="D2504" t="s">
        <v>8</v>
      </c>
      <c r="G2504">
        <v>11072</v>
      </c>
    </row>
    <row r="2505" spans="1:7" x14ac:dyDescent="0.2">
      <c r="A2505" t="s">
        <v>865</v>
      </c>
      <c r="B2505" t="s">
        <v>218</v>
      </c>
      <c r="C2505" t="s">
        <v>219</v>
      </c>
      <c r="D2505" t="s">
        <v>220</v>
      </c>
      <c r="E2505" t="s">
        <v>221</v>
      </c>
      <c r="F2505" t="s">
        <v>22</v>
      </c>
      <c r="G2505">
        <v>9752</v>
      </c>
    </row>
    <row r="2506" spans="1:7" x14ac:dyDescent="0.2">
      <c r="A2506" t="s">
        <v>865</v>
      </c>
      <c r="B2506" t="s">
        <v>218</v>
      </c>
      <c r="C2506" t="s">
        <v>219</v>
      </c>
      <c r="D2506" t="s">
        <v>45</v>
      </c>
      <c r="G2506">
        <v>0</v>
      </c>
    </row>
    <row r="2507" spans="1:7" x14ac:dyDescent="0.2">
      <c r="A2507" t="s">
        <v>865</v>
      </c>
      <c r="B2507" t="s">
        <v>218</v>
      </c>
      <c r="C2507" t="s">
        <v>219</v>
      </c>
      <c r="D2507" t="s">
        <v>46</v>
      </c>
      <c r="G2507">
        <v>1320</v>
      </c>
    </row>
    <row r="2508" spans="1:7" x14ac:dyDescent="0.2">
      <c r="A2508" t="s">
        <v>865</v>
      </c>
      <c r="B2508" t="s">
        <v>618</v>
      </c>
      <c r="C2508" t="s">
        <v>619</v>
      </c>
      <c r="D2508" t="s">
        <v>8</v>
      </c>
      <c r="G2508">
        <v>11072</v>
      </c>
    </row>
    <row r="2509" spans="1:7" x14ac:dyDescent="0.2">
      <c r="A2509" t="s">
        <v>865</v>
      </c>
      <c r="B2509" t="s">
        <v>618</v>
      </c>
      <c r="C2509" t="s">
        <v>619</v>
      </c>
      <c r="D2509" t="s">
        <v>620</v>
      </c>
      <c r="E2509" t="s">
        <v>621</v>
      </c>
      <c r="F2509" t="s">
        <v>22</v>
      </c>
      <c r="G2509">
        <v>9780</v>
      </c>
    </row>
    <row r="2510" spans="1:7" x14ac:dyDescent="0.2">
      <c r="A2510" t="s">
        <v>865</v>
      </c>
      <c r="B2510" t="s">
        <v>618</v>
      </c>
      <c r="C2510" t="s">
        <v>619</v>
      </c>
      <c r="D2510" t="s">
        <v>622</v>
      </c>
      <c r="E2510" t="s">
        <v>623</v>
      </c>
      <c r="F2510" t="s">
        <v>88</v>
      </c>
      <c r="G2510">
        <v>596</v>
      </c>
    </row>
    <row r="2511" spans="1:7" x14ac:dyDescent="0.2">
      <c r="A2511" t="s">
        <v>865</v>
      </c>
      <c r="B2511" t="s">
        <v>618</v>
      </c>
      <c r="C2511" t="s">
        <v>619</v>
      </c>
      <c r="D2511" t="s">
        <v>45</v>
      </c>
      <c r="G2511">
        <v>3</v>
      </c>
    </row>
    <row r="2512" spans="1:7" x14ac:dyDescent="0.2">
      <c r="A2512" t="s">
        <v>865</v>
      </c>
      <c r="B2512" t="s">
        <v>618</v>
      </c>
      <c r="C2512" t="s">
        <v>619</v>
      </c>
      <c r="D2512" t="s">
        <v>46</v>
      </c>
      <c r="G2512">
        <v>693</v>
      </c>
    </row>
    <row r="2513" spans="1:7" x14ac:dyDescent="0.2">
      <c r="A2513" t="s">
        <v>865</v>
      </c>
      <c r="B2513" t="s">
        <v>692</v>
      </c>
      <c r="C2513" t="s">
        <v>693</v>
      </c>
      <c r="D2513" t="s">
        <v>8</v>
      </c>
      <c r="G2513">
        <v>11072</v>
      </c>
    </row>
    <row r="2514" spans="1:7" x14ac:dyDescent="0.2">
      <c r="A2514" t="s">
        <v>865</v>
      </c>
      <c r="B2514" t="s">
        <v>692</v>
      </c>
      <c r="C2514" t="s">
        <v>693</v>
      </c>
      <c r="D2514" t="s">
        <v>694</v>
      </c>
      <c r="E2514" t="s">
        <v>695</v>
      </c>
      <c r="G2514">
        <v>8130</v>
      </c>
    </row>
    <row r="2515" spans="1:7" x14ac:dyDescent="0.2">
      <c r="A2515" t="s">
        <v>865</v>
      </c>
      <c r="B2515" t="s">
        <v>692</v>
      </c>
      <c r="C2515" t="s">
        <v>693</v>
      </c>
      <c r="D2515" t="s">
        <v>696</v>
      </c>
      <c r="E2515" t="s">
        <v>697</v>
      </c>
      <c r="G2515">
        <v>1415</v>
      </c>
    </row>
    <row r="2516" spans="1:7" x14ac:dyDescent="0.2">
      <c r="A2516" t="s">
        <v>865</v>
      </c>
      <c r="B2516" t="s">
        <v>692</v>
      </c>
      <c r="C2516" t="s">
        <v>693</v>
      </c>
      <c r="D2516" t="s">
        <v>45</v>
      </c>
      <c r="G2516">
        <v>4</v>
      </c>
    </row>
    <row r="2517" spans="1:7" x14ac:dyDescent="0.2">
      <c r="A2517" t="s">
        <v>865</v>
      </c>
      <c r="B2517" t="s">
        <v>692</v>
      </c>
      <c r="C2517" t="s">
        <v>693</v>
      </c>
      <c r="D2517" t="s">
        <v>46</v>
      </c>
      <c r="G2517">
        <v>1523</v>
      </c>
    </row>
    <row r="2518" spans="1:7" x14ac:dyDescent="0.2">
      <c r="A2518" t="s">
        <v>865</v>
      </c>
      <c r="B2518" t="s">
        <v>698</v>
      </c>
      <c r="C2518" t="s">
        <v>699</v>
      </c>
      <c r="D2518" t="s">
        <v>8</v>
      </c>
      <c r="G2518">
        <v>11072</v>
      </c>
    </row>
    <row r="2519" spans="1:7" x14ac:dyDescent="0.2">
      <c r="A2519" t="s">
        <v>865</v>
      </c>
      <c r="B2519" t="s">
        <v>698</v>
      </c>
      <c r="C2519" t="s">
        <v>699</v>
      </c>
      <c r="D2519" t="s">
        <v>694</v>
      </c>
      <c r="E2519" t="s">
        <v>700</v>
      </c>
      <c r="G2519">
        <v>8092</v>
      </c>
    </row>
    <row r="2520" spans="1:7" x14ac:dyDescent="0.2">
      <c r="A2520" t="s">
        <v>865</v>
      </c>
      <c r="B2520" t="s">
        <v>698</v>
      </c>
      <c r="C2520" t="s">
        <v>699</v>
      </c>
      <c r="D2520" t="s">
        <v>696</v>
      </c>
      <c r="E2520" t="s">
        <v>701</v>
      </c>
      <c r="G2520">
        <v>1374</v>
      </c>
    </row>
    <row r="2521" spans="1:7" x14ac:dyDescent="0.2">
      <c r="A2521" t="s">
        <v>865</v>
      </c>
      <c r="B2521" t="s">
        <v>698</v>
      </c>
      <c r="C2521" t="s">
        <v>699</v>
      </c>
      <c r="D2521" t="s">
        <v>45</v>
      </c>
      <c r="G2521">
        <v>3</v>
      </c>
    </row>
    <row r="2522" spans="1:7" x14ac:dyDescent="0.2">
      <c r="A2522" t="s">
        <v>865</v>
      </c>
      <c r="B2522" t="s">
        <v>698</v>
      </c>
      <c r="C2522" t="s">
        <v>699</v>
      </c>
      <c r="D2522" t="s">
        <v>46</v>
      </c>
      <c r="G2522">
        <v>1603</v>
      </c>
    </row>
    <row r="2523" spans="1:7" x14ac:dyDescent="0.2">
      <c r="A2523" t="s">
        <v>865</v>
      </c>
      <c r="B2523" t="s">
        <v>834</v>
      </c>
      <c r="C2523" t="s">
        <v>835</v>
      </c>
      <c r="D2523" t="s">
        <v>8</v>
      </c>
      <c r="G2523">
        <v>11072</v>
      </c>
    </row>
    <row r="2524" spans="1:7" x14ac:dyDescent="0.2">
      <c r="A2524" t="s">
        <v>865</v>
      </c>
      <c r="B2524" t="s">
        <v>834</v>
      </c>
      <c r="C2524" t="s">
        <v>835</v>
      </c>
      <c r="D2524" t="s">
        <v>836</v>
      </c>
      <c r="E2524" t="s">
        <v>837</v>
      </c>
      <c r="G2524">
        <v>6673</v>
      </c>
    </row>
    <row r="2525" spans="1:7" x14ac:dyDescent="0.2">
      <c r="A2525" t="s">
        <v>865</v>
      </c>
      <c r="B2525" t="s">
        <v>834</v>
      </c>
      <c r="C2525" t="s">
        <v>835</v>
      </c>
      <c r="D2525" t="s">
        <v>838</v>
      </c>
      <c r="E2525" t="s">
        <v>839</v>
      </c>
      <c r="G2525">
        <v>3610</v>
      </c>
    </row>
    <row r="2526" spans="1:7" x14ac:dyDescent="0.2">
      <c r="A2526" t="s">
        <v>865</v>
      </c>
      <c r="B2526" t="s">
        <v>834</v>
      </c>
      <c r="C2526" t="s">
        <v>835</v>
      </c>
      <c r="D2526" t="s">
        <v>45</v>
      </c>
      <c r="G2526">
        <v>2</v>
      </c>
    </row>
    <row r="2527" spans="1:7" x14ac:dyDescent="0.2">
      <c r="A2527" t="s">
        <v>865</v>
      </c>
      <c r="B2527" t="s">
        <v>834</v>
      </c>
      <c r="C2527" t="s">
        <v>835</v>
      </c>
      <c r="D2527" t="s">
        <v>46</v>
      </c>
      <c r="G2527">
        <v>787</v>
      </c>
    </row>
    <row r="2528" spans="1:7" x14ac:dyDescent="0.2">
      <c r="A2528" t="s">
        <v>865</v>
      </c>
      <c r="B2528" t="s">
        <v>840</v>
      </c>
      <c r="C2528" t="s">
        <v>841</v>
      </c>
      <c r="D2528" t="s">
        <v>8</v>
      </c>
      <c r="G2528">
        <v>11072</v>
      </c>
    </row>
    <row r="2529" spans="1:7" x14ac:dyDescent="0.2">
      <c r="A2529" t="s">
        <v>865</v>
      </c>
      <c r="B2529" t="s">
        <v>840</v>
      </c>
      <c r="C2529" t="s">
        <v>841</v>
      </c>
      <c r="D2529" t="s">
        <v>836</v>
      </c>
      <c r="E2529" t="s">
        <v>842</v>
      </c>
      <c r="G2529">
        <v>9205</v>
      </c>
    </row>
    <row r="2530" spans="1:7" x14ac:dyDescent="0.2">
      <c r="A2530" t="s">
        <v>865</v>
      </c>
      <c r="B2530" t="s">
        <v>840</v>
      </c>
      <c r="C2530" t="s">
        <v>841</v>
      </c>
      <c r="D2530" t="s">
        <v>838</v>
      </c>
      <c r="E2530" t="s">
        <v>843</v>
      </c>
      <c r="G2530">
        <v>1211</v>
      </c>
    </row>
    <row r="2531" spans="1:7" x14ac:dyDescent="0.2">
      <c r="A2531" t="s">
        <v>865</v>
      </c>
      <c r="B2531" t="s">
        <v>840</v>
      </c>
      <c r="C2531" t="s">
        <v>841</v>
      </c>
      <c r="D2531" t="s">
        <v>45</v>
      </c>
      <c r="G2531">
        <v>5</v>
      </c>
    </row>
    <row r="2532" spans="1:7" x14ac:dyDescent="0.2">
      <c r="A2532" t="s">
        <v>865</v>
      </c>
      <c r="B2532" t="s">
        <v>840</v>
      </c>
      <c r="C2532" t="s">
        <v>841</v>
      </c>
      <c r="D2532" t="s">
        <v>46</v>
      </c>
      <c r="G2532">
        <v>651</v>
      </c>
    </row>
    <row r="2533" spans="1:7" x14ac:dyDescent="0.2">
      <c r="A2533" t="s">
        <v>866</v>
      </c>
      <c r="B2533" t="s">
        <v>6</v>
      </c>
      <c r="C2533" t="s">
        <v>7</v>
      </c>
      <c r="D2533" t="s">
        <v>8</v>
      </c>
      <c r="G2533">
        <v>26482</v>
      </c>
    </row>
    <row r="2534" spans="1:7" x14ac:dyDescent="0.2">
      <c r="A2534" t="s">
        <v>866</v>
      </c>
      <c r="B2534" t="s">
        <v>6</v>
      </c>
      <c r="C2534" t="s">
        <v>7</v>
      </c>
      <c r="D2534" t="s">
        <v>9</v>
      </c>
      <c r="E2534" t="s">
        <v>10</v>
      </c>
      <c r="F2534" t="s">
        <v>11</v>
      </c>
      <c r="G2534">
        <v>23</v>
      </c>
    </row>
    <row r="2535" spans="1:7" x14ac:dyDescent="0.2">
      <c r="A2535" t="s">
        <v>866</v>
      </c>
      <c r="B2535" t="s">
        <v>6</v>
      </c>
      <c r="C2535" t="s">
        <v>7</v>
      </c>
      <c r="D2535" t="s">
        <v>12</v>
      </c>
      <c r="E2535" t="s">
        <v>13</v>
      </c>
      <c r="F2535" t="s">
        <v>11</v>
      </c>
      <c r="G2535">
        <v>36</v>
      </c>
    </row>
    <row r="2536" spans="1:7" x14ac:dyDescent="0.2">
      <c r="A2536" t="s">
        <v>866</v>
      </c>
      <c r="B2536" t="s">
        <v>6</v>
      </c>
      <c r="C2536" t="s">
        <v>7</v>
      </c>
      <c r="D2536" t="s">
        <v>14</v>
      </c>
      <c r="E2536" t="s">
        <v>15</v>
      </c>
      <c r="F2536" t="s">
        <v>16</v>
      </c>
      <c r="G2536">
        <v>46</v>
      </c>
    </row>
    <row r="2537" spans="1:7" x14ac:dyDescent="0.2">
      <c r="A2537" t="s">
        <v>866</v>
      </c>
      <c r="B2537" t="s">
        <v>6</v>
      </c>
      <c r="C2537" t="s">
        <v>7</v>
      </c>
      <c r="D2537" t="s">
        <v>17</v>
      </c>
      <c r="E2537" t="s">
        <v>18</v>
      </c>
      <c r="F2537" t="s">
        <v>19</v>
      </c>
      <c r="G2537">
        <v>121</v>
      </c>
    </row>
    <row r="2538" spans="1:7" x14ac:dyDescent="0.2">
      <c r="A2538" t="s">
        <v>866</v>
      </c>
      <c r="B2538" t="s">
        <v>6</v>
      </c>
      <c r="C2538" t="s">
        <v>7</v>
      </c>
      <c r="D2538" t="s">
        <v>20</v>
      </c>
      <c r="E2538" t="s">
        <v>21</v>
      </c>
      <c r="F2538" t="s">
        <v>22</v>
      </c>
      <c r="G2538">
        <v>10783</v>
      </c>
    </row>
    <row r="2539" spans="1:7" x14ac:dyDescent="0.2">
      <c r="A2539" t="s">
        <v>866</v>
      </c>
      <c r="B2539" t="s">
        <v>6</v>
      </c>
      <c r="C2539" t="s">
        <v>7</v>
      </c>
      <c r="D2539" t="s">
        <v>23</v>
      </c>
      <c r="E2539" t="s">
        <v>24</v>
      </c>
      <c r="F2539" t="s">
        <v>25</v>
      </c>
      <c r="G2539">
        <v>236</v>
      </c>
    </row>
    <row r="2540" spans="1:7" x14ac:dyDescent="0.2">
      <c r="A2540" t="s">
        <v>866</v>
      </c>
      <c r="B2540" t="s">
        <v>6</v>
      </c>
      <c r="C2540" t="s">
        <v>7</v>
      </c>
      <c r="D2540" t="s">
        <v>26</v>
      </c>
      <c r="E2540" t="s">
        <v>27</v>
      </c>
      <c r="F2540" t="s">
        <v>28</v>
      </c>
      <c r="G2540">
        <v>14612</v>
      </c>
    </row>
    <row r="2541" spans="1:7" x14ac:dyDescent="0.2">
      <c r="A2541" t="s">
        <v>866</v>
      </c>
      <c r="B2541" t="s">
        <v>6</v>
      </c>
      <c r="C2541" t="s">
        <v>7</v>
      </c>
      <c r="D2541" t="s">
        <v>29</v>
      </c>
      <c r="E2541" t="s">
        <v>30</v>
      </c>
      <c r="F2541" t="s">
        <v>11</v>
      </c>
      <c r="G2541">
        <v>19</v>
      </c>
    </row>
    <row r="2542" spans="1:7" x14ac:dyDescent="0.2">
      <c r="A2542" t="s">
        <v>866</v>
      </c>
      <c r="B2542" t="s">
        <v>6</v>
      </c>
      <c r="C2542" t="s">
        <v>7</v>
      </c>
      <c r="D2542" t="s">
        <v>31</v>
      </c>
      <c r="E2542" t="s">
        <v>32</v>
      </c>
      <c r="F2542" t="s">
        <v>11</v>
      </c>
      <c r="G2542">
        <v>0</v>
      </c>
    </row>
    <row r="2543" spans="1:7" x14ac:dyDescent="0.2">
      <c r="A2543" t="s">
        <v>866</v>
      </c>
      <c r="B2543" t="s">
        <v>6</v>
      </c>
      <c r="C2543" t="s">
        <v>7</v>
      </c>
      <c r="D2543" t="s">
        <v>33</v>
      </c>
      <c r="E2543" t="s">
        <v>34</v>
      </c>
      <c r="F2543" t="s">
        <v>11</v>
      </c>
      <c r="G2543">
        <v>0</v>
      </c>
    </row>
    <row r="2544" spans="1:7" x14ac:dyDescent="0.2">
      <c r="A2544" t="s">
        <v>866</v>
      </c>
      <c r="B2544" t="s">
        <v>6</v>
      </c>
      <c r="C2544" t="s">
        <v>7</v>
      </c>
      <c r="D2544" t="s">
        <v>35</v>
      </c>
      <c r="E2544" t="s">
        <v>36</v>
      </c>
      <c r="F2544" t="s">
        <v>11</v>
      </c>
      <c r="G2544">
        <v>0</v>
      </c>
    </row>
    <row r="2545" spans="1:7" x14ac:dyDescent="0.2">
      <c r="A2545" t="s">
        <v>866</v>
      </c>
      <c r="B2545" t="s">
        <v>6</v>
      </c>
      <c r="C2545" t="s">
        <v>7</v>
      </c>
      <c r="D2545" t="s">
        <v>37</v>
      </c>
      <c r="E2545" t="s">
        <v>38</v>
      </c>
      <c r="F2545" t="s">
        <v>11</v>
      </c>
      <c r="G2545">
        <v>0</v>
      </c>
    </row>
    <row r="2546" spans="1:7" x14ac:dyDescent="0.2">
      <c r="A2546" t="s">
        <v>866</v>
      </c>
      <c r="B2546" t="s">
        <v>6</v>
      </c>
      <c r="C2546" t="s">
        <v>7</v>
      </c>
      <c r="D2546" t="s">
        <v>39</v>
      </c>
      <c r="E2546" t="s">
        <v>40</v>
      </c>
      <c r="F2546" t="s">
        <v>11</v>
      </c>
      <c r="G2546">
        <v>0</v>
      </c>
    </row>
    <row r="2547" spans="1:7" x14ac:dyDescent="0.2">
      <c r="A2547" t="s">
        <v>866</v>
      </c>
      <c r="B2547" t="s">
        <v>6</v>
      </c>
      <c r="C2547" t="s">
        <v>7</v>
      </c>
      <c r="D2547" t="s">
        <v>41</v>
      </c>
      <c r="E2547" t="s">
        <v>42</v>
      </c>
      <c r="F2547" t="s">
        <v>11</v>
      </c>
      <c r="G2547">
        <v>0</v>
      </c>
    </row>
    <row r="2548" spans="1:7" x14ac:dyDescent="0.2">
      <c r="A2548" t="s">
        <v>866</v>
      </c>
      <c r="B2548" t="s">
        <v>6</v>
      </c>
      <c r="C2548" t="s">
        <v>7</v>
      </c>
      <c r="D2548" t="s">
        <v>43</v>
      </c>
      <c r="E2548" t="s">
        <v>44</v>
      </c>
      <c r="F2548" t="s">
        <v>11</v>
      </c>
      <c r="G2548">
        <v>0</v>
      </c>
    </row>
    <row r="2549" spans="1:7" x14ac:dyDescent="0.2">
      <c r="A2549" t="s">
        <v>866</v>
      </c>
      <c r="B2549" t="s">
        <v>6</v>
      </c>
      <c r="C2549" t="s">
        <v>7</v>
      </c>
      <c r="D2549" t="s">
        <v>45</v>
      </c>
      <c r="G2549">
        <v>5</v>
      </c>
    </row>
    <row r="2550" spans="1:7" x14ac:dyDescent="0.2">
      <c r="A2550" t="s">
        <v>866</v>
      </c>
      <c r="B2550" t="s">
        <v>6</v>
      </c>
      <c r="C2550" t="s">
        <v>7</v>
      </c>
      <c r="D2550" t="s">
        <v>46</v>
      </c>
      <c r="G2550">
        <v>253</v>
      </c>
    </row>
    <row r="2551" spans="1:7" x14ac:dyDescent="0.2">
      <c r="A2551" t="s">
        <v>866</v>
      </c>
      <c r="B2551" t="s">
        <v>47</v>
      </c>
      <c r="C2551" t="s">
        <v>48</v>
      </c>
      <c r="D2551" t="s">
        <v>8</v>
      </c>
      <c r="G2551">
        <v>26482</v>
      </c>
    </row>
    <row r="2552" spans="1:7" x14ac:dyDescent="0.2">
      <c r="A2552" t="s">
        <v>866</v>
      </c>
      <c r="B2552" t="s">
        <v>47</v>
      </c>
      <c r="C2552" t="s">
        <v>48</v>
      </c>
      <c r="D2552" t="s">
        <v>49</v>
      </c>
      <c r="E2552" t="s">
        <v>50</v>
      </c>
      <c r="F2552" t="s">
        <v>51</v>
      </c>
      <c r="G2552">
        <v>741</v>
      </c>
    </row>
    <row r="2553" spans="1:7" x14ac:dyDescent="0.2">
      <c r="A2553" t="s">
        <v>866</v>
      </c>
      <c r="B2553" t="s">
        <v>47</v>
      </c>
      <c r="C2553" t="s">
        <v>48</v>
      </c>
      <c r="D2553" t="s">
        <v>52</v>
      </c>
      <c r="E2553" t="s">
        <v>53</v>
      </c>
      <c r="F2553" t="s">
        <v>22</v>
      </c>
      <c r="G2553">
        <v>11399</v>
      </c>
    </row>
    <row r="2554" spans="1:7" x14ac:dyDescent="0.2">
      <c r="A2554" t="s">
        <v>866</v>
      </c>
      <c r="B2554" t="s">
        <v>47</v>
      </c>
      <c r="C2554" t="s">
        <v>48</v>
      </c>
      <c r="D2554" t="s">
        <v>54</v>
      </c>
      <c r="E2554" t="s">
        <v>55</v>
      </c>
      <c r="F2554" t="s">
        <v>28</v>
      </c>
      <c r="G2554">
        <v>13282</v>
      </c>
    </row>
    <row r="2555" spans="1:7" x14ac:dyDescent="0.2">
      <c r="A2555" t="s">
        <v>866</v>
      </c>
      <c r="B2555" t="s">
        <v>47</v>
      </c>
      <c r="C2555" t="s">
        <v>48</v>
      </c>
      <c r="D2555" t="s">
        <v>56</v>
      </c>
      <c r="E2555" t="s">
        <v>57</v>
      </c>
      <c r="F2555" t="s">
        <v>11</v>
      </c>
      <c r="G2555">
        <v>1</v>
      </c>
    </row>
    <row r="2556" spans="1:7" x14ac:dyDescent="0.2">
      <c r="A2556" t="s">
        <v>866</v>
      </c>
      <c r="B2556" t="s">
        <v>47</v>
      </c>
      <c r="C2556" t="s">
        <v>48</v>
      </c>
      <c r="D2556" t="s">
        <v>45</v>
      </c>
      <c r="G2556">
        <v>5</v>
      </c>
    </row>
    <row r="2557" spans="1:7" x14ac:dyDescent="0.2">
      <c r="A2557" t="s">
        <v>866</v>
      </c>
      <c r="B2557" t="s">
        <v>47</v>
      </c>
      <c r="C2557" t="s">
        <v>48</v>
      </c>
      <c r="D2557" t="s">
        <v>46</v>
      </c>
      <c r="G2557">
        <v>967</v>
      </c>
    </row>
    <row r="2558" spans="1:7" x14ac:dyDescent="0.2">
      <c r="A2558" t="s">
        <v>866</v>
      </c>
      <c r="B2558" t="s">
        <v>58</v>
      </c>
      <c r="C2558" t="s">
        <v>59</v>
      </c>
      <c r="D2558" t="s">
        <v>8</v>
      </c>
      <c r="G2558">
        <v>16441</v>
      </c>
    </row>
    <row r="2559" spans="1:7" x14ac:dyDescent="0.2">
      <c r="A2559" t="s">
        <v>866</v>
      </c>
      <c r="B2559" t="s">
        <v>58</v>
      </c>
      <c r="C2559" t="s">
        <v>59</v>
      </c>
      <c r="D2559" t="s">
        <v>60</v>
      </c>
      <c r="E2559" t="s">
        <v>61</v>
      </c>
      <c r="F2559" t="s">
        <v>28</v>
      </c>
      <c r="G2559">
        <v>8181</v>
      </c>
    </row>
    <row r="2560" spans="1:7" x14ac:dyDescent="0.2">
      <c r="A2560" t="s">
        <v>866</v>
      </c>
      <c r="B2560" t="s">
        <v>58</v>
      </c>
      <c r="C2560" t="s">
        <v>59</v>
      </c>
      <c r="D2560" t="s">
        <v>62</v>
      </c>
      <c r="E2560" t="s">
        <v>63</v>
      </c>
      <c r="F2560" t="s">
        <v>25</v>
      </c>
      <c r="G2560">
        <v>465</v>
      </c>
    </row>
    <row r="2561" spans="1:7" x14ac:dyDescent="0.2">
      <c r="A2561" t="s">
        <v>866</v>
      </c>
      <c r="B2561" t="s">
        <v>58</v>
      </c>
      <c r="C2561" t="s">
        <v>59</v>
      </c>
      <c r="D2561" t="s">
        <v>64</v>
      </c>
      <c r="E2561" t="s">
        <v>65</v>
      </c>
      <c r="F2561" t="s">
        <v>22</v>
      </c>
      <c r="G2561">
        <v>6850</v>
      </c>
    </row>
    <row r="2562" spans="1:7" x14ac:dyDescent="0.2">
      <c r="A2562" t="s">
        <v>866</v>
      </c>
      <c r="B2562" t="s">
        <v>58</v>
      </c>
      <c r="C2562" t="s">
        <v>59</v>
      </c>
      <c r="D2562" t="s">
        <v>45</v>
      </c>
      <c r="G2562">
        <v>0</v>
      </c>
    </row>
    <row r="2563" spans="1:7" x14ac:dyDescent="0.2">
      <c r="A2563" t="s">
        <v>866</v>
      </c>
      <c r="B2563" t="s">
        <v>58</v>
      </c>
      <c r="C2563" t="s">
        <v>59</v>
      </c>
      <c r="D2563" t="s">
        <v>46</v>
      </c>
      <c r="G2563">
        <v>945</v>
      </c>
    </row>
    <row r="2564" spans="1:7" x14ac:dyDescent="0.2">
      <c r="A2564" t="s">
        <v>866</v>
      </c>
      <c r="B2564" t="s">
        <v>76</v>
      </c>
      <c r="C2564" t="s">
        <v>77</v>
      </c>
      <c r="D2564" t="s">
        <v>8</v>
      </c>
      <c r="G2564">
        <v>10041</v>
      </c>
    </row>
    <row r="2565" spans="1:7" x14ac:dyDescent="0.2">
      <c r="A2565" t="s">
        <v>866</v>
      </c>
      <c r="B2565" t="s">
        <v>76</v>
      </c>
      <c r="C2565" t="s">
        <v>77</v>
      </c>
      <c r="D2565" t="s">
        <v>78</v>
      </c>
      <c r="E2565" t="s">
        <v>79</v>
      </c>
      <c r="F2565" t="s">
        <v>22</v>
      </c>
      <c r="G2565">
        <v>4742</v>
      </c>
    </row>
    <row r="2566" spans="1:7" x14ac:dyDescent="0.2">
      <c r="A2566" t="s">
        <v>866</v>
      </c>
      <c r="B2566" t="s">
        <v>76</v>
      </c>
      <c r="C2566" t="s">
        <v>77</v>
      </c>
      <c r="D2566" t="s">
        <v>80</v>
      </c>
      <c r="E2566" t="s">
        <v>81</v>
      </c>
      <c r="F2566" t="s">
        <v>28</v>
      </c>
      <c r="G2566">
        <v>4778</v>
      </c>
    </row>
    <row r="2567" spans="1:7" x14ac:dyDescent="0.2">
      <c r="A2567" t="s">
        <v>866</v>
      </c>
      <c r="B2567" t="s">
        <v>76</v>
      </c>
      <c r="C2567" t="s">
        <v>77</v>
      </c>
      <c r="D2567" t="s">
        <v>45</v>
      </c>
      <c r="G2567">
        <v>0</v>
      </c>
    </row>
    <row r="2568" spans="1:7" x14ac:dyDescent="0.2">
      <c r="A2568" t="s">
        <v>866</v>
      </c>
      <c r="B2568" t="s">
        <v>76</v>
      </c>
      <c r="C2568" t="s">
        <v>77</v>
      </c>
      <c r="D2568" t="s">
        <v>46</v>
      </c>
      <c r="G2568">
        <v>521</v>
      </c>
    </row>
    <row r="2569" spans="1:7" x14ac:dyDescent="0.2">
      <c r="A2569" t="s">
        <v>866</v>
      </c>
      <c r="B2569" t="s">
        <v>93</v>
      </c>
      <c r="C2569" t="s">
        <v>94</v>
      </c>
      <c r="D2569" t="s">
        <v>8</v>
      </c>
      <c r="G2569">
        <v>26365</v>
      </c>
    </row>
    <row r="2570" spans="1:7" x14ac:dyDescent="0.2">
      <c r="A2570" t="s">
        <v>866</v>
      </c>
      <c r="B2570" t="s">
        <v>93</v>
      </c>
      <c r="C2570" t="s">
        <v>94</v>
      </c>
      <c r="D2570" t="s">
        <v>95</v>
      </c>
      <c r="E2570" t="s">
        <v>96</v>
      </c>
      <c r="F2570" t="s">
        <v>22</v>
      </c>
      <c r="G2570">
        <v>11202</v>
      </c>
    </row>
    <row r="2571" spans="1:7" x14ac:dyDescent="0.2">
      <c r="A2571" t="s">
        <v>866</v>
      </c>
      <c r="B2571" t="s">
        <v>93</v>
      </c>
      <c r="C2571" t="s">
        <v>94</v>
      </c>
      <c r="D2571" t="s">
        <v>97</v>
      </c>
      <c r="E2571" t="s">
        <v>98</v>
      </c>
      <c r="F2571" t="s">
        <v>51</v>
      </c>
      <c r="G2571">
        <v>296</v>
      </c>
    </row>
    <row r="2572" spans="1:7" x14ac:dyDescent="0.2">
      <c r="A2572" t="s">
        <v>866</v>
      </c>
      <c r="B2572" t="s">
        <v>93</v>
      </c>
      <c r="C2572" t="s">
        <v>94</v>
      </c>
      <c r="D2572" t="s">
        <v>99</v>
      </c>
      <c r="E2572" t="s">
        <v>100</v>
      </c>
      <c r="F2572" t="s">
        <v>28</v>
      </c>
      <c r="G2572">
        <v>11435</v>
      </c>
    </row>
    <row r="2573" spans="1:7" x14ac:dyDescent="0.2">
      <c r="A2573" t="s">
        <v>866</v>
      </c>
      <c r="B2573" t="s">
        <v>93</v>
      </c>
      <c r="C2573" t="s">
        <v>94</v>
      </c>
      <c r="D2573" t="s">
        <v>101</v>
      </c>
      <c r="E2573" t="s">
        <v>102</v>
      </c>
      <c r="F2573" t="s">
        <v>25</v>
      </c>
      <c r="G2573">
        <v>570</v>
      </c>
    </row>
    <row r="2574" spans="1:7" x14ac:dyDescent="0.2">
      <c r="A2574" t="s">
        <v>866</v>
      </c>
      <c r="B2574" t="s">
        <v>93</v>
      </c>
      <c r="C2574" t="s">
        <v>94</v>
      </c>
      <c r="D2574" t="s">
        <v>103</v>
      </c>
      <c r="E2574" t="s">
        <v>104</v>
      </c>
      <c r="F2574" t="s">
        <v>11</v>
      </c>
      <c r="G2574">
        <v>31</v>
      </c>
    </row>
    <row r="2575" spans="1:7" x14ac:dyDescent="0.2">
      <c r="A2575" t="s">
        <v>866</v>
      </c>
      <c r="B2575" t="s">
        <v>93</v>
      </c>
      <c r="C2575" t="s">
        <v>94</v>
      </c>
      <c r="D2575" t="s">
        <v>105</v>
      </c>
      <c r="E2575" t="s">
        <v>106</v>
      </c>
      <c r="F2575" t="s">
        <v>11</v>
      </c>
      <c r="G2575">
        <v>1952</v>
      </c>
    </row>
    <row r="2576" spans="1:7" x14ac:dyDescent="0.2">
      <c r="A2576" t="s">
        <v>866</v>
      </c>
      <c r="B2576" t="s">
        <v>93</v>
      </c>
      <c r="C2576" t="s">
        <v>94</v>
      </c>
      <c r="D2576" t="s">
        <v>107</v>
      </c>
      <c r="E2576" t="s">
        <v>108</v>
      </c>
      <c r="F2576" t="s">
        <v>11</v>
      </c>
      <c r="G2576">
        <v>5</v>
      </c>
    </row>
    <row r="2577" spans="1:7" x14ac:dyDescent="0.2">
      <c r="A2577" t="s">
        <v>866</v>
      </c>
      <c r="B2577" t="s">
        <v>93</v>
      </c>
      <c r="C2577" t="s">
        <v>94</v>
      </c>
      <c r="D2577" t="s">
        <v>45</v>
      </c>
      <c r="G2577">
        <v>3</v>
      </c>
    </row>
    <row r="2578" spans="1:7" x14ac:dyDescent="0.2">
      <c r="A2578" t="s">
        <v>866</v>
      </c>
      <c r="B2578" t="s">
        <v>93</v>
      </c>
      <c r="C2578" t="s">
        <v>94</v>
      </c>
      <c r="D2578" t="s">
        <v>46</v>
      </c>
      <c r="G2578">
        <v>820</v>
      </c>
    </row>
    <row r="2579" spans="1:7" x14ac:dyDescent="0.2">
      <c r="A2579" t="s">
        <v>866</v>
      </c>
      <c r="B2579" t="s">
        <v>109</v>
      </c>
      <c r="C2579" t="s">
        <v>110</v>
      </c>
      <c r="D2579" t="s">
        <v>8</v>
      </c>
      <c r="G2579">
        <v>26365</v>
      </c>
    </row>
    <row r="2580" spans="1:7" x14ac:dyDescent="0.2">
      <c r="A2580" t="s">
        <v>866</v>
      </c>
      <c r="B2580" t="s">
        <v>109</v>
      </c>
      <c r="C2580" t="s">
        <v>110</v>
      </c>
      <c r="D2580" t="s">
        <v>111</v>
      </c>
      <c r="E2580" t="s">
        <v>112</v>
      </c>
      <c r="F2580" t="s">
        <v>22</v>
      </c>
      <c r="G2580">
        <v>10694</v>
      </c>
    </row>
    <row r="2581" spans="1:7" x14ac:dyDescent="0.2">
      <c r="A2581" t="s">
        <v>866</v>
      </c>
      <c r="B2581" t="s">
        <v>109</v>
      </c>
      <c r="C2581" t="s">
        <v>110</v>
      </c>
      <c r="D2581" t="s">
        <v>113</v>
      </c>
      <c r="E2581" t="s">
        <v>114</v>
      </c>
      <c r="F2581" t="s">
        <v>28</v>
      </c>
      <c r="G2581">
        <v>11669</v>
      </c>
    </row>
    <row r="2582" spans="1:7" x14ac:dyDescent="0.2">
      <c r="A2582" t="s">
        <v>866</v>
      </c>
      <c r="B2582" t="s">
        <v>109</v>
      </c>
      <c r="C2582" t="s">
        <v>110</v>
      </c>
      <c r="D2582" t="s">
        <v>115</v>
      </c>
      <c r="E2582" t="s">
        <v>116</v>
      </c>
      <c r="F2582" t="s">
        <v>25</v>
      </c>
      <c r="G2582">
        <v>839</v>
      </c>
    </row>
    <row r="2583" spans="1:7" x14ac:dyDescent="0.2">
      <c r="A2583" t="s">
        <v>866</v>
      </c>
      <c r="B2583" t="s">
        <v>109</v>
      </c>
      <c r="C2583" t="s">
        <v>110</v>
      </c>
      <c r="D2583" t="s">
        <v>117</v>
      </c>
      <c r="E2583" t="s">
        <v>118</v>
      </c>
      <c r="F2583" t="s">
        <v>11</v>
      </c>
      <c r="G2583">
        <v>365</v>
      </c>
    </row>
    <row r="2584" spans="1:7" x14ac:dyDescent="0.2">
      <c r="A2584" t="s">
        <v>866</v>
      </c>
      <c r="B2584" t="s">
        <v>109</v>
      </c>
      <c r="C2584" t="s">
        <v>110</v>
      </c>
      <c r="D2584" t="s">
        <v>119</v>
      </c>
      <c r="E2584" t="s">
        <v>120</v>
      </c>
      <c r="F2584" t="s">
        <v>88</v>
      </c>
      <c r="G2584">
        <v>1306</v>
      </c>
    </row>
    <row r="2585" spans="1:7" x14ac:dyDescent="0.2">
      <c r="A2585" t="s">
        <v>866</v>
      </c>
      <c r="B2585" t="s">
        <v>109</v>
      </c>
      <c r="C2585" t="s">
        <v>110</v>
      </c>
      <c r="D2585" t="s">
        <v>45</v>
      </c>
      <c r="G2585">
        <v>2</v>
      </c>
    </row>
    <row r="2586" spans="1:7" x14ac:dyDescent="0.2">
      <c r="A2586" t="s">
        <v>866</v>
      </c>
      <c r="B2586" t="s">
        <v>109</v>
      </c>
      <c r="C2586" t="s">
        <v>110</v>
      </c>
      <c r="D2586" t="s">
        <v>46</v>
      </c>
      <c r="G2586">
        <v>1490</v>
      </c>
    </row>
    <row r="2587" spans="1:7" x14ac:dyDescent="0.2">
      <c r="A2587" t="s">
        <v>866</v>
      </c>
      <c r="B2587" t="s">
        <v>121</v>
      </c>
      <c r="C2587" t="s">
        <v>122</v>
      </c>
      <c r="D2587" t="s">
        <v>8</v>
      </c>
      <c r="G2587">
        <v>26365</v>
      </c>
    </row>
    <row r="2588" spans="1:7" x14ac:dyDescent="0.2">
      <c r="A2588" t="s">
        <v>866</v>
      </c>
      <c r="B2588" t="s">
        <v>121</v>
      </c>
      <c r="C2588" t="s">
        <v>122</v>
      </c>
      <c r="D2588" t="s">
        <v>123</v>
      </c>
      <c r="E2588" t="s">
        <v>124</v>
      </c>
      <c r="F2588" t="s">
        <v>22</v>
      </c>
      <c r="G2588">
        <v>11582</v>
      </c>
    </row>
    <row r="2589" spans="1:7" x14ac:dyDescent="0.2">
      <c r="A2589" t="s">
        <v>866</v>
      </c>
      <c r="B2589" t="s">
        <v>121</v>
      </c>
      <c r="C2589" t="s">
        <v>122</v>
      </c>
      <c r="D2589" t="s">
        <v>125</v>
      </c>
      <c r="E2589" t="s">
        <v>126</v>
      </c>
      <c r="F2589" t="s">
        <v>16</v>
      </c>
      <c r="G2589">
        <v>702</v>
      </c>
    </row>
    <row r="2590" spans="1:7" x14ac:dyDescent="0.2">
      <c r="A2590" t="s">
        <v>866</v>
      </c>
      <c r="B2590" t="s">
        <v>121</v>
      </c>
      <c r="C2590" t="s">
        <v>122</v>
      </c>
      <c r="D2590" t="s">
        <v>127</v>
      </c>
      <c r="E2590" t="s">
        <v>128</v>
      </c>
      <c r="F2590" t="s">
        <v>28</v>
      </c>
      <c r="G2590">
        <v>12023</v>
      </c>
    </row>
    <row r="2591" spans="1:7" x14ac:dyDescent="0.2">
      <c r="A2591" t="s">
        <v>866</v>
      </c>
      <c r="B2591" t="s">
        <v>121</v>
      </c>
      <c r="C2591" t="s">
        <v>122</v>
      </c>
      <c r="D2591" t="s">
        <v>45</v>
      </c>
      <c r="G2591">
        <v>2</v>
      </c>
    </row>
    <row r="2592" spans="1:7" x14ac:dyDescent="0.2">
      <c r="A2592" t="s">
        <v>866</v>
      </c>
      <c r="B2592" t="s">
        <v>121</v>
      </c>
      <c r="C2592" t="s">
        <v>122</v>
      </c>
      <c r="D2592" t="s">
        <v>46</v>
      </c>
      <c r="G2592">
        <v>2056</v>
      </c>
    </row>
    <row r="2593" spans="1:7" x14ac:dyDescent="0.2">
      <c r="A2593" t="s">
        <v>866</v>
      </c>
      <c r="B2593" t="s">
        <v>129</v>
      </c>
      <c r="C2593" t="s">
        <v>130</v>
      </c>
      <c r="D2593" t="s">
        <v>8</v>
      </c>
      <c r="G2593">
        <v>26365</v>
      </c>
    </row>
    <row r="2594" spans="1:7" x14ac:dyDescent="0.2">
      <c r="A2594" t="s">
        <v>866</v>
      </c>
      <c r="B2594" t="s">
        <v>129</v>
      </c>
      <c r="C2594" t="s">
        <v>130</v>
      </c>
      <c r="D2594" t="s">
        <v>131</v>
      </c>
      <c r="E2594" t="s">
        <v>132</v>
      </c>
      <c r="F2594" t="s">
        <v>133</v>
      </c>
      <c r="G2594">
        <v>869</v>
      </c>
    </row>
    <row r="2595" spans="1:7" x14ac:dyDescent="0.2">
      <c r="A2595" t="s">
        <v>866</v>
      </c>
      <c r="B2595" t="s">
        <v>129</v>
      </c>
      <c r="C2595" t="s">
        <v>130</v>
      </c>
      <c r="D2595" t="s">
        <v>134</v>
      </c>
      <c r="E2595" t="s">
        <v>135</v>
      </c>
      <c r="F2595" t="s">
        <v>22</v>
      </c>
      <c r="G2595">
        <v>11801</v>
      </c>
    </row>
    <row r="2596" spans="1:7" x14ac:dyDescent="0.2">
      <c r="A2596" t="s">
        <v>866</v>
      </c>
      <c r="B2596" t="s">
        <v>129</v>
      </c>
      <c r="C2596" t="s">
        <v>130</v>
      </c>
      <c r="D2596" t="s">
        <v>136</v>
      </c>
      <c r="E2596" t="s">
        <v>137</v>
      </c>
      <c r="F2596" t="s">
        <v>28</v>
      </c>
      <c r="G2596">
        <v>11588</v>
      </c>
    </row>
    <row r="2597" spans="1:7" x14ac:dyDescent="0.2">
      <c r="A2597" t="s">
        <v>866</v>
      </c>
      <c r="B2597" t="s">
        <v>129</v>
      </c>
      <c r="C2597" t="s">
        <v>130</v>
      </c>
      <c r="D2597" t="s">
        <v>45</v>
      </c>
      <c r="G2597">
        <v>0</v>
      </c>
    </row>
    <row r="2598" spans="1:7" x14ac:dyDescent="0.2">
      <c r="A2598" t="s">
        <v>866</v>
      </c>
      <c r="B2598" t="s">
        <v>129</v>
      </c>
      <c r="C2598" t="s">
        <v>130</v>
      </c>
      <c r="D2598" t="s">
        <v>46</v>
      </c>
      <c r="G2598">
        <v>2107</v>
      </c>
    </row>
    <row r="2599" spans="1:7" x14ac:dyDescent="0.2">
      <c r="A2599" t="s">
        <v>866</v>
      </c>
      <c r="B2599" t="s">
        <v>144</v>
      </c>
      <c r="C2599" t="s">
        <v>145</v>
      </c>
      <c r="D2599" t="s">
        <v>8</v>
      </c>
      <c r="G2599">
        <v>10577</v>
      </c>
    </row>
    <row r="2600" spans="1:7" x14ac:dyDescent="0.2">
      <c r="A2600" t="s">
        <v>866</v>
      </c>
      <c r="B2600" t="s">
        <v>144</v>
      </c>
      <c r="C2600" t="s">
        <v>145</v>
      </c>
      <c r="D2600" t="s">
        <v>146</v>
      </c>
      <c r="E2600" t="s">
        <v>147</v>
      </c>
      <c r="F2600" t="s">
        <v>28</v>
      </c>
      <c r="G2600">
        <v>5334</v>
      </c>
    </row>
    <row r="2601" spans="1:7" x14ac:dyDescent="0.2">
      <c r="A2601" t="s">
        <v>866</v>
      </c>
      <c r="B2601" t="s">
        <v>144</v>
      </c>
      <c r="C2601" t="s">
        <v>145</v>
      </c>
      <c r="D2601" t="s">
        <v>148</v>
      </c>
      <c r="E2601" t="s">
        <v>149</v>
      </c>
      <c r="F2601" t="s">
        <v>22</v>
      </c>
      <c r="G2601">
        <v>4523</v>
      </c>
    </row>
    <row r="2602" spans="1:7" x14ac:dyDescent="0.2">
      <c r="A2602" t="s">
        <v>866</v>
      </c>
      <c r="B2602" t="s">
        <v>144</v>
      </c>
      <c r="C2602" t="s">
        <v>145</v>
      </c>
      <c r="D2602" t="s">
        <v>45</v>
      </c>
      <c r="G2602">
        <v>1</v>
      </c>
    </row>
    <row r="2603" spans="1:7" x14ac:dyDescent="0.2">
      <c r="A2603" t="s">
        <v>866</v>
      </c>
      <c r="B2603" t="s">
        <v>144</v>
      </c>
      <c r="C2603" t="s">
        <v>145</v>
      </c>
      <c r="D2603" t="s">
        <v>46</v>
      </c>
      <c r="G2603">
        <v>719</v>
      </c>
    </row>
    <row r="2604" spans="1:7" x14ac:dyDescent="0.2">
      <c r="A2604" t="s">
        <v>866</v>
      </c>
      <c r="B2604" t="s">
        <v>246</v>
      </c>
      <c r="C2604" t="s">
        <v>247</v>
      </c>
      <c r="D2604" t="s">
        <v>8</v>
      </c>
      <c r="G2604">
        <v>18801</v>
      </c>
    </row>
    <row r="2605" spans="1:7" x14ac:dyDescent="0.2">
      <c r="A2605" t="s">
        <v>866</v>
      </c>
      <c r="B2605" t="s">
        <v>246</v>
      </c>
      <c r="C2605" t="s">
        <v>247</v>
      </c>
      <c r="D2605" t="s">
        <v>248</v>
      </c>
      <c r="E2605" t="s">
        <v>249</v>
      </c>
      <c r="F2605" t="s">
        <v>22</v>
      </c>
      <c r="G2605">
        <v>8821</v>
      </c>
    </row>
    <row r="2606" spans="1:7" x14ac:dyDescent="0.2">
      <c r="A2606" t="s">
        <v>866</v>
      </c>
      <c r="B2606" t="s">
        <v>246</v>
      </c>
      <c r="C2606" t="s">
        <v>247</v>
      </c>
      <c r="D2606" t="s">
        <v>250</v>
      </c>
      <c r="E2606" t="s">
        <v>251</v>
      </c>
      <c r="F2606" t="s">
        <v>28</v>
      </c>
      <c r="G2606">
        <v>8757</v>
      </c>
    </row>
    <row r="2607" spans="1:7" x14ac:dyDescent="0.2">
      <c r="A2607" t="s">
        <v>866</v>
      </c>
      <c r="B2607" t="s">
        <v>246</v>
      </c>
      <c r="C2607" t="s">
        <v>247</v>
      </c>
      <c r="D2607" t="s">
        <v>45</v>
      </c>
      <c r="G2607">
        <v>0</v>
      </c>
    </row>
    <row r="2608" spans="1:7" x14ac:dyDescent="0.2">
      <c r="A2608" t="s">
        <v>866</v>
      </c>
      <c r="B2608" t="s">
        <v>246</v>
      </c>
      <c r="C2608" t="s">
        <v>247</v>
      </c>
      <c r="D2608" t="s">
        <v>46</v>
      </c>
      <c r="G2608">
        <v>1223</v>
      </c>
    </row>
    <row r="2609" spans="1:7" x14ac:dyDescent="0.2">
      <c r="A2609" t="s">
        <v>866</v>
      </c>
      <c r="B2609" t="s">
        <v>354</v>
      </c>
      <c r="C2609" t="s">
        <v>355</v>
      </c>
      <c r="D2609" t="s">
        <v>8</v>
      </c>
      <c r="G2609">
        <v>1178</v>
      </c>
    </row>
    <row r="2610" spans="1:7" x14ac:dyDescent="0.2">
      <c r="A2610" t="s">
        <v>866</v>
      </c>
      <c r="B2610" t="s">
        <v>354</v>
      </c>
      <c r="C2610" t="s">
        <v>355</v>
      </c>
      <c r="D2610" t="s">
        <v>356</v>
      </c>
      <c r="E2610" t="s">
        <v>357</v>
      </c>
      <c r="F2610" t="s">
        <v>22</v>
      </c>
      <c r="G2610">
        <v>228</v>
      </c>
    </row>
    <row r="2611" spans="1:7" x14ac:dyDescent="0.2">
      <c r="A2611" t="s">
        <v>866</v>
      </c>
      <c r="B2611" t="s">
        <v>354</v>
      </c>
      <c r="C2611" t="s">
        <v>355</v>
      </c>
      <c r="D2611" t="s">
        <v>358</v>
      </c>
      <c r="E2611" t="s">
        <v>359</v>
      </c>
      <c r="F2611" t="s">
        <v>88</v>
      </c>
      <c r="G2611">
        <v>32</v>
      </c>
    </row>
    <row r="2612" spans="1:7" x14ac:dyDescent="0.2">
      <c r="A2612" t="s">
        <v>866</v>
      </c>
      <c r="B2612" t="s">
        <v>354</v>
      </c>
      <c r="C2612" t="s">
        <v>355</v>
      </c>
      <c r="D2612" t="s">
        <v>360</v>
      </c>
      <c r="E2612" t="s">
        <v>361</v>
      </c>
      <c r="F2612" t="s">
        <v>28</v>
      </c>
      <c r="G2612">
        <v>854</v>
      </c>
    </row>
    <row r="2613" spans="1:7" x14ac:dyDescent="0.2">
      <c r="A2613" t="s">
        <v>866</v>
      </c>
      <c r="B2613" t="s">
        <v>354</v>
      </c>
      <c r="C2613" t="s">
        <v>355</v>
      </c>
      <c r="D2613" t="s">
        <v>45</v>
      </c>
      <c r="G2613">
        <v>0</v>
      </c>
    </row>
    <row r="2614" spans="1:7" x14ac:dyDescent="0.2">
      <c r="A2614" t="s">
        <v>866</v>
      </c>
      <c r="B2614" t="s">
        <v>354</v>
      </c>
      <c r="C2614" t="s">
        <v>355</v>
      </c>
      <c r="D2614" t="s">
        <v>46</v>
      </c>
      <c r="G2614">
        <v>64</v>
      </c>
    </row>
    <row r="2615" spans="1:7" x14ac:dyDescent="0.2">
      <c r="A2615" t="s">
        <v>866</v>
      </c>
      <c r="B2615" t="s">
        <v>560</v>
      </c>
      <c r="C2615" t="s">
        <v>561</v>
      </c>
      <c r="D2615" t="s">
        <v>8</v>
      </c>
      <c r="G2615">
        <v>6372</v>
      </c>
    </row>
    <row r="2616" spans="1:7" x14ac:dyDescent="0.2">
      <c r="A2616" t="s">
        <v>866</v>
      </c>
      <c r="B2616" t="s">
        <v>560</v>
      </c>
      <c r="C2616" t="s">
        <v>561</v>
      </c>
      <c r="D2616" t="s">
        <v>562</v>
      </c>
      <c r="E2616" t="s">
        <v>563</v>
      </c>
      <c r="F2616" t="s">
        <v>28</v>
      </c>
      <c r="G2616">
        <v>3959</v>
      </c>
    </row>
    <row r="2617" spans="1:7" x14ac:dyDescent="0.2">
      <c r="A2617" t="s">
        <v>866</v>
      </c>
      <c r="B2617" t="s">
        <v>560</v>
      </c>
      <c r="C2617" t="s">
        <v>561</v>
      </c>
      <c r="D2617" t="s">
        <v>564</v>
      </c>
      <c r="E2617" t="s">
        <v>565</v>
      </c>
      <c r="F2617" t="s">
        <v>22</v>
      </c>
      <c r="G2617">
        <v>1995</v>
      </c>
    </row>
    <row r="2618" spans="1:7" x14ac:dyDescent="0.2">
      <c r="A2618" t="s">
        <v>866</v>
      </c>
      <c r="B2618" t="s">
        <v>560</v>
      </c>
      <c r="C2618" t="s">
        <v>561</v>
      </c>
      <c r="D2618" t="s">
        <v>45</v>
      </c>
      <c r="G2618">
        <v>0</v>
      </c>
    </row>
    <row r="2619" spans="1:7" x14ac:dyDescent="0.2">
      <c r="A2619" t="s">
        <v>866</v>
      </c>
      <c r="B2619" t="s">
        <v>560</v>
      </c>
      <c r="C2619" t="s">
        <v>561</v>
      </c>
      <c r="D2619" t="s">
        <v>46</v>
      </c>
      <c r="G2619">
        <v>418</v>
      </c>
    </row>
    <row r="2620" spans="1:7" x14ac:dyDescent="0.2">
      <c r="A2620" t="s">
        <v>866</v>
      </c>
      <c r="B2620" t="s">
        <v>608</v>
      </c>
      <c r="C2620" t="s">
        <v>609</v>
      </c>
      <c r="D2620" t="s">
        <v>8</v>
      </c>
      <c r="G2620">
        <v>14</v>
      </c>
    </row>
    <row r="2621" spans="1:7" x14ac:dyDescent="0.2">
      <c r="A2621" t="s">
        <v>866</v>
      </c>
      <c r="B2621" t="s">
        <v>608</v>
      </c>
      <c r="C2621" t="s">
        <v>609</v>
      </c>
      <c r="D2621" t="s">
        <v>610</v>
      </c>
      <c r="E2621" t="s">
        <v>611</v>
      </c>
      <c r="F2621" t="s">
        <v>22</v>
      </c>
      <c r="G2621">
        <v>11</v>
      </c>
    </row>
    <row r="2622" spans="1:7" x14ac:dyDescent="0.2">
      <c r="A2622" t="s">
        <v>866</v>
      </c>
      <c r="B2622" t="s">
        <v>608</v>
      </c>
      <c r="C2622" t="s">
        <v>609</v>
      </c>
      <c r="D2622" t="s">
        <v>45</v>
      </c>
      <c r="G2622">
        <v>0</v>
      </c>
    </row>
    <row r="2623" spans="1:7" x14ac:dyDescent="0.2">
      <c r="A2623" t="s">
        <v>866</v>
      </c>
      <c r="B2623" t="s">
        <v>608</v>
      </c>
      <c r="C2623" t="s">
        <v>609</v>
      </c>
      <c r="D2623" t="s">
        <v>46</v>
      </c>
      <c r="G2623">
        <v>3</v>
      </c>
    </row>
    <row r="2624" spans="1:7" x14ac:dyDescent="0.2">
      <c r="A2624" t="s">
        <v>866</v>
      </c>
      <c r="B2624" t="s">
        <v>654</v>
      </c>
      <c r="C2624" t="s">
        <v>655</v>
      </c>
      <c r="D2624" t="s">
        <v>8</v>
      </c>
      <c r="G2624">
        <v>17332</v>
      </c>
    </row>
    <row r="2625" spans="1:7" x14ac:dyDescent="0.2">
      <c r="A2625" t="s">
        <v>866</v>
      </c>
      <c r="B2625" t="s">
        <v>654</v>
      </c>
      <c r="C2625" t="s">
        <v>655</v>
      </c>
      <c r="D2625" t="s">
        <v>656</v>
      </c>
      <c r="E2625" t="s">
        <v>657</v>
      </c>
      <c r="F2625" t="s">
        <v>28</v>
      </c>
      <c r="G2625">
        <v>9939</v>
      </c>
    </row>
    <row r="2626" spans="1:7" x14ac:dyDescent="0.2">
      <c r="A2626" t="s">
        <v>866</v>
      </c>
      <c r="B2626" t="s">
        <v>654</v>
      </c>
      <c r="C2626" t="s">
        <v>655</v>
      </c>
      <c r="D2626" t="s">
        <v>658</v>
      </c>
      <c r="E2626" t="s">
        <v>659</v>
      </c>
      <c r="F2626" t="s">
        <v>11</v>
      </c>
      <c r="G2626">
        <v>4644</v>
      </c>
    </row>
    <row r="2627" spans="1:7" x14ac:dyDescent="0.2">
      <c r="A2627" t="s">
        <v>866</v>
      </c>
      <c r="B2627" t="s">
        <v>654</v>
      </c>
      <c r="C2627" t="s">
        <v>655</v>
      </c>
      <c r="D2627" t="s">
        <v>45</v>
      </c>
      <c r="G2627">
        <v>5</v>
      </c>
    </row>
    <row r="2628" spans="1:7" x14ac:dyDescent="0.2">
      <c r="A2628" t="s">
        <v>866</v>
      </c>
      <c r="B2628" t="s">
        <v>654</v>
      </c>
      <c r="C2628" t="s">
        <v>655</v>
      </c>
      <c r="D2628" t="s">
        <v>46</v>
      </c>
      <c r="G2628">
        <v>2744</v>
      </c>
    </row>
    <row r="2629" spans="1:7" x14ac:dyDescent="0.2">
      <c r="A2629" t="s">
        <v>866</v>
      </c>
      <c r="B2629" t="s">
        <v>692</v>
      </c>
      <c r="C2629" t="s">
        <v>693</v>
      </c>
      <c r="D2629" t="s">
        <v>8</v>
      </c>
      <c r="G2629">
        <v>26365</v>
      </c>
    </row>
    <row r="2630" spans="1:7" x14ac:dyDescent="0.2">
      <c r="A2630" t="s">
        <v>866</v>
      </c>
      <c r="B2630" t="s">
        <v>692</v>
      </c>
      <c r="C2630" t="s">
        <v>693</v>
      </c>
      <c r="D2630" t="s">
        <v>694</v>
      </c>
      <c r="E2630" t="s">
        <v>695</v>
      </c>
      <c r="G2630">
        <v>14237</v>
      </c>
    </row>
    <row r="2631" spans="1:7" x14ac:dyDescent="0.2">
      <c r="A2631" t="s">
        <v>866</v>
      </c>
      <c r="B2631" t="s">
        <v>692</v>
      </c>
      <c r="C2631" t="s">
        <v>693</v>
      </c>
      <c r="D2631" t="s">
        <v>696</v>
      </c>
      <c r="E2631" t="s">
        <v>697</v>
      </c>
      <c r="G2631">
        <v>4329</v>
      </c>
    </row>
    <row r="2632" spans="1:7" x14ac:dyDescent="0.2">
      <c r="A2632" t="s">
        <v>866</v>
      </c>
      <c r="B2632" t="s">
        <v>692</v>
      </c>
      <c r="C2632" t="s">
        <v>693</v>
      </c>
      <c r="D2632" t="s">
        <v>45</v>
      </c>
      <c r="G2632">
        <v>6</v>
      </c>
    </row>
    <row r="2633" spans="1:7" x14ac:dyDescent="0.2">
      <c r="A2633" t="s">
        <v>866</v>
      </c>
      <c r="B2633" t="s">
        <v>692</v>
      </c>
      <c r="C2633" t="s">
        <v>693</v>
      </c>
      <c r="D2633" t="s">
        <v>46</v>
      </c>
      <c r="G2633">
        <v>7793</v>
      </c>
    </row>
    <row r="2634" spans="1:7" x14ac:dyDescent="0.2">
      <c r="A2634" t="s">
        <v>866</v>
      </c>
      <c r="B2634" t="s">
        <v>698</v>
      </c>
      <c r="C2634" t="s">
        <v>699</v>
      </c>
      <c r="D2634" t="s">
        <v>8</v>
      </c>
      <c r="G2634">
        <v>26365</v>
      </c>
    </row>
    <row r="2635" spans="1:7" x14ac:dyDescent="0.2">
      <c r="A2635" t="s">
        <v>866</v>
      </c>
      <c r="B2635" t="s">
        <v>698</v>
      </c>
      <c r="C2635" t="s">
        <v>699</v>
      </c>
      <c r="D2635" t="s">
        <v>694</v>
      </c>
      <c r="E2635" t="s">
        <v>700</v>
      </c>
      <c r="G2635">
        <v>13864</v>
      </c>
    </row>
    <row r="2636" spans="1:7" x14ac:dyDescent="0.2">
      <c r="A2636" t="s">
        <v>866</v>
      </c>
      <c r="B2636" t="s">
        <v>698</v>
      </c>
      <c r="C2636" t="s">
        <v>699</v>
      </c>
      <c r="D2636" t="s">
        <v>696</v>
      </c>
      <c r="E2636" t="s">
        <v>701</v>
      </c>
      <c r="G2636">
        <v>4181</v>
      </c>
    </row>
    <row r="2637" spans="1:7" x14ac:dyDescent="0.2">
      <c r="A2637" t="s">
        <v>866</v>
      </c>
      <c r="B2637" t="s">
        <v>698</v>
      </c>
      <c r="C2637" t="s">
        <v>699</v>
      </c>
      <c r="D2637" t="s">
        <v>45</v>
      </c>
      <c r="G2637">
        <v>4</v>
      </c>
    </row>
    <row r="2638" spans="1:7" x14ac:dyDescent="0.2">
      <c r="A2638" t="s">
        <v>866</v>
      </c>
      <c r="B2638" t="s">
        <v>698</v>
      </c>
      <c r="C2638" t="s">
        <v>699</v>
      </c>
      <c r="D2638" t="s">
        <v>46</v>
      </c>
      <c r="G2638">
        <v>8316</v>
      </c>
    </row>
    <row r="2639" spans="1:7" x14ac:dyDescent="0.2">
      <c r="A2639" t="s">
        <v>866</v>
      </c>
      <c r="B2639" t="s">
        <v>730</v>
      </c>
      <c r="C2639" t="s">
        <v>731</v>
      </c>
      <c r="D2639" t="s">
        <v>8</v>
      </c>
      <c r="G2639">
        <v>26365</v>
      </c>
    </row>
    <row r="2640" spans="1:7" x14ac:dyDescent="0.2">
      <c r="A2640" t="s">
        <v>866</v>
      </c>
      <c r="B2640" t="s">
        <v>730</v>
      </c>
      <c r="C2640" t="s">
        <v>731</v>
      </c>
      <c r="D2640" t="s">
        <v>694</v>
      </c>
      <c r="E2640" t="s">
        <v>732</v>
      </c>
      <c r="G2640">
        <v>13817</v>
      </c>
    </row>
    <row r="2641" spans="1:7" x14ac:dyDescent="0.2">
      <c r="A2641" t="s">
        <v>866</v>
      </c>
      <c r="B2641" t="s">
        <v>730</v>
      </c>
      <c r="C2641" t="s">
        <v>731</v>
      </c>
      <c r="D2641" t="s">
        <v>696</v>
      </c>
      <c r="E2641" t="s">
        <v>733</v>
      </c>
      <c r="G2641">
        <v>4122</v>
      </c>
    </row>
    <row r="2642" spans="1:7" x14ac:dyDescent="0.2">
      <c r="A2642" t="s">
        <v>866</v>
      </c>
      <c r="B2642" t="s">
        <v>730</v>
      </c>
      <c r="C2642" t="s">
        <v>731</v>
      </c>
      <c r="D2642" t="s">
        <v>45</v>
      </c>
      <c r="G2642">
        <v>4</v>
      </c>
    </row>
    <row r="2643" spans="1:7" x14ac:dyDescent="0.2">
      <c r="A2643" t="s">
        <v>866</v>
      </c>
      <c r="B2643" t="s">
        <v>730</v>
      </c>
      <c r="C2643" t="s">
        <v>731</v>
      </c>
      <c r="D2643" t="s">
        <v>46</v>
      </c>
      <c r="G2643">
        <v>8422</v>
      </c>
    </row>
    <row r="2644" spans="1:7" x14ac:dyDescent="0.2">
      <c r="A2644" t="s">
        <v>866</v>
      </c>
      <c r="B2644" t="s">
        <v>734</v>
      </c>
      <c r="C2644" t="s">
        <v>735</v>
      </c>
      <c r="D2644" t="s">
        <v>8</v>
      </c>
      <c r="G2644">
        <v>26365</v>
      </c>
    </row>
    <row r="2645" spans="1:7" x14ac:dyDescent="0.2">
      <c r="A2645" t="s">
        <v>866</v>
      </c>
      <c r="B2645" t="s">
        <v>734</v>
      </c>
      <c r="C2645" t="s">
        <v>735</v>
      </c>
      <c r="D2645" t="s">
        <v>694</v>
      </c>
      <c r="E2645" t="s">
        <v>736</v>
      </c>
      <c r="G2645">
        <v>14084</v>
      </c>
    </row>
    <row r="2646" spans="1:7" x14ac:dyDescent="0.2">
      <c r="A2646" t="s">
        <v>866</v>
      </c>
      <c r="B2646" t="s">
        <v>734</v>
      </c>
      <c r="C2646" t="s">
        <v>735</v>
      </c>
      <c r="D2646" t="s">
        <v>696</v>
      </c>
      <c r="E2646" t="s">
        <v>737</v>
      </c>
      <c r="G2646">
        <v>3782</v>
      </c>
    </row>
    <row r="2647" spans="1:7" x14ac:dyDescent="0.2">
      <c r="A2647" t="s">
        <v>866</v>
      </c>
      <c r="B2647" t="s">
        <v>734</v>
      </c>
      <c r="C2647" t="s">
        <v>735</v>
      </c>
      <c r="D2647" t="s">
        <v>45</v>
      </c>
      <c r="G2647">
        <v>5</v>
      </c>
    </row>
    <row r="2648" spans="1:7" x14ac:dyDescent="0.2">
      <c r="A2648" t="s">
        <v>866</v>
      </c>
      <c r="B2648" t="s">
        <v>734</v>
      </c>
      <c r="C2648" t="s">
        <v>735</v>
      </c>
      <c r="D2648" t="s">
        <v>46</v>
      </c>
      <c r="G2648">
        <v>8494</v>
      </c>
    </row>
    <row r="2649" spans="1:7" x14ac:dyDescent="0.2">
      <c r="A2649" t="s">
        <v>866</v>
      </c>
      <c r="B2649" t="s">
        <v>738</v>
      </c>
      <c r="C2649" t="s">
        <v>739</v>
      </c>
      <c r="D2649" t="s">
        <v>8</v>
      </c>
      <c r="G2649">
        <v>26365</v>
      </c>
    </row>
    <row r="2650" spans="1:7" x14ac:dyDescent="0.2">
      <c r="A2650" t="s">
        <v>866</v>
      </c>
      <c r="B2650" t="s">
        <v>738</v>
      </c>
      <c r="C2650" t="s">
        <v>739</v>
      </c>
      <c r="D2650" t="s">
        <v>694</v>
      </c>
      <c r="E2650" t="s">
        <v>740</v>
      </c>
      <c r="G2650">
        <v>13908</v>
      </c>
    </row>
    <row r="2651" spans="1:7" x14ac:dyDescent="0.2">
      <c r="A2651" t="s">
        <v>866</v>
      </c>
      <c r="B2651" t="s">
        <v>738</v>
      </c>
      <c r="C2651" t="s">
        <v>739</v>
      </c>
      <c r="D2651" t="s">
        <v>696</v>
      </c>
      <c r="E2651" t="s">
        <v>741</v>
      </c>
      <c r="G2651">
        <v>3919</v>
      </c>
    </row>
    <row r="2652" spans="1:7" x14ac:dyDescent="0.2">
      <c r="A2652" t="s">
        <v>866</v>
      </c>
      <c r="B2652" t="s">
        <v>738</v>
      </c>
      <c r="C2652" t="s">
        <v>739</v>
      </c>
      <c r="D2652" t="s">
        <v>45</v>
      </c>
      <c r="G2652">
        <v>3</v>
      </c>
    </row>
    <row r="2653" spans="1:7" x14ac:dyDescent="0.2">
      <c r="A2653" t="s">
        <v>866</v>
      </c>
      <c r="B2653" t="s">
        <v>738</v>
      </c>
      <c r="C2653" t="s">
        <v>739</v>
      </c>
      <c r="D2653" t="s">
        <v>46</v>
      </c>
      <c r="G2653">
        <v>8535</v>
      </c>
    </row>
    <row r="2654" spans="1:7" x14ac:dyDescent="0.2">
      <c r="A2654" t="s">
        <v>866</v>
      </c>
      <c r="B2654" t="s">
        <v>742</v>
      </c>
      <c r="C2654" t="s">
        <v>743</v>
      </c>
      <c r="D2654" t="s">
        <v>8</v>
      </c>
      <c r="G2654">
        <v>26365</v>
      </c>
    </row>
    <row r="2655" spans="1:7" x14ac:dyDescent="0.2">
      <c r="A2655" t="s">
        <v>866</v>
      </c>
      <c r="B2655" t="s">
        <v>742</v>
      </c>
      <c r="C2655" t="s">
        <v>743</v>
      </c>
      <c r="D2655" t="s">
        <v>694</v>
      </c>
      <c r="E2655" t="s">
        <v>744</v>
      </c>
      <c r="G2655">
        <v>13507</v>
      </c>
    </row>
    <row r="2656" spans="1:7" x14ac:dyDescent="0.2">
      <c r="A2656" t="s">
        <v>866</v>
      </c>
      <c r="B2656" t="s">
        <v>742</v>
      </c>
      <c r="C2656" t="s">
        <v>743</v>
      </c>
      <c r="D2656" t="s">
        <v>696</v>
      </c>
      <c r="E2656" t="s">
        <v>745</v>
      </c>
      <c r="G2656">
        <v>4230</v>
      </c>
    </row>
    <row r="2657" spans="1:7" x14ac:dyDescent="0.2">
      <c r="A2657" t="s">
        <v>866</v>
      </c>
      <c r="B2657" t="s">
        <v>742</v>
      </c>
      <c r="C2657" t="s">
        <v>743</v>
      </c>
      <c r="D2657" t="s">
        <v>45</v>
      </c>
      <c r="G2657">
        <v>8</v>
      </c>
    </row>
    <row r="2658" spans="1:7" x14ac:dyDescent="0.2">
      <c r="A2658" t="s">
        <v>866</v>
      </c>
      <c r="B2658" t="s">
        <v>742</v>
      </c>
      <c r="C2658" t="s">
        <v>743</v>
      </c>
      <c r="D2658" t="s">
        <v>46</v>
      </c>
      <c r="G2658">
        <v>8620</v>
      </c>
    </row>
    <row r="2659" spans="1:7" x14ac:dyDescent="0.2">
      <c r="A2659" t="s">
        <v>866</v>
      </c>
      <c r="B2659" t="s">
        <v>746</v>
      </c>
      <c r="C2659" t="s">
        <v>747</v>
      </c>
      <c r="D2659" t="s">
        <v>8</v>
      </c>
      <c r="G2659">
        <v>26365</v>
      </c>
    </row>
    <row r="2660" spans="1:7" x14ac:dyDescent="0.2">
      <c r="A2660" t="s">
        <v>866</v>
      </c>
      <c r="B2660" t="s">
        <v>746</v>
      </c>
      <c r="C2660" t="s">
        <v>747</v>
      </c>
      <c r="D2660" t="s">
        <v>694</v>
      </c>
      <c r="E2660" t="s">
        <v>748</v>
      </c>
      <c r="G2660">
        <v>13848</v>
      </c>
    </row>
    <row r="2661" spans="1:7" x14ac:dyDescent="0.2">
      <c r="A2661" t="s">
        <v>866</v>
      </c>
      <c r="B2661" t="s">
        <v>746</v>
      </c>
      <c r="C2661" t="s">
        <v>747</v>
      </c>
      <c r="D2661" t="s">
        <v>696</v>
      </c>
      <c r="E2661" t="s">
        <v>749</v>
      </c>
      <c r="G2661">
        <v>3877</v>
      </c>
    </row>
    <row r="2662" spans="1:7" x14ac:dyDescent="0.2">
      <c r="A2662" t="s">
        <v>866</v>
      </c>
      <c r="B2662" t="s">
        <v>746</v>
      </c>
      <c r="C2662" t="s">
        <v>747</v>
      </c>
      <c r="D2662" t="s">
        <v>45</v>
      </c>
      <c r="G2662">
        <v>1</v>
      </c>
    </row>
    <row r="2663" spans="1:7" x14ac:dyDescent="0.2">
      <c r="A2663" t="s">
        <v>866</v>
      </c>
      <c r="B2663" t="s">
        <v>746</v>
      </c>
      <c r="C2663" t="s">
        <v>747</v>
      </c>
      <c r="D2663" t="s">
        <v>46</v>
      </c>
      <c r="G2663">
        <v>8639</v>
      </c>
    </row>
    <row r="2664" spans="1:7" x14ac:dyDescent="0.2">
      <c r="A2664" t="s">
        <v>866</v>
      </c>
      <c r="B2664" t="s">
        <v>750</v>
      </c>
      <c r="C2664" t="s">
        <v>751</v>
      </c>
      <c r="D2664" t="s">
        <v>8</v>
      </c>
      <c r="G2664">
        <v>26365</v>
      </c>
    </row>
    <row r="2665" spans="1:7" x14ac:dyDescent="0.2">
      <c r="A2665" t="s">
        <v>866</v>
      </c>
      <c r="B2665" t="s">
        <v>750</v>
      </c>
      <c r="C2665" t="s">
        <v>751</v>
      </c>
      <c r="D2665" t="s">
        <v>694</v>
      </c>
      <c r="E2665" t="s">
        <v>752</v>
      </c>
      <c r="G2665">
        <v>13539</v>
      </c>
    </row>
    <row r="2666" spans="1:7" x14ac:dyDescent="0.2">
      <c r="A2666" t="s">
        <v>866</v>
      </c>
      <c r="B2666" t="s">
        <v>750</v>
      </c>
      <c r="C2666" t="s">
        <v>751</v>
      </c>
      <c r="D2666" t="s">
        <v>696</v>
      </c>
      <c r="E2666" t="s">
        <v>753</v>
      </c>
      <c r="G2666">
        <v>4274</v>
      </c>
    </row>
    <row r="2667" spans="1:7" x14ac:dyDescent="0.2">
      <c r="A2667" t="s">
        <v>866</v>
      </c>
      <c r="B2667" t="s">
        <v>750</v>
      </c>
      <c r="C2667" t="s">
        <v>751</v>
      </c>
      <c r="D2667" t="s">
        <v>45</v>
      </c>
      <c r="G2667">
        <v>3</v>
      </c>
    </row>
    <row r="2668" spans="1:7" x14ac:dyDescent="0.2">
      <c r="A2668" t="s">
        <v>866</v>
      </c>
      <c r="B2668" t="s">
        <v>750</v>
      </c>
      <c r="C2668" t="s">
        <v>751</v>
      </c>
      <c r="D2668" t="s">
        <v>46</v>
      </c>
      <c r="G2668">
        <v>8549</v>
      </c>
    </row>
    <row r="2669" spans="1:7" x14ac:dyDescent="0.2">
      <c r="A2669" t="s">
        <v>866</v>
      </c>
      <c r="B2669" t="s">
        <v>754</v>
      </c>
      <c r="C2669" t="s">
        <v>755</v>
      </c>
      <c r="D2669" t="s">
        <v>8</v>
      </c>
      <c r="G2669">
        <v>26365</v>
      </c>
    </row>
    <row r="2670" spans="1:7" x14ac:dyDescent="0.2">
      <c r="A2670" t="s">
        <v>866</v>
      </c>
      <c r="B2670" t="s">
        <v>754</v>
      </c>
      <c r="C2670" t="s">
        <v>755</v>
      </c>
      <c r="D2670" t="s">
        <v>694</v>
      </c>
      <c r="E2670" t="s">
        <v>756</v>
      </c>
      <c r="G2670">
        <v>14505</v>
      </c>
    </row>
    <row r="2671" spans="1:7" x14ac:dyDescent="0.2">
      <c r="A2671" t="s">
        <v>866</v>
      </c>
      <c r="B2671" t="s">
        <v>754</v>
      </c>
      <c r="C2671" t="s">
        <v>755</v>
      </c>
      <c r="D2671" t="s">
        <v>696</v>
      </c>
      <c r="E2671" t="s">
        <v>757</v>
      </c>
      <c r="G2671">
        <v>3317</v>
      </c>
    </row>
    <row r="2672" spans="1:7" x14ac:dyDescent="0.2">
      <c r="A2672" t="s">
        <v>866</v>
      </c>
      <c r="B2672" t="s">
        <v>754</v>
      </c>
      <c r="C2672" t="s">
        <v>755</v>
      </c>
      <c r="D2672" t="s">
        <v>45</v>
      </c>
      <c r="G2672">
        <v>4</v>
      </c>
    </row>
    <row r="2673" spans="1:7" x14ac:dyDescent="0.2">
      <c r="A2673" t="s">
        <v>866</v>
      </c>
      <c r="B2673" t="s">
        <v>754</v>
      </c>
      <c r="C2673" t="s">
        <v>755</v>
      </c>
      <c r="D2673" t="s">
        <v>46</v>
      </c>
      <c r="G2673">
        <v>8539</v>
      </c>
    </row>
    <row r="2674" spans="1:7" x14ac:dyDescent="0.2">
      <c r="A2674" t="s">
        <v>866</v>
      </c>
      <c r="B2674" t="s">
        <v>758</v>
      </c>
      <c r="C2674" t="s">
        <v>759</v>
      </c>
      <c r="D2674" t="s">
        <v>8</v>
      </c>
      <c r="G2674">
        <v>26365</v>
      </c>
    </row>
    <row r="2675" spans="1:7" x14ac:dyDescent="0.2">
      <c r="A2675" t="s">
        <v>866</v>
      </c>
      <c r="B2675" t="s">
        <v>758</v>
      </c>
      <c r="C2675" t="s">
        <v>759</v>
      </c>
      <c r="D2675" t="s">
        <v>694</v>
      </c>
      <c r="E2675" t="s">
        <v>760</v>
      </c>
      <c r="G2675">
        <v>14482</v>
      </c>
    </row>
    <row r="2676" spans="1:7" x14ac:dyDescent="0.2">
      <c r="A2676" t="s">
        <v>866</v>
      </c>
      <c r="B2676" t="s">
        <v>758</v>
      </c>
      <c r="C2676" t="s">
        <v>759</v>
      </c>
      <c r="D2676" t="s">
        <v>696</v>
      </c>
      <c r="E2676" t="s">
        <v>761</v>
      </c>
      <c r="G2676">
        <v>3341</v>
      </c>
    </row>
    <row r="2677" spans="1:7" x14ac:dyDescent="0.2">
      <c r="A2677" t="s">
        <v>866</v>
      </c>
      <c r="B2677" t="s">
        <v>758</v>
      </c>
      <c r="C2677" t="s">
        <v>759</v>
      </c>
      <c r="D2677" t="s">
        <v>45</v>
      </c>
      <c r="G2677">
        <v>4</v>
      </c>
    </row>
    <row r="2678" spans="1:7" x14ac:dyDescent="0.2">
      <c r="A2678" t="s">
        <v>866</v>
      </c>
      <c r="B2678" t="s">
        <v>758</v>
      </c>
      <c r="C2678" t="s">
        <v>759</v>
      </c>
      <c r="D2678" t="s">
        <v>46</v>
      </c>
      <c r="G2678">
        <v>8538</v>
      </c>
    </row>
    <row r="2679" spans="1:7" x14ac:dyDescent="0.2">
      <c r="A2679" t="s">
        <v>866</v>
      </c>
      <c r="B2679" t="s">
        <v>810</v>
      </c>
      <c r="C2679" t="s">
        <v>811</v>
      </c>
      <c r="D2679" t="s">
        <v>8</v>
      </c>
      <c r="G2679">
        <v>26365</v>
      </c>
    </row>
    <row r="2680" spans="1:7" x14ac:dyDescent="0.2">
      <c r="A2680" t="s">
        <v>866</v>
      </c>
      <c r="B2680" t="s">
        <v>810</v>
      </c>
      <c r="C2680" t="s">
        <v>811</v>
      </c>
      <c r="D2680" t="s">
        <v>694</v>
      </c>
      <c r="E2680" t="s">
        <v>812</v>
      </c>
      <c r="G2680">
        <v>14409</v>
      </c>
    </row>
    <row r="2681" spans="1:7" x14ac:dyDescent="0.2">
      <c r="A2681" t="s">
        <v>866</v>
      </c>
      <c r="B2681" t="s">
        <v>810</v>
      </c>
      <c r="C2681" t="s">
        <v>811</v>
      </c>
      <c r="D2681" t="s">
        <v>696</v>
      </c>
      <c r="E2681" t="s">
        <v>813</v>
      </c>
      <c r="G2681">
        <v>3374</v>
      </c>
    </row>
    <row r="2682" spans="1:7" x14ac:dyDescent="0.2">
      <c r="A2682" t="s">
        <v>866</v>
      </c>
      <c r="B2682" t="s">
        <v>810</v>
      </c>
      <c r="C2682" t="s">
        <v>811</v>
      </c>
      <c r="D2682" t="s">
        <v>45</v>
      </c>
      <c r="G2682">
        <v>6</v>
      </c>
    </row>
    <row r="2683" spans="1:7" x14ac:dyDescent="0.2">
      <c r="A2683" t="s">
        <v>866</v>
      </c>
      <c r="B2683" t="s">
        <v>810</v>
      </c>
      <c r="C2683" t="s">
        <v>811</v>
      </c>
      <c r="D2683" t="s">
        <v>46</v>
      </c>
      <c r="G2683">
        <v>8576</v>
      </c>
    </row>
    <row r="2684" spans="1:7" x14ac:dyDescent="0.2">
      <c r="A2684" t="s">
        <v>866</v>
      </c>
      <c r="B2684" t="s">
        <v>814</v>
      </c>
      <c r="C2684" t="s">
        <v>815</v>
      </c>
      <c r="D2684" t="s">
        <v>8</v>
      </c>
      <c r="G2684">
        <v>26365</v>
      </c>
    </row>
    <row r="2685" spans="1:7" x14ac:dyDescent="0.2">
      <c r="A2685" t="s">
        <v>866</v>
      </c>
      <c r="B2685" t="s">
        <v>814</v>
      </c>
      <c r="C2685" t="s">
        <v>815</v>
      </c>
      <c r="D2685" t="s">
        <v>694</v>
      </c>
      <c r="E2685" t="s">
        <v>816</v>
      </c>
      <c r="G2685">
        <v>14477</v>
      </c>
    </row>
    <row r="2686" spans="1:7" x14ac:dyDescent="0.2">
      <c r="A2686" t="s">
        <v>866</v>
      </c>
      <c r="B2686" t="s">
        <v>814</v>
      </c>
      <c r="C2686" t="s">
        <v>815</v>
      </c>
      <c r="D2686" t="s">
        <v>696</v>
      </c>
      <c r="E2686" t="s">
        <v>817</v>
      </c>
      <c r="G2686">
        <v>3242</v>
      </c>
    </row>
    <row r="2687" spans="1:7" x14ac:dyDescent="0.2">
      <c r="A2687" t="s">
        <v>866</v>
      </c>
      <c r="B2687" t="s">
        <v>814</v>
      </c>
      <c r="C2687" t="s">
        <v>815</v>
      </c>
      <c r="D2687" t="s">
        <v>45</v>
      </c>
      <c r="G2687">
        <v>1</v>
      </c>
    </row>
    <row r="2688" spans="1:7" x14ac:dyDescent="0.2">
      <c r="A2688" t="s">
        <v>866</v>
      </c>
      <c r="B2688" t="s">
        <v>814</v>
      </c>
      <c r="C2688" t="s">
        <v>815</v>
      </c>
      <c r="D2688" t="s">
        <v>46</v>
      </c>
      <c r="G2688">
        <v>8645</v>
      </c>
    </row>
    <row r="2689" spans="1:7" x14ac:dyDescent="0.2">
      <c r="A2689" t="s">
        <v>866</v>
      </c>
      <c r="B2689" t="s">
        <v>818</v>
      </c>
      <c r="C2689" t="s">
        <v>819</v>
      </c>
      <c r="D2689" t="s">
        <v>8</v>
      </c>
      <c r="G2689">
        <v>26365</v>
      </c>
    </row>
    <row r="2690" spans="1:7" x14ac:dyDescent="0.2">
      <c r="A2690" t="s">
        <v>866</v>
      </c>
      <c r="B2690" t="s">
        <v>818</v>
      </c>
      <c r="C2690" t="s">
        <v>819</v>
      </c>
      <c r="D2690" t="s">
        <v>694</v>
      </c>
      <c r="E2690" t="s">
        <v>820</v>
      </c>
      <c r="G2690">
        <v>14517</v>
      </c>
    </row>
    <row r="2691" spans="1:7" x14ac:dyDescent="0.2">
      <c r="A2691" t="s">
        <v>866</v>
      </c>
      <c r="B2691" t="s">
        <v>818</v>
      </c>
      <c r="C2691" t="s">
        <v>819</v>
      </c>
      <c r="D2691" t="s">
        <v>696</v>
      </c>
      <c r="E2691" t="s">
        <v>821</v>
      </c>
      <c r="G2691">
        <v>3113</v>
      </c>
    </row>
    <row r="2692" spans="1:7" x14ac:dyDescent="0.2">
      <c r="A2692" t="s">
        <v>866</v>
      </c>
      <c r="B2692" t="s">
        <v>818</v>
      </c>
      <c r="C2692" t="s">
        <v>819</v>
      </c>
      <c r="D2692" t="s">
        <v>45</v>
      </c>
      <c r="G2692">
        <v>10</v>
      </c>
    </row>
    <row r="2693" spans="1:7" x14ac:dyDescent="0.2">
      <c r="A2693" t="s">
        <v>866</v>
      </c>
      <c r="B2693" t="s">
        <v>818</v>
      </c>
      <c r="C2693" t="s">
        <v>819</v>
      </c>
      <c r="D2693" t="s">
        <v>46</v>
      </c>
      <c r="G2693">
        <v>8725</v>
      </c>
    </row>
    <row r="2694" spans="1:7" x14ac:dyDescent="0.2">
      <c r="A2694" t="s">
        <v>866</v>
      </c>
      <c r="B2694" t="s">
        <v>822</v>
      </c>
      <c r="C2694" t="s">
        <v>823</v>
      </c>
      <c r="D2694" t="s">
        <v>8</v>
      </c>
      <c r="G2694">
        <v>26365</v>
      </c>
    </row>
    <row r="2695" spans="1:7" x14ac:dyDescent="0.2">
      <c r="A2695" t="s">
        <v>866</v>
      </c>
      <c r="B2695" t="s">
        <v>822</v>
      </c>
      <c r="C2695" t="s">
        <v>823</v>
      </c>
      <c r="D2695" t="s">
        <v>694</v>
      </c>
      <c r="E2695" t="s">
        <v>824</v>
      </c>
      <c r="G2695">
        <v>14029</v>
      </c>
    </row>
    <row r="2696" spans="1:7" x14ac:dyDescent="0.2">
      <c r="A2696" t="s">
        <v>866</v>
      </c>
      <c r="B2696" t="s">
        <v>822</v>
      </c>
      <c r="C2696" t="s">
        <v>823</v>
      </c>
      <c r="D2696" t="s">
        <v>696</v>
      </c>
      <c r="E2696" t="s">
        <v>825</v>
      </c>
      <c r="G2696">
        <v>3492</v>
      </c>
    </row>
    <row r="2697" spans="1:7" x14ac:dyDescent="0.2">
      <c r="A2697" t="s">
        <v>866</v>
      </c>
      <c r="B2697" t="s">
        <v>822</v>
      </c>
      <c r="C2697" t="s">
        <v>823</v>
      </c>
      <c r="D2697" t="s">
        <v>45</v>
      </c>
      <c r="G2697">
        <v>1</v>
      </c>
    </row>
    <row r="2698" spans="1:7" x14ac:dyDescent="0.2">
      <c r="A2698" t="s">
        <v>866</v>
      </c>
      <c r="B2698" t="s">
        <v>822</v>
      </c>
      <c r="C2698" t="s">
        <v>823</v>
      </c>
      <c r="D2698" t="s">
        <v>46</v>
      </c>
      <c r="G2698">
        <v>8843</v>
      </c>
    </row>
    <row r="2699" spans="1:7" x14ac:dyDescent="0.2">
      <c r="A2699" t="s">
        <v>866</v>
      </c>
      <c r="B2699" t="s">
        <v>834</v>
      </c>
      <c r="C2699" t="s">
        <v>835</v>
      </c>
      <c r="D2699" t="s">
        <v>8</v>
      </c>
      <c r="G2699">
        <v>26365</v>
      </c>
    </row>
    <row r="2700" spans="1:7" x14ac:dyDescent="0.2">
      <c r="A2700" t="s">
        <v>866</v>
      </c>
      <c r="B2700" t="s">
        <v>834</v>
      </c>
      <c r="C2700" t="s">
        <v>835</v>
      </c>
      <c r="D2700" t="s">
        <v>836</v>
      </c>
      <c r="E2700" t="s">
        <v>837</v>
      </c>
      <c r="G2700">
        <v>17698</v>
      </c>
    </row>
    <row r="2701" spans="1:7" x14ac:dyDescent="0.2">
      <c r="A2701" t="s">
        <v>866</v>
      </c>
      <c r="B2701" t="s">
        <v>834</v>
      </c>
      <c r="C2701" t="s">
        <v>835</v>
      </c>
      <c r="D2701" t="s">
        <v>838</v>
      </c>
      <c r="E2701" t="s">
        <v>839</v>
      </c>
      <c r="G2701">
        <v>6149</v>
      </c>
    </row>
    <row r="2702" spans="1:7" x14ac:dyDescent="0.2">
      <c r="A2702" t="s">
        <v>866</v>
      </c>
      <c r="B2702" t="s">
        <v>834</v>
      </c>
      <c r="C2702" t="s">
        <v>835</v>
      </c>
      <c r="D2702" t="s">
        <v>45</v>
      </c>
      <c r="G2702">
        <v>4</v>
      </c>
    </row>
    <row r="2703" spans="1:7" x14ac:dyDescent="0.2">
      <c r="A2703" t="s">
        <v>866</v>
      </c>
      <c r="B2703" t="s">
        <v>834</v>
      </c>
      <c r="C2703" t="s">
        <v>835</v>
      </c>
      <c r="D2703" t="s">
        <v>46</v>
      </c>
      <c r="G2703">
        <v>2514</v>
      </c>
    </row>
    <row r="2704" spans="1:7" x14ac:dyDescent="0.2">
      <c r="A2704" t="s">
        <v>866</v>
      </c>
      <c r="B2704" t="s">
        <v>840</v>
      </c>
      <c r="C2704" t="s">
        <v>841</v>
      </c>
      <c r="D2704" t="s">
        <v>8</v>
      </c>
      <c r="G2704">
        <v>26365</v>
      </c>
    </row>
    <row r="2705" spans="1:7" x14ac:dyDescent="0.2">
      <c r="A2705" t="s">
        <v>866</v>
      </c>
      <c r="B2705" t="s">
        <v>840</v>
      </c>
      <c r="C2705" t="s">
        <v>841</v>
      </c>
      <c r="D2705" t="s">
        <v>836</v>
      </c>
      <c r="E2705" t="s">
        <v>842</v>
      </c>
      <c r="G2705">
        <v>19495</v>
      </c>
    </row>
    <row r="2706" spans="1:7" x14ac:dyDescent="0.2">
      <c r="A2706" t="s">
        <v>866</v>
      </c>
      <c r="B2706" t="s">
        <v>840</v>
      </c>
      <c r="C2706" t="s">
        <v>841</v>
      </c>
      <c r="D2706" t="s">
        <v>838</v>
      </c>
      <c r="E2706" t="s">
        <v>843</v>
      </c>
      <c r="G2706">
        <v>4240</v>
      </c>
    </row>
    <row r="2707" spans="1:7" x14ac:dyDescent="0.2">
      <c r="A2707" t="s">
        <v>866</v>
      </c>
      <c r="B2707" t="s">
        <v>840</v>
      </c>
      <c r="C2707" t="s">
        <v>841</v>
      </c>
      <c r="D2707" t="s">
        <v>45</v>
      </c>
      <c r="G2707">
        <v>6</v>
      </c>
    </row>
    <row r="2708" spans="1:7" x14ac:dyDescent="0.2">
      <c r="A2708" t="s">
        <v>866</v>
      </c>
      <c r="B2708" t="s">
        <v>840</v>
      </c>
      <c r="C2708" t="s">
        <v>841</v>
      </c>
      <c r="D2708" t="s">
        <v>46</v>
      </c>
      <c r="G2708">
        <v>2624</v>
      </c>
    </row>
    <row r="2709" spans="1:7" x14ac:dyDescent="0.2">
      <c r="A2709" t="s">
        <v>867</v>
      </c>
      <c r="B2709" t="s">
        <v>6</v>
      </c>
      <c r="C2709" t="s">
        <v>7</v>
      </c>
      <c r="D2709" t="s">
        <v>8</v>
      </c>
      <c r="G2709">
        <v>34652</v>
      </c>
    </row>
    <row r="2710" spans="1:7" x14ac:dyDescent="0.2">
      <c r="A2710" t="s">
        <v>867</v>
      </c>
      <c r="B2710" t="s">
        <v>6</v>
      </c>
      <c r="C2710" t="s">
        <v>7</v>
      </c>
      <c r="D2710" t="s">
        <v>9</v>
      </c>
      <c r="E2710" t="s">
        <v>10</v>
      </c>
      <c r="F2710" t="s">
        <v>11</v>
      </c>
      <c r="G2710">
        <v>36</v>
      </c>
    </row>
    <row r="2711" spans="1:7" x14ac:dyDescent="0.2">
      <c r="A2711" t="s">
        <v>867</v>
      </c>
      <c r="B2711" t="s">
        <v>6</v>
      </c>
      <c r="C2711" t="s">
        <v>7</v>
      </c>
      <c r="D2711" t="s">
        <v>12</v>
      </c>
      <c r="E2711" t="s">
        <v>13</v>
      </c>
      <c r="F2711" t="s">
        <v>11</v>
      </c>
      <c r="G2711">
        <v>79</v>
      </c>
    </row>
    <row r="2712" spans="1:7" x14ac:dyDescent="0.2">
      <c r="A2712" t="s">
        <v>867</v>
      </c>
      <c r="B2712" t="s">
        <v>6</v>
      </c>
      <c r="C2712" t="s">
        <v>7</v>
      </c>
      <c r="D2712" t="s">
        <v>14</v>
      </c>
      <c r="E2712" t="s">
        <v>15</v>
      </c>
      <c r="F2712" t="s">
        <v>16</v>
      </c>
      <c r="G2712">
        <v>237</v>
      </c>
    </row>
    <row r="2713" spans="1:7" x14ac:dyDescent="0.2">
      <c r="A2713" t="s">
        <v>867</v>
      </c>
      <c r="B2713" t="s">
        <v>6</v>
      </c>
      <c r="C2713" t="s">
        <v>7</v>
      </c>
      <c r="D2713" t="s">
        <v>17</v>
      </c>
      <c r="E2713" t="s">
        <v>18</v>
      </c>
      <c r="F2713" t="s">
        <v>19</v>
      </c>
      <c r="G2713">
        <v>168</v>
      </c>
    </row>
    <row r="2714" spans="1:7" x14ac:dyDescent="0.2">
      <c r="A2714" t="s">
        <v>867</v>
      </c>
      <c r="B2714" t="s">
        <v>6</v>
      </c>
      <c r="C2714" t="s">
        <v>7</v>
      </c>
      <c r="D2714" t="s">
        <v>20</v>
      </c>
      <c r="E2714" t="s">
        <v>21</v>
      </c>
      <c r="F2714" t="s">
        <v>22</v>
      </c>
      <c r="G2714">
        <v>23484</v>
      </c>
    </row>
    <row r="2715" spans="1:7" x14ac:dyDescent="0.2">
      <c r="A2715" t="s">
        <v>867</v>
      </c>
      <c r="B2715" t="s">
        <v>6</v>
      </c>
      <c r="C2715" t="s">
        <v>7</v>
      </c>
      <c r="D2715" t="s">
        <v>23</v>
      </c>
      <c r="E2715" t="s">
        <v>24</v>
      </c>
      <c r="F2715" t="s">
        <v>25</v>
      </c>
      <c r="G2715">
        <v>358</v>
      </c>
    </row>
    <row r="2716" spans="1:7" x14ac:dyDescent="0.2">
      <c r="A2716" t="s">
        <v>867</v>
      </c>
      <c r="B2716" t="s">
        <v>6</v>
      </c>
      <c r="C2716" t="s">
        <v>7</v>
      </c>
      <c r="D2716" t="s">
        <v>26</v>
      </c>
      <c r="E2716" t="s">
        <v>27</v>
      </c>
      <c r="F2716" t="s">
        <v>28</v>
      </c>
      <c r="G2716">
        <v>9560</v>
      </c>
    </row>
    <row r="2717" spans="1:7" x14ac:dyDescent="0.2">
      <c r="A2717" t="s">
        <v>867</v>
      </c>
      <c r="B2717" t="s">
        <v>6</v>
      </c>
      <c r="C2717" t="s">
        <v>7</v>
      </c>
      <c r="D2717" t="s">
        <v>29</v>
      </c>
      <c r="E2717" t="s">
        <v>30</v>
      </c>
      <c r="F2717" t="s">
        <v>11</v>
      </c>
      <c r="G2717">
        <v>66</v>
      </c>
    </row>
    <row r="2718" spans="1:7" x14ac:dyDescent="0.2">
      <c r="A2718" t="s">
        <v>867</v>
      </c>
      <c r="B2718" t="s">
        <v>6</v>
      </c>
      <c r="C2718" t="s">
        <v>7</v>
      </c>
      <c r="D2718" t="s">
        <v>31</v>
      </c>
      <c r="E2718" t="s">
        <v>32</v>
      </c>
      <c r="F2718" t="s">
        <v>11</v>
      </c>
      <c r="G2718">
        <v>0</v>
      </c>
    </row>
    <row r="2719" spans="1:7" x14ac:dyDescent="0.2">
      <c r="A2719" t="s">
        <v>867</v>
      </c>
      <c r="B2719" t="s">
        <v>6</v>
      </c>
      <c r="C2719" t="s">
        <v>7</v>
      </c>
      <c r="D2719" t="s">
        <v>33</v>
      </c>
      <c r="E2719" t="s">
        <v>34</v>
      </c>
      <c r="F2719" t="s">
        <v>11</v>
      </c>
      <c r="G2719">
        <v>18</v>
      </c>
    </row>
    <row r="2720" spans="1:7" x14ac:dyDescent="0.2">
      <c r="A2720" t="s">
        <v>867</v>
      </c>
      <c r="B2720" t="s">
        <v>6</v>
      </c>
      <c r="C2720" t="s">
        <v>7</v>
      </c>
      <c r="D2720" t="s">
        <v>35</v>
      </c>
      <c r="E2720" t="s">
        <v>36</v>
      </c>
      <c r="F2720" t="s">
        <v>11</v>
      </c>
      <c r="G2720">
        <v>0</v>
      </c>
    </row>
    <row r="2721" spans="1:7" x14ac:dyDescent="0.2">
      <c r="A2721" t="s">
        <v>867</v>
      </c>
      <c r="B2721" t="s">
        <v>6</v>
      </c>
      <c r="C2721" t="s">
        <v>7</v>
      </c>
      <c r="D2721" t="s">
        <v>37</v>
      </c>
      <c r="E2721" t="s">
        <v>38</v>
      </c>
      <c r="F2721" t="s">
        <v>11</v>
      </c>
      <c r="G2721">
        <v>0</v>
      </c>
    </row>
    <row r="2722" spans="1:7" x14ac:dyDescent="0.2">
      <c r="A2722" t="s">
        <v>867</v>
      </c>
      <c r="B2722" t="s">
        <v>6</v>
      </c>
      <c r="C2722" t="s">
        <v>7</v>
      </c>
      <c r="D2722" t="s">
        <v>39</v>
      </c>
      <c r="E2722" t="s">
        <v>40</v>
      </c>
      <c r="F2722" t="s">
        <v>11</v>
      </c>
      <c r="G2722">
        <v>0</v>
      </c>
    </row>
    <row r="2723" spans="1:7" x14ac:dyDescent="0.2">
      <c r="A2723" t="s">
        <v>867</v>
      </c>
      <c r="B2723" t="s">
        <v>6</v>
      </c>
      <c r="C2723" t="s">
        <v>7</v>
      </c>
      <c r="D2723" t="s">
        <v>41</v>
      </c>
      <c r="E2723" t="s">
        <v>42</v>
      </c>
      <c r="F2723" t="s">
        <v>11</v>
      </c>
      <c r="G2723">
        <v>0</v>
      </c>
    </row>
    <row r="2724" spans="1:7" x14ac:dyDescent="0.2">
      <c r="A2724" t="s">
        <v>867</v>
      </c>
      <c r="B2724" t="s">
        <v>6</v>
      </c>
      <c r="C2724" t="s">
        <v>7</v>
      </c>
      <c r="D2724" t="s">
        <v>43</v>
      </c>
      <c r="E2724" t="s">
        <v>44</v>
      </c>
      <c r="F2724" t="s">
        <v>11</v>
      </c>
      <c r="G2724">
        <v>0</v>
      </c>
    </row>
    <row r="2725" spans="1:7" x14ac:dyDescent="0.2">
      <c r="A2725" t="s">
        <v>867</v>
      </c>
      <c r="B2725" t="s">
        <v>6</v>
      </c>
      <c r="C2725" t="s">
        <v>7</v>
      </c>
      <c r="D2725" t="s">
        <v>45</v>
      </c>
      <c r="G2725">
        <v>25</v>
      </c>
    </row>
    <row r="2726" spans="1:7" x14ac:dyDescent="0.2">
      <c r="A2726" t="s">
        <v>867</v>
      </c>
      <c r="B2726" t="s">
        <v>6</v>
      </c>
      <c r="C2726" t="s">
        <v>7</v>
      </c>
      <c r="D2726" t="s">
        <v>46</v>
      </c>
      <c r="G2726">
        <v>261</v>
      </c>
    </row>
    <row r="2727" spans="1:7" x14ac:dyDescent="0.2">
      <c r="A2727" t="s">
        <v>867</v>
      </c>
      <c r="B2727" t="s">
        <v>47</v>
      </c>
      <c r="C2727" t="s">
        <v>48</v>
      </c>
      <c r="D2727" t="s">
        <v>8</v>
      </c>
      <c r="G2727">
        <v>34652</v>
      </c>
    </row>
    <row r="2728" spans="1:7" x14ac:dyDescent="0.2">
      <c r="A2728" t="s">
        <v>867</v>
      </c>
      <c r="B2728" t="s">
        <v>47</v>
      </c>
      <c r="C2728" t="s">
        <v>48</v>
      </c>
      <c r="D2728" t="s">
        <v>49</v>
      </c>
      <c r="E2728" t="s">
        <v>50</v>
      </c>
      <c r="F2728" t="s">
        <v>51</v>
      </c>
      <c r="G2728">
        <v>2336</v>
      </c>
    </row>
    <row r="2729" spans="1:7" x14ac:dyDescent="0.2">
      <c r="A2729" t="s">
        <v>867</v>
      </c>
      <c r="B2729" t="s">
        <v>47</v>
      </c>
      <c r="C2729" t="s">
        <v>48</v>
      </c>
      <c r="D2729" t="s">
        <v>52</v>
      </c>
      <c r="E2729" t="s">
        <v>53</v>
      </c>
      <c r="F2729" t="s">
        <v>22</v>
      </c>
      <c r="G2729">
        <v>22984</v>
      </c>
    </row>
    <row r="2730" spans="1:7" x14ac:dyDescent="0.2">
      <c r="A2730" t="s">
        <v>867</v>
      </c>
      <c r="B2730" t="s">
        <v>47</v>
      </c>
      <c r="C2730" t="s">
        <v>48</v>
      </c>
      <c r="D2730" t="s">
        <v>54</v>
      </c>
      <c r="E2730" t="s">
        <v>55</v>
      </c>
      <c r="F2730" t="s">
        <v>28</v>
      </c>
      <c r="G2730">
        <v>8140</v>
      </c>
    </row>
    <row r="2731" spans="1:7" x14ac:dyDescent="0.2">
      <c r="A2731" t="s">
        <v>867</v>
      </c>
      <c r="B2731" t="s">
        <v>47</v>
      </c>
      <c r="C2731" t="s">
        <v>48</v>
      </c>
      <c r="D2731" t="s">
        <v>56</v>
      </c>
      <c r="E2731" t="s">
        <v>57</v>
      </c>
      <c r="F2731" t="s">
        <v>11</v>
      </c>
      <c r="G2731">
        <v>6</v>
      </c>
    </row>
    <row r="2732" spans="1:7" x14ac:dyDescent="0.2">
      <c r="A2732" t="s">
        <v>867</v>
      </c>
      <c r="B2732" t="s">
        <v>47</v>
      </c>
      <c r="C2732" t="s">
        <v>48</v>
      </c>
      <c r="D2732" t="s">
        <v>45</v>
      </c>
      <c r="G2732">
        <v>4</v>
      </c>
    </row>
    <row r="2733" spans="1:7" x14ac:dyDescent="0.2">
      <c r="A2733" t="s">
        <v>867</v>
      </c>
      <c r="B2733" t="s">
        <v>47</v>
      </c>
      <c r="C2733" t="s">
        <v>48</v>
      </c>
      <c r="D2733" t="s">
        <v>46</v>
      </c>
      <c r="G2733">
        <v>992</v>
      </c>
    </row>
    <row r="2734" spans="1:7" x14ac:dyDescent="0.2">
      <c r="A2734" t="s">
        <v>867</v>
      </c>
      <c r="B2734" t="s">
        <v>66</v>
      </c>
      <c r="C2734" t="s">
        <v>67</v>
      </c>
      <c r="D2734" t="s">
        <v>8</v>
      </c>
      <c r="G2734">
        <v>34652</v>
      </c>
    </row>
    <row r="2735" spans="1:7" x14ac:dyDescent="0.2">
      <c r="A2735" t="s">
        <v>867</v>
      </c>
      <c r="B2735" t="s">
        <v>66</v>
      </c>
      <c r="C2735" t="s">
        <v>67</v>
      </c>
      <c r="D2735" t="s">
        <v>68</v>
      </c>
      <c r="E2735" t="s">
        <v>69</v>
      </c>
      <c r="F2735" t="s">
        <v>28</v>
      </c>
      <c r="G2735">
        <v>7955</v>
      </c>
    </row>
    <row r="2736" spans="1:7" x14ac:dyDescent="0.2">
      <c r="A2736" t="s">
        <v>867</v>
      </c>
      <c r="B2736" t="s">
        <v>66</v>
      </c>
      <c r="C2736" t="s">
        <v>67</v>
      </c>
      <c r="D2736" t="s">
        <v>70</v>
      </c>
      <c r="E2736" t="s">
        <v>71</v>
      </c>
      <c r="F2736" t="s">
        <v>16</v>
      </c>
      <c r="G2736">
        <v>2184</v>
      </c>
    </row>
    <row r="2737" spans="1:7" x14ac:dyDescent="0.2">
      <c r="A2737" t="s">
        <v>867</v>
      </c>
      <c r="B2737" t="s">
        <v>66</v>
      </c>
      <c r="C2737" t="s">
        <v>67</v>
      </c>
      <c r="D2737" t="s">
        <v>72</v>
      </c>
      <c r="E2737" t="s">
        <v>73</v>
      </c>
      <c r="F2737" t="s">
        <v>22</v>
      </c>
      <c r="G2737">
        <v>22231</v>
      </c>
    </row>
    <row r="2738" spans="1:7" x14ac:dyDescent="0.2">
      <c r="A2738" t="s">
        <v>867</v>
      </c>
      <c r="B2738" t="s">
        <v>66</v>
      </c>
      <c r="C2738" t="s">
        <v>67</v>
      </c>
      <c r="D2738" t="s">
        <v>74</v>
      </c>
      <c r="E2738" t="s">
        <v>75</v>
      </c>
      <c r="F2738" t="s">
        <v>11</v>
      </c>
      <c r="G2738">
        <v>740</v>
      </c>
    </row>
    <row r="2739" spans="1:7" x14ac:dyDescent="0.2">
      <c r="A2739" t="s">
        <v>867</v>
      </c>
      <c r="B2739" t="s">
        <v>66</v>
      </c>
      <c r="C2739" t="s">
        <v>67</v>
      </c>
      <c r="D2739" t="s">
        <v>45</v>
      </c>
      <c r="G2739">
        <v>7</v>
      </c>
    </row>
    <row r="2740" spans="1:7" x14ac:dyDescent="0.2">
      <c r="A2740" t="s">
        <v>867</v>
      </c>
      <c r="B2740" t="s">
        <v>66</v>
      </c>
      <c r="C2740" t="s">
        <v>67</v>
      </c>
      <c r="D2740" t="s">
        <v>46</v>
      </c>
      <c r="G2740">
        <v>1535</v>
      </c>
    </row>
    <row r="2741" spans="1:7" x14ac:dyDescent="0.2">
      <c r="A2741" t="s">
        <v>867</v>
      </c>
      <c r="B2741" t="s">
        <v>93</v>
      </c>
      <c r="C2741" t="s">
        <v>94</v>
      </c>
      <c r="D2741" t="s">
        <v>8</v>
      </c>
      <c r="G2741">
        <v>34625</v>
      </c>
    </row>
    <row r="2742" spans="1:7" x14ac:dyDescent="0.2">
      <c r="A2742" t="s">
        <v>867</v>
      </c>
      <c r="B2742" t="s">
        <v>93</v>
      </c>
      <c r="C2742" t="s">
        <v>94</v>
      </c>
      <c r="D2742" t="s">
        <v>95</v>
      </c>
      <c r="E2742" t="s">
        <v>96</v>
      </c>
      <c r="F2742" t="s">
        <v>22</v>
      </c>
      <c r="G2742">
        <v>19827</v>
      </c>
    </row>
    <row r="2743" spans="1:7" x14ac:dyDescent="0.2">
      <c r="A2743" t="s">
        <v>867</v>
      </c>
      <c r="B2743" t="s">
        <v>93</v>
      </c>
      <c r="C2743" t="s">
        <v>94</v>
      </c>
      <c r="D2743" t="s">
        <v>97</v>
      </c>
      <c r="E2743" t="s">
        <v>98</v>
      </c>
      <c r="F2743" t="s">
        <v>51</v>
      </c>
      <c r="G2743">
        <v>989</v>
      </c>
    </row>
    <row r="2744" spans="1:7" x14ac:dyDescent="0.2">
      <c r="A2744" t="s">
        <v>867</v>
      </c>
      <c r="B2744" t="s">
        <v>93</v>
      </c>
      <c r="C2744" t="s">
        <v>94</v>
      </c>
      <c r="D2744" t="s">
        <v>99</v>
      </c>
      <c r="E2744" t="s">
        <v>100</v>
      </c>
      <c r="F2744" t="s">
        <v>28</v>
      </c>
      <c r="G2744">
        <v>7104</v>
      </c>
    </row>
    <row r="2745" spans="1:7" x14ac:dyDescent="0.2">
      <c r="A2745" t="s">
        <v>867</v>
      </c>
      <c r="B2745" t="s">
        <v>93</v>
      </c>
      <c r="C2745" t="s">
        <v>94</v>
      </c>
      <c r="D2745" t="s">
        <v>101</v>
      </c>
      <c r="E2745" t="s">
        <v>102</v>
      </c>
      <c r="F2745" t="s">
        <v>25</v>
      </c>
      <c r="G2745">
        <v>1239</v>
      </c>
    </row>
    <row r="2746" spans="1:7" x14ac:dyDescent="0.2">
      <c r="A2746" t="s">
        <v>867</v>
      </c>
      <c r="B2746" t="s">
        <v>93</v>
      </c>
      <c r="C2746" t="s">
        <v>94</v>
      </c>
      <c r="D2746" t="s">
        <v>103</v>
      </c>
      <c r="E2746" t="s">
        <v>104</v>
      </c>
      <c r="F2746" t="s">
        <v>11</v>
      </c>
      <c r="G2746">
        <v>224</v>
      </c>
    </row>
    <row r="2747" spans="1:7" x14ac:dyDescent="0.2">
      <c r="A2747" t="s">
        <v>867</v>
      </c>
      <c r="B2747" t="s">
        <v>93</v>
      </c>
      <c r="C2747" t="s">
        <v>94</v>
      </c>
      <c r="D2747" t="s">
        <v>105</v>
      </c>
      <c r="E2747" t="s">
        <v>106</v>
      </c>
      <c r="F2747" t="s">
        <v>11</v>
      </c>
      <c r="G2747">
        <v>4079</v>
      </c>
    </row>
    <row r="2748" spans="1:7" x14ac:dyDescent="0.2">
      <c r="A2748" t="s">
        <v>867</v>
      </c>
      <c r="B2748" t="s">
        <v>93</v>
      </c>
      <c r="C2748" t="s">
        <v>94</v>
      </c>
      <c r="D2748" t="s">
        <v>107</v>
      </c>
      <c r="E2748" t="s">
        <v>108</v>
      </c>
      <c r="F2748" t="s">
        <v>11</v>
      </c>
      <c r="G2748">
        <v>45</v>
      </c>
    </row>
    <row r="2749" spans="1:7" x14ac:dyDescent="0.2">
      <c r="A2749" t="s">
        <v>867</v>
      </c>
      <c r="B2749" t="s">
        <v>93</v>
      </c>
      <c r="C2749" t="s">
        <v>94</v>
      </c>
      <c r="D2749" t="s">
        <v>45</v>
      </c>
      <c r="G2749">
        <v>13</v>
      </c>
    </row>
    <row r="2750" spans="1:7" x14ac:dyDescent="0.2">
      <c r="A2750" t="s">
        <v>867</v>
      </c>
      <c r="B2750" t="s">
        <v>93</v>
      </c>
      <c r="C2750" t="s">
        <v>94</v>
      </c>
      <c r="D2750" t="s">
        <v>46</v>
      </c>
      <c r="G2750">
        <v>1021</v>
      </c>
    </row>
    <row r="2751" spans="1:7" x14ac:dyDescent="0.2">
      <c r="A2751" t="s">
        <v>867</v>
      </c>
      <c r="B2751" t="s">
        <v>109</v>
      </c>
      <c r="C2751" t="s">
        <v>110</v>
      </c>
      <c r="D2751" t="s">
        <v>8</v>
      </c>
      <c r="G2751">
        <v>34625</v>
      </c>
    </row>
    <row r="2752" spans="1:7" x14ac:dyDescent="0.2">
      <c r="A2752" t="s">
        <v>867</v>
      </c>
      <c r="B2752" t="s">
        <v>109</v>
      </c>
      <c r="C2752" t="s">
        <v>110</v>
      </c>
      <c r="D2752" t="s">
        <v>111</v>
      </c>
      <c r="E2752" t="s">
        <v>112</v>
      </c>
      <c r="F2752" t="s">
        <v>22</v>
      </c>
      <c r="G2752">
        <v>21064</v>
      </c>
    </row>
    <row r="2753" spans="1:7" x14ac:dyDescent="0.2">
      <c r="A2753" t="s">
        <v>867</v>
      </c>
      <c r="B2753" t="s">
        <v>109</v>
      </c>
      <c r="C2753" t="s">
        <v>110</v>
      </c>
      <c r="D2753" t="s">
        <v>113</v>
      </c>
      <c r="E2753" t="s">
        <v>114</v>
      </c>
      <c r="F2753" t="s">
        <v>28</v>
      </c>
      <c r="G2753">
        <v>7316</v>
      </c>
    </row>
    <row r="2754" spans="1:7" x14ac:dyDescent="0.2">
      <c r="A2754" t="s">
        <v>867</v>
      </c>
      <c r="B2754" t="s">
        <v>109</v>
      </c>
      <c r="C2754" t="s">
        <v>110</v>
      </c>
      <c r="D2754" t="s">
        <v>115</v>
      </c>
      <c r="E2754" t="s">
        <v>116</v>
      </c>
      <c r="F2754" t="s">
        <v>25</v>
      </c>
      <c r="G2754">
        <v>1347</v>
      </c>
    </row>
    <row r="2755" spans="1:7" x14ac:dyDescent="0.2">
      <c r="A2755" t="s">
        <v>867</v>
      </c>
      <c r="B2755" t="s">
        <v>109</v>
      </c>
      <c r="C2755" t="s">
        <v>110</v>
      </c>
      <c r="D2755" t="s">
        <v>117</v>
      </c>
      <c r="E2755" t="s">
        <v>118</v>
      </c>
      <c r="F2755" t="s">
        <v>11</v>
      </c>
      <c r="G2755">
        <v>1239</v>
      </c>
    </row>
    <row r="2756" spans="1:7" x14ac:dyDescent="0.2">
      <c r="A2756" t="s">
        <v>867</v>
      </c>
      <c r="B2756" t="s">
        <v>109</v>
      </c>
      <c r="C2756" t="s">
        <v>110</v>
      </c>
      <c r="D2756" t="s">
        <v>119</v>
      </c>
      <c r="E2756" t="s">
        <v>120</v>
      </c>
      <c r="F2756" t="s">
        <v>88</v>
      </c>
      <c r="G2756">
        <v>1623</v>
      </c>
    </row>
    <row r="2757" spans="1:7" x14ac:dyDescent="0.2">
      <c r="A2757" t="s">
        <v>867</v>
      </c>
      <c r="B2757" t="s">
        <v>109</v>
      </c>
      <c r="C2757" t="s">
        <v>110</v>
      </c>
      <c r="D2757" t="s">
        <v>45</v>
      </c>
      <c r="G2757">
        <v>1</v>
      </c>
    </row>
    <row r="2758" spans="1:7" x14ac:dyDescent="0.2">
      <c r="A2758" t="s">
        <v>867</v>
      </c>
      <c r="B2758" t="s">
        <v>109</v>
      </c>
      <c r="C2758" t="s">
        <v>110</v>
      </c>
      <c r="D2758" t="s">
        <v>46</v>
      </c>
      <c r="G2758">
        <v>2035</v>
      </c>
    </row>
    <row r="2759" spans="1:7" x14ac:dyDescent="0.2">
      <c r="A2759" t="s">
        <v>867</v>
      </c>
      <c r="B2759" t="s">
        <v>121</v>
      </c>
      <c r="C2759" t="s">
        <v>122</v>
      </c>
      <c r="D2759" t="s">
        <v>8</v>
      </c>
      <c r="G2759">
        <v>34625</v>
      </c>
    </row>
    <row r="2760" spans="1:7" x14ac:dyDescent="0.2">
      <c r="A2760" t="s">
        <v>867</v>
      </c>
      <c r="B2760" t="s">
        <v>121</v>
      </c>
      <c r="C2760" t="s">
        <v>122</v>
      </c>
      <c r="D2760" t="s">
        <v>123</v>
      </c>
      <c r="E2760" t="s">
        <v>124</v>
      </c>
      <c r="F2760" t="s">
        <v>22</v>
      </c>
      <c r="G2760">
        <v>22176</v>
      </c>
    </row>
    <row r="2761" spans="1:7" x14ac:dyDescent="0.2">
      <c r="A2761" t="s">
        <v>867</v>
      </c>
      <c r="B2761" t="s">
        <v>121</v>
      </c>
      <c r="C2761" t="s">
        <v>122</v>
      </c>
      <c r="D2761" t="s">
        <v>125</v>
      </c>
      <c r="E2761" t="s">
        <v>126</v>
      </c>
      <c r="F2761" t="s">
        <v>16</v>
      </c>
      <c r="G2761">
        <v>2293</v>
      </c>
    </row>
    <row r="2762" spans="1:7" x14ac:dyDescent="0.2">
      <c r="A2762" t="s">
        <v>867</v>
      </c>
      <c r="B2762" t="s">
        <v>121</v>
      </c>
      <c r="C2762" t="s">
        <v>122</v>
      </c>
      <c r="D2762" t="s">
        <v>127</v>
      </c>
      <c r="E2762" t="s">
        <v>128</v>
      </c>
      <c r="F2762" t="s">
        <v>28</v>
      </c>
      <c r="G2762">
        <v>7740</v>
      </c>
    </row>
    <row r="2763" spans="1:7" x14ac:dyDescent="0.2">
      <c r="A2763" t="s">
        <v>867</v>
      </c>
      <c r="B2763" t="s">
        <v>121</v>
      </c>
      <c r="C2763" t="s">
        <v>122</v>
      </c>
      <c r="D2763" t="s">
        <v>45</v>
      </c>
      <c r="G2763">
        <v>3</v>
      </c>
    </row>
    <row r="2764" spans="1:7" x14ac:dyDescent="0.2">
      <c r="A2764" t="s">
        <v>867</v>
      </c>
      <c r="B2764" t="s">
        <v>121</v>
      </c>
      <c r="C2764" t="s">
        <v>122</v>
      </c>
      <c r="D2764" t="s">
        <v>46</v>
      </c>
      <c r="G2764">
        <v>2413</v>
      </c>
    </row>
    <row r="2765" spans="1:7" x14ac:dyDescent="0.2">
      <c r="A2765" t="s">
        <v>867</v>
      </c>
      <c r="B2765" t="s">
        <v>129</v>
      </c>
      <c r="C2765" t="s">
        <v>130</v>
      </c>
      <c r="D2765" t="s">
        <v>8</v>
      </c>
      <c r="G2765">
        <v>34625</v>
      </c>
    </row>
    <row r="2766" spans="1:7" x14ac:dyDescent="0.2">
      <c r="A2766" t="s">
        <v>867</v>
      </c>
      <c r="B2766" t="s">
        <v>129</v>
      </c>
      <c r="C2766" t="s">
        <v>130</v>
      </c>
      <c r="D2766" t="s">
        <v>131</v>
      </c>
      <c r="E2766" t="s">
        <v>132</v>
      </c>
      <c r="F2766" t="s">
        <v>133</v>
      </c>
      <c r="G2766">
        <v>1715</v>
      </c>
    </row>
    <row r="2767" spans="1:7" x14ac:dyDescent="0.2">
      <c r="A2767" t="s">
        <v>867</v>
      </c>
      <c r="B2767" t="s">
        <v>129</v>
      </c>
      <c r="C2767" t="s">
        <v>130</v>
      </c>
      <c r="D2767" t="s">
        <v>134</v>
      </c>
      <c r="E2767" t="s">
        <v>135</v>
      </c>
      <c r="F2767" t="s">
        <v>22</v>
      </c>
      <c r="G2767">
        <v>22953</v>
      </c>
    </row>
    <row r="2768" spans="1:7" x14ac:dyDescent="0.2">
      <c r="A2768" t="s">
        <v>867</v>
      </c>
      <c r="B2768" t="s">
        <v>129</v>
      </c>
      <c r="C2768" t="s">
        <v>130</v>
      </c>
      <c r="D2768" t="s">
        <v>136</v>
      </c>
      <c r="E2768" t="s">
        <v>137</v>
      </c>
      <c r="F2768" t="s">
        <v>28</v>
      </c>
      <c r="G2768">
        <v>7403</v>
      </c>
    </row>
    <row r="2769" spans="1:7" x14ac:dyDescent="0.2">
      <c r="A2769" t="s">
        <v>867</v>
      </c>
      <c r="B2769" t="s">
        <v>129</v>
      </c>
      <c r="C2769" t="s">
        <v>130</v>
      </c>
      <c r="D2769" t="s">
        <v>45</v>
      </c>
      <c r="G2769">
        <v>1</v>
      </c>
    </row>
    <row r="2770" spans="1:7" x14ac:dyDescent="0.2">
      <c r="A2770" t="s">
        <v>867</v>
      </c>
      <c r="B2770" t="s">
        <v>129</v>
      </c>
      <c r="C2770" t="s">
        <v>130</v>
      </c>
      <c r="D2770" t="s">
        <v>46</v>
      </c>
      <c r="G2770">
        <v>2553</v>
      </c>
    </row>
    <row r="2771" spans="1:7" x14ac:dyDescent="0.2">
      <c r="A2771" t="s">
        <v>867</v>
      </c>
      <c r="B2771" t="s">
        <v>384</v>
      </c>
      <c r="C2771" t="s">
        <v>385</v>
      </c>
      <c r="D2771" t="s">
        <v>8</v>
      </c>
      <c r="G2771">
        <v>18618</v>
      </c>
    </row>
    <row r="2772" spans="1:7" x14ac:dyDescent="0.2">
      <c r="A2772" t="s">
        <v>867</v>
      </c>
      <c r="B2772" t="s">
        <v>384</v>
      </c>
      <c r="C2772" t="s">
        <v>385</v>
      </c>
      <c r="D2772" t="s">
        <v>386</v>
      </c>
      <c r="E2772" t="s">
        <v>387</v>
      </c>
      <c r="F2772" t="s">
        <v>28</v>
      </c>
      <c r="G2772">
        <v>5344</v>
      </c>
    </row>
    <row r="2773" spans="1:7" x14ac:dyDescent="0.2">
      <c r="A2773" t="s">
        <v>867</v>
      </c>
      <c r="B2773" t="s">
        <v>384</v>
      </c>
      <c r="C2773" t="s">
        <v>385</v>
      </c>
      <c r="D2773" t="s">
        <v>388</v>
      </c>
      <c r="E2773" t="s">
        <v>389</v>
      </c>
      <c r="F2773" t="s">
        <v>22</v>
      </c>
      <c r="G2773">
        <v>11863</v>
      </c>
    </row>
    <row r="2774" spans="1:7" x14ac:dyDescent="0.2">
      <c r="A2774" t="s">
        <v>867</v>
      </c>
      <c r="B2774" t="s">
        <v>384</v>
      </c>
      <c r="C2774" t="s">
        <v>385</v>
      </c>
      <c r="D2774" t="s">
        <v>45</v>
      </c>
      <c r="G2774">
        <v>0</v>
      </c>
    </row>
    <row r="2775" spans="1:7" x14ac:dyDescent="0.2">
      <c r="A2775" t="s">
        <v>867</v>
      </c>
      <c r="B2775" t="s">
        <v>384</v>
      </c>
      <c r="C2775" t="s">
        <v>385</v>
      </c>
      <c r="D2775" t="s">
        <v>46</v>
      </c>
      <c r="G2775">
        <v>1411</v>
      </c>
    </row>
    <row r="2776" spans="1:7" x14ac:dyDescent="0.2">
      <c r="A2776" t="s">
        <v>867</v>
      </c>
      <c r="B2776" t="s">
        <v>390</v>
      </c>
      <c r="C2776" t="s">
        <v>391</v>
      </c>
      <c r="D2776" t="s">
        <v>8</v>
      </c>
      <c r="G2776">
        <v>16007</v>
      </c>
    </row>
    <row r="2777" spans="1:7" x14ac:dyDescent="0.2">
      <c r="A2777" t="s">
        <v>867</v>
      </c>
      <c r="B2777" t="s">
        <v>390</v>
      </c>
      <c r="C2777" t="s">
        <v>391</v>
      </c>
      <c r="D2777" t="s">
        <v>392</v>
      </c>
      <c r="E2777" t="s">
        <v>393</v>
      </c>
      <c r="F2777" t="s">
        <v>22</v>
      </c>
      <c r="G2777">
        <v>11403</v>
      </c>
    </row>
    <row r="2778" spans="1:7" x14ac:dyDescent="0.2">
      <c r="A2778" t="s">
        <v>867</v>
      </c>
      <c r="B2778" t="s">
        <v>390</v>
      </c>
      <c r="C2778" t="s">
        <v>391</v>
      </c>
      <c r="D2778" t="s">
        <v>394</v>
      </c>
      <c r="E2778" t="s">
        <v>395</v>
      </c>
      <c r="F2778" t="s">
        <v>28</v>
      </c>
      <c r="G2778">
        <v>3463</v>
      </c>
    </row>
    <row r="2779" spans="1:7" x14ac:dyDescent="0.2">
      <c r="A2779" t="s">
        <v>867</v>
      </c>
      <c r="B2779" t="s">
        <v>390</v>
      </c>
      <c r="C2779" t="s">
        <v>391</v>
      </c>
      <c r="D2779" t="s">
        <v>45</v>
      </c>
      <c r="G2779">
        <v>1</v>
      </c>
    </row>
    <row r="2780" spans="1:7" x14ac:dyDescent="0.2">
      <c r="A2780" t="s">
        <v>867</v>
      </c>
      <c r="B2780" t="s">
        <v>390</v>
      </c>
      <c r="C2780" t="s">
        <v>391</v>
      </c>
      <c r="D2780" t="s">
        <v>46</v>
      </c>
      <c r="G2780">
        <v>1140</v>
      </c>
    </row>
    <row r="2781" spans="1:7" x14ac:dyDescent="0.2">
      <c r="A2781" t="s">
        <v>867</v>
      </c>
      <c r="B2781" t="s">
        <v>672</v>
      </c>
      <c r="C2781" t="s">
        <v>673</v>
      </c>
      <c r="D2781" t="s">
        <v>8</v>
      </c>
      <c r="G2781">
        <v>34625</v>
      </c>
    </row>
    <row r="2782" spans="1:7" x14ac:dyDescent="0.2">
      <c r="A2782" t="s">
        <v>867</v>
      </c>
      <c r="B2782" t="s">
        <v>672</v>
      </c>
      <c r="C2782" t="s">
        <v>673</v>
      </c>
      <c r="D2782" t="s">
        <v>674</v>
      </c>
      <c r="E2782" t="s">
        <v>675</v>
      </c>
      <c r="F2782" t="s">
        <v>22</v>
      </c>
      <c r="G2782">
        <v>22394</v>
      </c>
    </row>
    <row r="2783" spans="1:7" x14ac:dyDescent="0.2">
      <c r="A2783" t="s">
        <v>867</v>
      </c>
      <c r="B2783" t="s">
        <v>672</v>
      </c>
      <c r="C2783" t="s">
        <v>673</v>
      </c>
      <c r="D2783" t="s">
        <v>676</v>
      </c>
      <c r="E2783" t="s">
        <v>677</v>
      </c>
      <c r="F2783" t="s">
        <v>28</v>
      </c>
      <c r="G2783">
        <v>9555</v>
      </c>
    </row>
    <row r="2784" spans="1:7" x14ac:dyDescent="0.2">
      <c r="A2784" t="s">
        <v>867</v>
      </c>
      <c r="B2784" t="s">
        <v>672</v>
      </c>
      <c r="C2784" t="s">
        <v>673</v>
      </c>
      <c r="D2784" t="s">
        <v>45</v>
      </c>
      <c r="G2784">
        <v>1</v>
      </c>
    </row>
    <row r="2785" spans="1:7" x14ac:dyDescent="0.2">
      <c r="A2785" t="s">
        <v>867</v>
      </c>
      <c r="B2785" t="s">
        <v>672</v>
      </c>
      <c r="C2785" t="s">
        <v>673</v>
      </c>
      <c r="D2785" t="s">
        <v>46</v>
      </c>
      <c r="G2785">
        <v>2675</v>
      </c>
    </row>
    <row r="2786" spans="1:7" x14ac:dyDescent="0.2">
      <c r="A2786" t="s">
        <v>867</v>
      </c>
      <c r="B2786" t="s">
        <v>692</v>
      </c>
      <c r="C2786" t="s">
        <v>693</v>
      </c>
      <c r="D2786" t="s">
        <v>8</v>
      </c>
      <c r="G2786">
        <v>34625</v>
      </c>
    </row>
    <row r="2787" spans="1:7" x14ac:dyDescent="0.2">
      <c r="A2787" t="s">
        <v>867</v>
      </c>
      <c r="B2787" t="s">
        <v>692</v>
      </c>
      <c r="C2787" t="s">
        <v>693</v>
      </c>
      <c r="D2787" t="s">
        <v>694</v>
      </c>
      <c r="E2787" t="s">
        <v>695</v>
      </c>
      <c r="G2787">
        <v>20610</v>
      </c>
    </row>
    <row r="2788" spans="1:7" x14ac:dyDescent="0.2">
      <c r="A2788" t="s">
        <v>867</v>
      </c>
      <c r="B2788" t="s">
        <v>692</v>
      </c>
      <c r="C2788" t="s">
        <v>693</v>
      </c>
      <c r="D2788" t="s">
        <v>696</v>
      </c>
      <c r="E2788" t="s">
        <v>697</v>
      </c>
      <c r="G2788">
        <v>7006</v>
      </c>
    </row>
    <row r="2789" spans="1:7" x14ac:dyDescent="0.2">
      <c r="A2789" t="s">
        <v>867</v>
      </c>
      <c r="B2789" t="s">
        <v>692</v>
      </c>
      <c r="C2789" t="s">
        <v>693</v>
      </c>
      <c r="D2789" t="s">
        <v>45</v>
      </c>
      <c r="G2789">
        <v>13</v>
      </c>
    </row>
    <row r="2790" spans="1:7" x14ac:dyDescent="0.2">
      <c r="A2790" t="s">
        <v>867</v>
      </c>
      <c r="B2790" t="s">
        <v>692</v>
      </c>
      <c r="C2790" t="s">
        <v>693</v>
      </c>
      <c r="D2790" t="s">
        <v>46</v>
      </c>
      <c r="G2790">
        <v>6996</v>
      </c>
    </row>
    <row r="2791" spans="1:7" x14ac:dyDescent="0.2">
      <c r="A2791" t="s">
        <v>867</v>
      </c>
      <c r="B2791" t="s">
        <v>698</v>
      </c>
      <c r="C2791" t="s">
        <v>699</v>
      </c>
      <c r="D2791" t="s">
        <v>8</v>
      </c>
      <c r="G2791">
        <v>34625</v>
      </c>
    </row>
    <row r="2792" spans="1:7" x14ac:dyDescent="0.2">
      <c r="A2792" t="s">
        <v>867</v>
      </c>
      <c r="B2792" t="s">
        <v>698</v>
      </c>
      <c r="C2792" t="s">
        <v>699</v>
      </c>
      <c r="D2792" t="s">
        <v>694</v>
      </c>
      <c r="E2792" t="s">
        <v>700</v>
      </c>
      <c r="G2792">
        <v>20228</v>
      </c>
    </row>
    <row r="2793" spans="1:7" x14ac:dyDescent="0.2">
      <c r="A2793" t="s">
        <v>867</v>
      </c>
      <c r="B2793" t="s">
        <v>698</v>
      </c>
      <c r="C2793" t="s">
        <v>699</v>
      </c>
      <c r="D2793" t="s">
        <v>696</v>
      </c>
      <c r="E2793" t="s">
        <v>701</v>
      </c>
      <c r="G2793">
        <v>7309</v>
      </c>
    </row>
    <row r="2794" spans="1:7" x14ac:dyDescent="0.2">
      <c r="A2794" t="s">
        <v>867</v>
      </c>
      <c r="B2794" t="s">
        <v>698</v>
      </c>
      <c r="C2794" t="s">
        <v>699</v>
      </c>
      <c r="D2794" t="s">
        <v>45</v>
      </c>
      <c r="G2794">
        <v>9</v>
      </c>
    </row>
    <row r="2795" spans="1:7" x14ac:dyDescent="0.2">
      <c r="A2795" t="s">
        <v>867</v>
      </c>
      <c r="B2795" t="s">
        <v>698</v>
      </c>
      <c r="C2795" t="s">
        <v>699</v>
      </c>
      <c r="D2795" t="s">
        <v>46</v>
      </c>
      <c r="G2795">
        <v>7079</v>
      </c>
    </row>
    <row r="2796" spans="1:7" x14ac:dyDescent="0.2">
      <c r="A2796" t="s">
        <v>867</v>
      </c>
      <c r="B2796" t="s">
        <v>730</v>
      </c>
      <c r="C2796" t="s">
        <v>731</v>
      </c>
      <c r="D2796" t="s">
        <v>8</v>
      </c>
      <c r="G2796">
        <v>34625</v>
      </c>
    </row>
    <row r="2797" spans="1:7" x14ac:dyDescent="0.2">
      <c r="A2797" t="s">
        <v>867</v>
      </c>
      <c r="B2797" t="s">
        <v>730</v>
      </c>
      <c r="C2797" t="s">
        <v>731</v>
      </c>
      <c r="D2797" t="s">
        <v>694</v>
      </c>
      <c r="E2797" t="s">
        <v>732</v>
      </c>
      <c r="G2797">
        <v>19743</v>
      </c>
    </row>
    <row r="2798" spans="1:7" x14ac:dyDescent="0.2">
      <c r="A2798" t="s">
        <v>867</v>
      </c>
      <c r="B2798" t="s">
        <v>730</v>
      </c>
      <c r="C2798" t="s">
        <v>731</v>
      </c>
      <c r="D2798" t="s">
        <v>696</v>
      </c>
      <c r="E2798" t="s">
        <v>733</v>
      </c>
      <c r="G2798">
        <v>7833</v>
      </c>
    </row>
    <row r="2799" spans="1:7" x14ac:dyDescent="0.2">
      <c r="A2799" t="s">
        <v>867</v>
      </c>
      <c r="B2799" t="s">
        <v>730</v>
      </c>
      <c r="C2799" t="s">
        <v>731</v>
      </c>
      <c r="D2799" t="s">
        <v>45</v>
      </c>
      <c r="G2799">
        <v>8</v>
      </c>
    </row>
    <row r="2800" spans="1:7" x14ac:dyDescent="0.2">
      <c r="A2800" t="s">
        <v>867</v>
      </c>
      <c r="B2800" t="s">
        <v>730</v>
      </c>
      <c r="C2800" t="s">
        <v>731</v>
      </c>
      <c r="D2800" t="s">
        <v>46</v>
      </c>
      <c r="G2800">
        <v>7041</v>
      </c>
    </row>
    <row r="2801" spans="1:7" x14ac:dyDescent="0.2">
      <c r="A2801" t="s">
        <v>867</v>
      </c>
      <c r="B2801" t="s">
        <v>734</v>
      </c>
      <c r="C2801" t="s">
        <v>735</v>
      </c>
      <c r="D2801" t="s">
        <v>8</v>
      </c>
      <c r="G2801">
        <v>34625</v>
      </c>
    </row>
    <row r="2802" spans="1:7" x14ac:dyDescent="0.2">
      <c r="A2802" t="s">
        <v>867</v>
      </c>
      <c r="B2802" t="s">
        <v>734</v>
      </c>
      <c r="C2802" t="s">
        <v>735</v>
      </c>
      <c r="D2802" t="s">
        <v>694</v>
      </c>
      <c r="E2802" t="s">
        <v>736</v>
      </c>
      <c r="G2802">
        <v>20359</v>
      </c>
    </row>
    <row r="2803" spans="1:7" x14ac:dyDescent="0.2">
      <c r="A2803" t="s">
        <v>867</v>
      </c>
      <c r="B2803" t="s">
        <v>734</v>
      </c>
      <c r="C2803" t="s">
        <v>735</v>
      </c>
      <c r="D2803" t="s">
        <v>696</v>
      </c>
      <c r="E2803" t="s">
        <v>737</v>
      </c>
      <c r="G2803">
        <v>7086</v>
      </c>
    </row>
    <row r="2804" spans="1:7" x14ac:dyDescent="0.2">
      <c r="A2804" t="s">
        <v>867</v>
      </c>
      <c r="B2804" t="s">
        <v>734</v>
      </c>
      <c r="C2804" t="s">
        <v>735</v>
      </c>
      <c r="D2804" t="s">
        <v>45</v>
      </c>
      <c r="G2804">
        <v>8</v>
      </c>
    </row>
    <row r="2805" spans="1:7" x14ac:dyDescent="0.2">
      <c r="A2805" t="s">
        <v>867</v>
      </c>
      <c r="B2805" t="s">
        <v>734</v>
      </c>
      <c r="C2805" t="s">
        <v>735</v>
      </c>
      <c r="D2805" t="s">
        <v>46</v>
      </c>
      <c r="G2805">
        <v>7172</v>
      </c>
    </row>
    <row r="2806" spans="1:7" x14ac:dyDescent="0.2">
      <c r="A2806" t="s">
        <v>867</v>
      </c>
      <c r="B2806" t="s">
        <v>738</v>
      </c>
      <c r="C2806" t="s">
        <v>739</v>
      </c>
      <c r="D2806" t="s">
        <v>8</v>
      </c>
      <c r="G2806">
        <v>34625</v>
      </c>
    </row>
    <row r="2807" spans="1:7" x14ac:dyDescent="0.2">
      <c r="A2807" t="s">
        <v>867</v>
      </c>
      <c r="B2807" t="s">
        <v>738</v>
      </c>
      <c r="C2807" t="s">
        <v>739</v>
      </c>
      <c r="D2807" t="s">
        <v>694</v>
      </c>
      <c r="E2807" t="s">
        <v>740</v>
      </c>
      <c r="G2807">
        <v>20764</v>
      </c>
    </row>
    <row r="2808" spans="1:7" x14ac:dyDescent="0.2">
      <c r="A2808" t="s">
        <v>867</v>
      </c>
      <c r="B2808" t="s">
        <v>738</v>
      </c>
      <c r="C2808" t="s">
        <v>739</v>
      </c>
      <c r="D2808" t="s">
        <v>696</v>
      </c>
      <c r="E2808" t="s">
        <v>741</v>
      </c>
      <c r="G2808">
        <v>7135</v>
      </c>
    </row>
    <row r="2809" spans="1:7" x14ac:dyDescent="0.2">
      <c r="A2809" t="s">
        <v>867</v>
      </c>
      <c r="B2809" t="s">
        <v>738</v>
      </c>
      <c r="C2809" t="s">
        <v>739</v>
      </c>
      <c r="D2809" t="s">
        <v>45</v>
      </c>
      <c r="G2809">
        <v>13</v>
      </c>
    </row>
    <row r="2810" spans="1:7" x14ac:dyDescent="0.2">
      <c r="A2810" t="s">
        <v>867</v>
      </c>
      <c r="B2810" t="s">
        <v>738</v>
      </c>
      <c r="C2810" t="s">
        <v>739</v>
      </c>
      <c r="D2810" t="s">
        <v>46</v>
      </c>
      <c r="G2810">
        <v>6713</v>
      </c>
    </row>
    <row r="2811" spans="1:7" x14ac:dyDescent="0.2">
      <c r="A2811" t="s">
        <v>867</v>
      </c>
      <c r="B2811" t="s">
        <v>742</v>
      </c>
      <c r="C2811" t="s">
        <v>743</v>
      </c>
      <c r="D2811" t="s">
        <v>8</v>
      </c>
      <c r="G2811">
        <v>34625</v>
      </c>
    </row>
    <row r="2812" spans="1:7" x14ac:dyDescent="0.2">
      <c r="A2812" t="s">
        <v>867</v>
      </c>
      <c r="B2812" t="s">
        <v>742</v>
      </c>
      <c r="C2812" t="s">
        <v>743</v>
      </c>
      <c r="D2812" t="s">
        <v>694</v>
      </c>
      <c r="E2812" t="s">
        <v>744</v>
      </c>
      <c r="G2812">
        <v>19522</v>
      </c>
    </row>
    <row r="2813" spans="1:7" x14ac:dyDescent="0.2">
      <c r="A2813" t="s">
        <v>867</v>
      </c>
      <c r="B2813" t="s">
        <v>742</v>
      </c>
      <c r="C2813" t="s">
        <v>743</v>
      </c>
      <c r="D2813" t="s">
        <v>696</v>
      </c>
      <c r="E2813" t="s">
        <v>745</v>
      </c>
      <c r="G2813">
        <v>7960</v>
      </c>
    </row>
    <row r="2814" spans="1:7" x14ac:dyDescent="0.2">
      <c r="A2814" t="s">
        <v>867</v>
      </c>
      <c r="B2814" t="s">
        <v>742</v>
      </c>
      <c r="C2814" t="s">
        <v>743</v>
      </c>
      <c r="D2814" t="s">
        <v>45</v>
      </c>
      <c r="G2814">
        <v>6</v>
      </c>
    </row>
    <row r="2815" spans="1:7" x14ac:dyDescent="0.2">
      <c r="A2815" t="s">
        <v>867</v>
      </c>
      <c r="B2815" t="s">
        <v>742</v>
      </c>
      <c r="C2815" t="s">
        <v>743</v>
      </c>
      <c r="D2815" t="s">
        <v>46</v>
      </c>
      <c r="G2815">
        <v>7137</v>
      </c>
    </row>
    <row r="2816" spans="1:7" x14ac:dyDescent="0.2">
      <c r="A2816" t="s">
        <v>867</v>
      </c>
      <c r="B2816" t="s">
        <v>746</v>
      </c>
      <c r="C2816" t="s">
        <v>747</v>
      </c>
      <c r="D2816" t="s">
        <v>8</v>
      </c>
      <c r="G2816">
        <v>34625</v>
      </c>
    </row>
    <row r="2817" spans="1:7" x14ac:dyDescent="0.2">
      <c r="A2817" t="s">
        <v>867</v>
      </c>
      <c r="B2817" t="s">
        <v>746</v>
      </c>
      <c r="C2817" t="s">
        <v>747</v>
      </c>
      <c r="D2817" t="s">
        <v>694</v>
      </c>
      <c r="E2817" t="s">
        <v>748</v>
      </c>
      <c r="G2817">
        <v>20082</v>
      </c>
    </row>
    <row r="2818" spans="1:7" x14ac:dyDescent="0.2">
      <c r="A2818" t="s">
        <v>867</v>
      </c>
      <c r="B2818" t="s">
        <v>746</v>
      </c>
      <c r="C2818" t="s">
        <v>747</v>
      </c>
      <c r="D2818" t="s">
        <v>696</v>
      </c>
      <c r="E2818" t="s">
        <v>749</v>
      </c>
      <c r="G2818">
        <v>7380</v>
      </c>
    </row>
    <row r="2819" spans="1:7" x14ac:dyDescent="0.2">
      <c r="A2819" t="s">
        <v>867</v>
      </c>
      <c r="B2819" t="s">
        <v>746</v>
      </c>
      <c r="C2819" t="s">
        <v>747</v>
      </c>
      <c r="D2819" t="s">
        <v>45</v>
      </c>
      <c r="G2819">
        <v>8</v>
      </c>
    </row>
    <row r="2820" spans="1:7" x14ac:dyDescent="0.2">
      <c r="A2820" t="s">
        <v>867</v>
      </c>
      <c r="B2820" t="s">
        <v>746</v>
      </c>
      <c r="C2820" t="s">
        <v>747</v>
      </c>
      <c r="D2820" t="s">
        <v>46</v>
      </c>
      <c r="G2820">
        <v>7155</v>
      </c>
    </row>
    <row r="2821" spans="1:7" x14ac:dyDescent="0.2">
      <c r="A2821" t="s">
        <v>867</v>
      </c>
      <c r="B2821" t="s">
        <v>750</v>
      </c>
      <c r="C2821" t="s">
        <v>751</v>
      </c>
      <c r="D2821" t="s">
        <v>8</v>
      </c>
      <c r="G2821">
        <v>34625</v>
      </c>
    </row>
    <row r="2822" spans="1:7" x14ac:dyDescent="0.2">
      <c r="A2822" t="s">
        <v>867</v>
      </c>
      <c r="B2822" t="s">
        <v>750</v>
      </c>
      <c r="C2822" t="s">
        <v>751</v>
      </c>
      <c r="D2822" t="s">
        <v>694</v>
      </c>
      <c r="E2822" t="s">
        <v>752</v>
      </c>
      <c r="G2822">
        <v>19311</v>
      </c>
    </row>
    <row r="2823" spans="1:7" x14ac:dyDescent="0.2">
      <c r="A2823" t="s">
        <v>867</v>
      </c>
      <c r="B2823" t="s">
        <v>750</v>
      </c>
      <c r="C2823" t="s">
        <v>751</v>
      </c>
      <c r="D2823" t="s">
        <v>696</v>
      </c>
      <c r="E2823" t="s">
        <v>753</v>
      </c>
      <c r="G2823">
        <v>8096</v>
      </c>
    </row>
    <row r="2824" spans="1:7" x14ac:dyDescent="0.2">
      <c r="A2824" t="s">
        <v>867</v>
      </c>
      <c r="B2824" t="s">
        <v>750</v>
      </c>
      <c r="C2824" t="s">
        <v>751</v>
      </c>
      <c r="D2824" t="s">
        <v>45</v>
      </c>
      <c r="G2824">
        <v>6</v>
      </c>
    </row>
    <row r="2825" spans="1:7" x14ac:dyDescent="0.2">
      <c r="A2825" t="s">
        <v>867</v>
      </c>
      <c r="B2825" t="s">
        <v>750</v>
      </c>
      <c r="C2825" t="s">
        <v>751</v>
      </c>
      <c r="D2825" t="s">
        <v>46</v>
      </c>
      <c r="G2825">
        <v>7212</v>
      </c>
    </row>
    <row r="2826" spans="1:7" x14ac:dyDescent="0.2">
      <c r="A2826" t="s">
        <v>867</v>
      </c>
      <c r="B2826" t="s">
        <v>754</v>
      </c>
      <c r="C2826" t="s">
        <v>755</v>
      </c>
      <c r="D2826" t="s">
        <v>8</v>
      </c>
      <c r="G2826">
        <v>34625</v>
      </c>
    </row>
    <row r="2827" spans="1:7" x14ac:dyDescent="0.2">
      <c r="A2827" t="s">
        <v>867</v>
      </c>
      <c r="B2827" t="s">
        <v>754</v>
      </c>
      <c r="C2827" t="s">
        <v>755</v>
      </c>
      <c r="D2827" t="s">
        <v>694</v>
      </c>
      <c r="E2827" t="s">
        <v>756</v>
      </c>
      <c r="G2827">
        <v>20463</v>
      </c>
    </row>
    <row r="2828" spans="1:7" x14ac:dyDescent="0.2">
      <c r="A2828" t="s">
        <v>867</v>
      </c>
      <c r="B2828" t="s">
        <v>754</v>
      </c>
      <c r="C2828" t="s">
        <v>755</v>
      </c>
      <c r="D2828" t="s">
        <v>696</v>
      </c>
      <c r="E2828" t="s">
        <v>757</v>
      </c>
      <c r="G2828">
        <v>6995</v>
      </c>
    </row>
    <row r="2829" spans="1:7" x14ac:dyDescent="0.2">
      <c r="A2829" t="s">
        <v>867</v>
      </c>
      <c r="B2829" t="s">
        <v>754</v>
      </c>
      <c r="C2829" t="s">
        <v>755</v>
      </c>
      <c r="D2829" t="s">
        <v>45</v>
      </c>
      <c r="G2829">
        <v>9</v>
      </c>
    </row>
    <row r="2830" spans="1:7" x14ac:dyDescent="0.2">
      <c r="A2830" t="s">
        <v>867</v>
      </c>
      <c r="B2830" t="s">
        <v>754</v>
      </c>
      <c r="C2830" t="s">
        <v>755</v>
      </c>
      <c r="D2830" t="s">
        <v>46</v>
      </c>
      <c r="G2830">
        <v>7158</v>
      </c>
    </row>
    <row r="2831" spans="1:7" x14ac:dyDescent="0.2">
      <c r="A2831" t="s">
        <v>867</v>
      </c>
      <c r="B2831" t="s">
        <v>758</v>
      </c>
      <c r="C2831" t="s">
        <v>759</v>
      </c>
      <c r="D2831" t="s">
        <v>8</v>
      </c>
      <c r="G2831">
        <v>34625</v>
      </c>
    </row>
    <row r="2832" spans="1:7" x14ac:dyDescent="0.2">
      <c r="A2832" t="s">
        <v>867</v>
      </c>
      <c r="B2832" t="s">
        <v>758</v>
      </c>
      <c r="C2832" t="s">
        <v>759</v>
      </c>
      <c r="D2832" t="s">
        <v>694</v>
      </c>
      <c r="E2832" t="s">
        <v>760</v>
      </c>
      <c r="G2832">
        <v>20406</v>
      </c>
    </row>
    <row r="2833" spans="1:7" x14ac:dyDescent="0.2">
      <c r="A2833" t="s">
        <v>867</v>
      </c>
      <c r="B2833" t="s">
        <v>758</v>
      </c>
      <c r="C2833" t="s">
        <v>759</v>
      </c>
      <c r="D2833" t="s">
        <v>696</v>
      </c>
      <c r="E2833" t="s">
        <v>761</v>
      </c>
      <c r="G2833">
        <v>7186</v>
      </c>
    </row>
    <row r="2834" spans="1:7" x14ac:dyDescent="0.2">
      <c r="A2834" t="s">
        <v>867</v>
      </c>
      <c r="B2834" t="s">
        <v>758</v>
      </c>
      <c r="C2834" t="s">
        <v>759</v>
      </c>
      <c r="D2834" t="s">
        <v>45</v>
      </c>
      <c r="G2834">
        <v>10</v>
      </c>
    </row>
    <row r="2835" spans="1:7" x14ac:dyDescent="0.2">
      <c r="A2835" t="s">
        <v>867</v>
      </c>
      <c r="B2835" t="s">
        <v>758</v>
      </c>
      <c r="C2835" t="s">
        <v>759</v>
      </c>
      <c r="D2835" t="s">
        <v>46</v>
      </c>
      <c r="G2835">
        <v>7023</v>
      </c>
    </row>
    <row r="2836" spans="1:7" x14ac:dyDescent="0.2">
      <c r="A2836" t="s">
        <v>867</v>
      </c>
      <c r="B2836" t="s">
        <v>810</v>
      </c>
      <c r="C2836" t="s">
        <v>811</v>
      </c>
      <c r="D2836" t="s">
        <v>8</v>
      </c>
      <c r="G2836">
        <v>34625</v>
      </c>
    </row>
    <row r="2837" spans="1:7" x14ac:dyDescent="0.2">
      <c r="A2837" t="s">
        <v>867</v>
      </c>
      <c r="B2837" t="s">
        <v>810</v>
      </c>
      <c r="C2837" t="s">
        <v>811</v>
      </c>
      <c r="D2837" t="s">
        <v>694</v>
      </c>
      <c r="E2837" t="s">
        <v>812</v>
      </c>
      <c r="G2837">
        <v>20192</v>
      </c>
    </row>
    <row r="2838" spans="1:7" x14ac:dyDescent="0.2">
      <c r="A2838" t="s">
        <v>867</v>
      </c>
      <c r="B2838" t="s">
        <v>810</v>
      </c>
      <c r="C2838" t="s">
        <v>811</v>
      </c>
      <c r="D2838" t="s">
        <v>696</v>
      </c>
      <c r="E2838" t="s">
        <v>813</v>
      </c>
      <c r="G2838">
        <v>7014</v>
      </c>
    </row>
    <row r="2839" spans="1:7" x14ac:dyDescent="0.2">
      <c r="A2839" t="s">
        <v>867</v>
      </c>
      <c r="B2839" t="s">
        <v>810</v>
      </c>
      <c r="C2839" t="s">
        <v>811</v>
      </c>
      <c r="D2839" t="s">
        <v>45</v>
      </c>
      <c r="G2839">
        <v>4</v>
      </c>
    </row>
    <row r="2840" spans="1:7" x14ac:dyDescent="0.2">
      <c r="A2840" t="s">
        <v>867</v>
      </c>
      <c r="B2840" t="s">
        <v>810</v>
      </c>
      <c r="C2840" t="s">
        <v>811</v>
      </c>
      <c r="D2840" t="s">
        <v>46</v>
      </c>
      <c r="G2840">
        <v>7415</v>
      </c>
    </row>
    <row r="2841" spans="1:7" x14ac:dyDescent="0.2">
      <c r="A2841" t="s">
        <v>867</v>
      </c>
      <c r="B2841" t="s">
        <v>814</v>
      </c>
      <c r="C2841" t="s">
        <v>815</v>
      </c>
      <c r="D2841" t="s">
        <v>8</v>
      </c>
      <c r="G2841">
        <v>34625</v>
      </c>
    </row>
    <row r="2842" spans="1:7" x14ac:dyDescent="0.2">
      <c r="A2842" t="s">
        <v>867</v>
      </c>
      <c r="B2842" t="s">
        <v>814</v>
      </c>
      <c r="C2842" t="s">
        <v>815</v>
      </c>
      <c r="D2842" t="s">
        <v>694</v>
      </c>
      <c r="E2842" t="s">
        <v>816</v>
      </c>
      <c r="G2842">
        <v>20476</v>
      </c>
    </row>
    <row r="2843" spans="1:7" x14ac:dyDescent="0.2">
      <c r="A2843" t="s">
        <v>867</v>
      </c>
      <c r="B2843" t="s">
        <v>814</v>
      </c>
      <c r="C2843" t="s">
        <v>815</v>
      </c>
      <c r="D2843" t="s">
        <v>696</v>
      </c>
      <c r="E2843" t="s">
        <v>817</v>
      </c>
      <c r="G2843">
        <v>6878</v>
      </c>
    </row>
    <row r="2844" spans="1:7" x14ac:dyDescent="0.2">
      <c r="A2844" t="s">
        <v>867</v>
      </c>
      <c r="B2844" t="s">
        <v>814</v>
      </c>
      <c r="C2844" t="s">
        <v>815</v>
      </c>
      <c r="D2844" t="s">
        <v>45</v>
      </c>
      <c r="G2844">
        <v>13</v>
      </c>
    </row>
    <row r="2845" spans="1:7" x14ac:dyDescent="0.2">
      <c r="A2845" t="s">
        <v>867</v>
      </c>
      <c r="B2845" t="s">
        <v>814</v>
      </c>
      <c r="C2845" t="s">
        <v>815</v>
      </c>
      <c r="D2845" t="s">
        <v>46</v>
      </c>
      <c r="G2845">
        <v>7258</v>
      </c>
    </row>
    <row r="2846" spans="1:7" x14ac:dyDescent="0.2">
      <c r="A2846" t="s">
        <v>867</v>
      </c>
      <c r="B2846" t="s">
        <v>818</v>
      </c>
      <c r="C2846" t="s">
        <v>819</v>
      </c>
      <c r="D2846" t="s">
        <v>8</v>
      </c>
      <c r="G2846">
        <v>34625</v>
      </c>
    </row>
    <row r="2847" spans="1:7" x14ac:dyDescent="0.2">
      <c r="A2847" t="s">
        <v>867</v>
      </c>
      <c r="B2847" t="s">
        <v>818</v>
      </c>
      <c r="C2847" t="s">
        <v>819</v>
      </c>
      <c r="D2847" t="s">
        <v>694</v>
      </c>
      <c r="E2847" t="s">
        <v>820</v>
      </c>
      <c r="G2847">
        <v>20747</v>
      </c>
    </row>
    <row r="2848" spans="1:7" x14ac:dyDescent="0.2">
      <c r="A2848" t="s">
        <v>867</v>
      </c>
      <c r="B2848" t="s">
        <v>818</v>
      </c>
      <c r="C2848" t="s">
        <v>819</v>
      </c>
      <c r="D2848" t="s">
        <v>696</v>
      </c>
      <c r="E2848" t="s">
        <v>821</v>
      </c>
      <c r="G2848">
        <v>6597</v>
      </c>
    </row>
    <row r="2849" spans="1:7" x14ac:dyDescent="0.2">
      <c r="A2849" t="s">
        <v>867</v>
      </c>
      <c r="B2849" t="s">
        <v>818</v>
      </c>
      <c r="C2849" t="s">
        <v>819</v>
      </c>
      <c r="D2849" t="s">
        <v>45</v>
      </c>
      <c r="G2849">
        <v>18</v>
      </c>
    </row>
    <row r="2850" spans="1:7" x14ac:dyDescent="0.2">
      <c r="A2850" t="s">
        <v>867</v>
      </c>
      <c r="B2850" t="s">
        <v>818</v>
      </c>
      <c r="C2850" t="s">
        <v>819</v>
      </c>
      <c r="D2850" t="s">
        <v>46</v>
      </c>
      <c r="G2850">
        <v>7263</v>
      </c>
    </row>
    <row r="2851" spans="1:7" x14ac:dyDescent="0.2">
      <c r="A2851" t="s">
        <v>867</v>
      </c>
      <c r="B2851" t="s">
        <v>822</v>
      </c>
      <c r="C2851" t="s">
        <v>823</v>
      </c>
      <c r="D2851" t="s">
        <v>8</v>
      </c>
      <c r="G2851">
        <v>34625</v>
      </c>
    </row>
    <row r="2852" spans="1:7" x14ac:dyDescent="0.2">
      <c r="A2852" t="s">
        <v>867</v>
      </c>
      <c r="B2852" t="s">
        <v>822</v>
      </c>
      <c r="C2852" t="s">
        <v>823</v>
      </c>
      <c r="D2852" t="s">
        <v>694</v>
      </c>
      <c r="E2852" t="s">
        <v>824</v>
      </c>
      <c r="G2852">
        <v>19765</v>
      </c>
    </row>
    <row r="2853" spans="1:7" x14ac:dyDescent="0.2">
      <c r="A2853" t="s">
        <v>867</v>
      </c>
      <c r="B2853" t="s">
        <v>822</v>
      </c>
      <c r="C2853" t="s">
        <v>823</v>
      </c>
      <c r="D2853" t="s">
        <v>696</v>
      </c>
      <c r="E2853" t="s">
        <v>825</v>
      </c>
      <c r="G2853">
        <v>7720</v>
      </c>
    </row>
    <row r="2854" spans="1:7" x14ac:dyDescent="0.2">
      <c r="A2854" t="s">
        <v>867</v>
      </c>
      <c r="B2854" t="s">
        <v>822</v>
      </c>
      <c r="C2854" t="s">
        <v>823</v>
      </c>
      <c r="D2854" t="s">
        <v>45</v>
      </c>
      <c r="G2854">
        <v>3</v>
      </c>
    </row>
    <row r="2855" spans="1:7" x14ac:dyDescent="0.2">
      <c r="A2855" t="s">
        <v>867</v>
      </c>
      <c r="B2855" t="s">
        <v>822</v>
      </c>
      <c r="C2855" t="s">
        <v>823</v>
      </c>
      <c r="D2855" t="s">
        <v>46</v>
      </c>
      <c r="G2855">
        <v>7137</v>
      </c>
    </row>
    <row r="2856" spans="1:7" x14ac:dyDescent="0.2">
      <c r="A2856" t="s">
        <v>867</v>
      </c>
      <c r="B2856" t="s">
        <v>834</v>
      </c>
      <c r="C2856" t="s">
        <v>835</v>
      </c>
      <c r="D2856" t="s">
        <v>8</v>
      </c>
      <c r="G2856">
        <v>34625</v>
      </c>
    </row>
    <row r="2857" spans="1:7" x14ac:dyDescent="0.2">
      <c r="A2857" t="s">
        <v>867</v>
      </c>
      <c r="B2857" t="s">
        <v>834</v>
      </c>
      <c r="C2857" t="s">
        <v>835</v>
      </c>
      <c r="D2857" t="s">
        <v>836</v>
      </c>
      <c r="E2857" t="s">
        <v>837</v>
      </c>
      <c r="G2857">
        <v>20522</v>
      </c>
    </row>
    <row r="2858" spans="1:7" x14ac:dyDescent="0.2">
      <c r="A2858" t="s">
        <v>867</v>
      </c>
      <c r="B2858" t="s">
        <v>834</v>
      </c>
      <c r="C2858" t="s">
        <v>835</v>
      </c>
      <c r="D2858" t="s">
        <v>838</v>
      </c>
      <c r="E2858" t="s">
        <v>839</v>
      </c>
      <c r="G2858">
        <v>11649</v>
      </c>
    </row>
    <row r="2859" spans="1:7" x14ac:dyDescent="0.2">
      <c r="A2859" t="s">
        <v>867</v>
      </c>
      <c r="B2859" t="s">
        <v>834</v>
      </c>
      <c r="C2859" t="s">
        <v>835</v>
      </c>
      <c r="D2859" t="s">
        <v>45</v>
      </c>
      <c r="G2859">
        <v>1</v>
      </c>
    </row>
    <row r="2860" spans="1:7" x14ac:dyDescent="0.2">
      <c r="A2860" t="s">
        <v>867</v>
      </c>
      <c r="B2860" t="s">
        <v>834</v>
      </c>
      <c r="C2860" t="s">
        <v>835</v>
      </c>
      <c r="D2860" t="s">
        <v>46</v>
      </c>
      <c r="G2860">
        <v>2453</v>
      </c>
    </row>
    <row r="2861" spans="1:7" x14ac:dyDescent="0.2">
      <c r="A2861" t="s">
        <v>867</v>
      </c>
      <c r="B2861" t="s">
        <v>840</v>
      </c>
      <c r="C2861" t="s">
        <v>841</v>
      </c>
      <c r="D2861" t="s">
        <v>8</v>
      </c>
      <c r="G2861">
        <v>34625</v>
      </c>
    </row>
    <row r="2862" spans="1:7" x14ac:dyDescent="0.2">
      <c r="A2862" t="s">
        <v>867</v>
      </c>
      <c r="B2862" t="s">
        <v>840</v>
      </c>
      <c r="C2862" t="s">
        <v>841</v>
      </c>
      <c r="D2862" t="s">
        <v>836</v>
      </c>
      <c r="E2862" t="s">
        <v>842</v>
      </c>
      <c r="G2862">
        <v>27976</v>
      </c>
    </row>
    <row r="2863" spans="1:7" x14ac:dyDescent="0.2">
      <c r="A2863" t="s">
        <v>867</v>
      </c>
      <c r="B2863" t="s">
        <v>840</v>
      </c>
      <c r="C2863" t="s">
        <v>841</v>
      </c>
      <c r="D2863" t="s">
        <v>838</v>
      </c>
      <c r="E2863" t="s">
        <v>843</v>
      </c>
      <c r="G2863">
        <v>4387</v>
      </c>
    </row>
    <row r="2864" spans="1:7" x14ac:dyDescent="0.2">
      <c r="A2864" t="s">
        <v>867</v>
      </c>
      <c r="B2864" t="s">
        <v>840</v>
      </c>
      <c r="C2864" t="s">
        <v>841</v>
      </c>
      <c r="D2864" t="s">
        <v>45</v>
      </c>
      <c r="G2864">
        <v>1</v>
      </c>
    </row>
    <row r="2865" spans="1:7" x14ac:dyDescent="0.2">
      <c r="A2865" t="s">
        <v>867</v>
      </c>
      <c r="B2865" t="s">
        <v>840</v>
      </c>
      <c r="C2865" t="s">
        <v>841</v>
      </c>
      <c r="D2865" t="s">
        <v>46</v>
      </c>
      <c r="G2865">
        <v>2261</v>
      </c>
    </row>
    <row r="2866" spans="1:7" x14ac:dyDescent="0.2">
      <c r="A2866" t="s">
        <v>868</v>
      </c>
      <c r="B2866" t="s">
        <v>6</v>
      </c>
      <c r="C2866" t="s">
        <v>7</v>
      </c>
      <c r="D2866" t="s">
        <v>8</v>
      </c>
      <c r="G2866">
        <v>16036</v>
      </c>
    </row>
    <row r="2867" spans="1:7" x14ac:dyDescent="0.2">
      <c r="A2867" t="s">
        <v>868</v>
      </c>
      <c r="B2867" t="s">
        <v>6</v>
      </c>
      <c r="C2867" t="s">
        <v>7</v>
      </c>
      <c r="D2867" t="s">
        <v>9</v>
      </c>
      <c r="E2867" t="s">
        <v>10</v>
      </c>
      <c r="F2867" t="s">
        <v>11</v>
      </c>
      <c r="G2867">
        <v>11</v>
      </c>
    </row>
    <row r="2868" spans="1:7" x14ac:dyDescent="0.2">
      <c r="A2868" t="s">
        <v>868</v>
      </c>
      <c r="B2868" t="s">
        <v>6</v>
      </c>
      <c r="C2868" t="s">
        <v>7</v>
      </c>
      <c r="D2868" t="s">
        <v>12</v>
      </c>
      <c r="E2868" t="s">
        <v>13</v>
      </c>
      <c r="F2868" t="s">
        <v>11</v>
      </c>
      <c r="G2868">
        <v>24</v>
      </c>
    </row>
    <row r="2869" spans="1:7" x14ac:dyDescent="0.2">
      <c r="A2869" t="s">
        <v>868</v>
      </c>
      <c r="B2869" t="s">
        <v>6</v>
      </c>
      <c r="C2869" t="s">
        <v>7</v>
      </c>
      <c r="D2869" t="s">
        <v>14</v>
      </c>
      <c r="E2869" t="s">
        <v>15</v>
      </c>
      <c r="F2869" t="s">
        <v>16</v>
      </c>
      <c r="G2869">
        <v>84</v>
      </c>
    </row>
    <row r="2870" spans="1:7" x14ac:dyDescent="0.2">
      <c r="A2870" t="s">
        <v>868</v>
      </c>
      <c r="B2870" t="s">
        <v>6</v>
      </c>
      <c r="C2870" t="s">
        <v>7</v>
      </c>
      <c r="D2870" t="s">
        <v>17</v>
      </c>
      <c r="E2870" t="s">
        <v>18</v>
      </c>
      <c r="F2870" t="s">
        <v>19</v>
      </c>
      <c r="G2870">
        <v>33</v>
      </c>
    </row>
    <row r="2871" spans="1:7" x14ac:dyDescent="0.2">
      <c r="A2871" t="s">
        <v>868</v>
      </c>
      <c r="B2871" t="s">
        <v>6</v>
      </c>
      <c r="C2871" t="s">
        <v>7</v>
      </c>
      <c r="D2871" t="s">
        <v>20</v>
      </c>
      <c r="E2871" t="s">
        <v>21</v>
      </c>
      <c r="F2871" t="s">
        <v>22</v>
      </c>
      <c r="G2871">
        <v>13599</v>
      </c>
    </row>
    <row r="2872" spans="1:7" x14ac:dyDescent="0.2">
      <c r="A2872" t="s">
        <v>868</v>
      </c>
      <c r="B2872" t="s">
        <v>6</v>
      </c>
      <c r="C2872" t="s">
        <v>7</v>
      </c>
      <c r="D2872" t="s">
        <v>23</v>
      </c>
      <c r="E2872" t="s">
        <v>24</v>
      </c>
      <c r="F2872" t="s">
        <v>25</v>
      </c>
      <c r="G2872">
        <v>113</v>
      </c>
    </row>
    <row r="2873" spans="1:7" x14ac:dyDescent="0.2">
      <c r="A2873" t="s">
        <v>868</v>
      </c>
      <c r="B2873" t="s">
        <v>6</v>
      </c>
      <c r="C2873" t="s">
        <v>7</v>
      </c>
      <c r="D2873" t="s">
        <v>26</v>
      </c>
      <c r="E2873" t="s">
        <v>27</v>
      </c>
      <c r="F2873" t="s">
        <v>28</v>
      </c>
      <c r="G2873">
        <v>1952</v>
      </c>
    </row>
    <row r="2874" spans="1:7" x14ac:dyDescent="0.2">
      <c r="A2874" t="s">
        <v>868</v>
      </c>
      <c r="B2874" t="s">
        <v>6</v>
      </c>
      <c r="C2874" t="s">
        <v>7</v>
      </c>
      <c r="D2874" t="s">
        <v>29</v>
      </c>
      <c r="E2874" t="s">
        <v>30</v>
      </c>
      <c r="F2874" t="s">
        <v>11</v>
      </c>
      <c r="G2874">
        <v>15</v>
      </c>
    </row>
    <row r="2875" spans="1:7" x14ac:dyDescent="0.2">
      <c r="A2875" t="s">
        <v>868</v>
      </c>
      <c r="B2875" t="s">
        <v>6</v>
      </c>
      <c r="C2875" t="s">
        <v>7</v>
      </c>
      <c r="D2875" t="s">
        <v>31</v>
      </c>
      <c r="E2875" t="s">
        <v>32</v>
      </c>
      <c r="F2875" t="s">
        <v>11</v>
      </c>
      <c r="G2875">
        <v>0</v>
      </c>
    </row>
    <row r="2876" spans="1:7" x14ac:dyDescent="0.2">
      <c r="A2876" t="s">
        <v>868</v>
      </c>
      <c r="B2876" t="s">
        <v>6</v>
      </c>
      <c r="C2876" t="s">
        <v>7</v>
      </c>
      <c r="D2876" t="s">
        <v>33</v>
      </c>
      <c r="E2876" t="s">
        <v>34</v>
      </c>
      <c r="F2876" t="s">
        <v>11</v>
      </c>
      <c r="G2876">
        <v>1</v>
      </c>
    </row>
    <row r="2877" spans="1:7" x14ac:dyDescent="0.2">
      <c r="A2877" t="s">
        <v>868</v>
      </c>
      <c r="B2877" t="s">
        <v>6</v>
      </c>
      <c r="C2877" t="s">
        <v>7</v>
      </c>
      <c r="D2877" t="s">
        <v>35</v>
      </c>
      <c r="E2877" t="s">
        <v>36</v>
      </c>
      <c r="F2877" t="s">
        <v>11</v>
      </c>
      <c r="G2877">
        <v>0</v>
      </c>
    </row>
    <row r="2878" spans="1:7" x14ac:dyDescent="0.2">
      <c r="A2878" t="s">
        <v>868</v>
      </c>
      <c r="B2878" t="s">
        <v>6</v>
      </c>
      <c r="C2878" t="s">
        <v>7</v>
      </c>
      <c r="D2878" t="s">
        <v>37</v>
      </c>
      <c r="E2878" t="s">
        <v>38</v>
      </c>
      <c r="F2878" t="s">
        <v>11</v>
      </c>
      <c r="G2878">
        <v>0</v>
      </c>
    </row>
    <row r="2879" spans="1:7" x14ac:dyDescent="0.2">
      <c r="A2879" t="s">
        <v>868</v>
      </c>
      <c r="B2879" t="s">
        <v>6</v>
      </c>
      <c r="C2879" t="s">
        <v>7</v>
      </c>
      <c r="D2879" t="s">
        <v>39</v>
      </c>
      <c r="E2879" t="s">
        <v>40</v>
      </c>
      <c r="F2879" t="s">
        <v>11</v>
      </c>
      <c r="G2879">
        <v>0</v>
      </c>
    </row>
    <row r="2880" spans="1:7" x14ac:dyDescent="0.2">
      <c r="A2880" t="s">
        <v>868</v>
      </c>
      <c r="B2880" t="s">
        <v>6</v>
      </c>
      <c r="C2880" t="s">
        <v>7</v>
      </c>
      <c r="D2880" t="s">
        <v>41</v>
      </c>
      <c r="E2880" t="s">
        <v>42</v>
      </c>
      <c r="F2880" t="s">
        <v>11</v>
      </c>
      <c r="G2880">
        <v>0</v>
      </c>
    </row>
    <row r="2881" spans="1:7" x14ac:dyDescent="0.2">
      <c r="A2881" t="s">
        <v>868</v>
      </c>
      <c r="B2881" t="s">
        <v>6</v>
      </c>
      <c r="C2881" t="s">
        <v>7</v>
      </c>
      <c r="D2881" t="s">
        <v>43</v>
      </c>
      <c r="E2881" t="s">
        <v>44</v>
      </c>
      <c r="F2881" t="s">
        <v>11</v>
      </c>
      <c r="G2881">
        <v>0</v>
      </c>
    </row>
    <row r="2882" spans="1:7" x14ac:dyDescent="0.2">
      <c r="A2882" t="s">
        <v>868</v>
      </c>
      <c r="B2882" t="s">
        <v>6</v>
      </c>
      <c r="C2882" t="s">
        <v>7</v>
      </c>
      <c r="D2882" t="s">
        <v>45</v>
      </c>
      <c r="G2882">
        <v>4</v>
      </c>
    </row>
    <row r="2883" spans="1:7" x14ac:dyDescent="0.2">
      <c r="A2883" t="s">
        <v>868</v>
      </c>
      <c r="B2883" t="s">
        <v>6</v>
      </c>
      <c r="C2883" t="s">
        <v>7</v>
      </c>
      <c r="D2883" t="s">
        <v>46</v>
      </c>
      <c r="G2883">
        <v>103</v>
      </c>
    </row>
    <row r="2884" spans="1:7" x14ac:dyDescent="0.2">
      <c r="A2884" t="s">
        <v>868</v>
      </c>
      <c r="B2884" t="s">
        <v>47</v>
      </c>
      <c r="C2884" t="s">
        <v>48</v>
      </c>
      <c r="D2884" t="s">
        <v>8</v>
      </c>
      <c r="G2884">
        <v>16036</v>
      </c>
    </row>
    <row r="2885" spans="1:7" x14ac:dyDescent="0.2">
      <c r="A2885" t="s">
        <v>868</v>
      </c>
      <c r="B2885" t="s">
        <v>47</v>
      </c>
      <c r="C2885" t="s">
        <v>48</v>
      </c>
      <c r="D2885" t="s">
        <v>49</v>
      </c>
      <c r="E2885" t="s">
        <v>50</v>
      </c>
      <c r="F2885" t="s">
        <v>51</v>
      </c>
      <c r="G2885">
        <v>931</v>
      </c>
    </row>
    <row r="2886" spans="1:7" x14ac:dyDescent="0.2">
      <c r="A2886" t="s">
        <v>868</v>
      </c>
      <c r="B2886" t="s">
        <v>47</v>
      </c>
      <c r="C2886" t="s">
        <v>48</v>
      </c>
      <c r="D2886" t="s">
        <v>52</v>
      </c>
      <c r="E2886" t="s">
        <v>53</v>
      </c>
      <c r="F2886" t="s">
        <v>22</v>
      </c>
      <c r="G2886">
        <v>13077</v>
      </c>
    </row>
    <row r="2887" spans="1:7" x14ac:dyDescent="0.2">
      <c r="A2887" t="s">
        <v>868</v>
      </c>
      <c r="B2887" t="s">
        <v>47</v>
      </c>
      <c r="C2887" t="s">
        <v>48</v>
      </c>
      <c r="D2887" t="s">
        <v>54</v>
      </c>
      <c r="E2887" t="s">
        <v>55</v>
      </c>
      <c r="F2887" t="s">
        <v>28</v>
      </c>
      <c r="G2887">
        <v>1565</v>
      </c>
    </row>
    <row r="2888" spans="1:7" x14ac:dyDescent="0.2">
      <c r="A2888" t="s">
        <v>868</v>
      </c>
      <c r="B2888" t="s">
        <v>47</v>
      </c>
      <c r="C2888" t="s">
        <v>48</v>
      </c>
      <c r="D2888" t="s">
        <v>56</v>
      </c>
      <c r="E2888" t="s">
        <v>57</v>
      </c>
      <c r="F2888" t="s">
        <v>11</v>
      </c>
      <c r="G2888">
        <v>0</v>
      </c>
    </row>
    <row r="2889" spans="1:7" x14ac:dyDescent="0.2">
      <c r="A2889" t="s">
        <v>868</v>
      </c>
      <c r="B2889" t="s">
        <v>47</v>
      </c>
      <c r="C2889" t="s">
        <v>48</v>
      </c>
      <c r="D2889" t="s">
        <v>45</v>
      </c>
      <c r="G2889">
        <v>4</v>
      </c>
    </row>
    <row r="2890" spans="1:7" x14ac:dyDescent="0.2">
      <c r="A2890" t="s">
        <v>868</v>
      </c>
      <c r="B2890" t="s">
        <v>47</v>
      </c>
      <c r="C2890" t="s">
        <v>48</v>
      </c>
      <c r="D2890" t="s">
        <v>46</v>
      </c>
      <c r="G2890">
        <v>374</v>
      </c>
    </row>
    <row r="2891" spans="1:7" x14ac:dyDescent="0.2">
      <c r="A2891" t="s">
        <v>868</v>
      </c>
      <c r="B2891" t="s">
        <v>76</v>
      </c>
      <c r="C2891" t="s">
        <v>77</v>
      </c>
      <c r="D2891" t="s">
        <v>8</v>
      </c>
      <c r="G2891">
        <v>16036</v>
      </c>
    </row>
    <row r="2892" spans="1:7" x14ac:dyDescent="0.2">
      <c r="A2892" t="s">
        <v>868</v>
      </c>
      <c r="B2892" t="s">
        <v>76</v>
      </c>
      <c r="C2892" t="s">
        <v>77</v>
      </c>
      <c r="D2892" t="s">
        <v>78</v>
      </c>
      <c r="E2892" t="s">
        <v>79</v>
      </c>
      <c r="F2892" t="s">
        <v>22</v>
      </c>
      <c r="G2892">
        <v>13718</v>
      </c>
    </row>
    <row r="2893" spans="1:7" x14ac:dyDescent="0.2">
      <c r="A2893" t="s">
        <v>868</v>
      </c>
      <c r="B2893" t="s">
        <v>76</v>
      </c>
      <c r="C2893" t="s">
        <v>77</v>
      </c>
      <c r="D2893" t="s">
        <v>80</v>
      </c>
      <c r="E2893" t="s">
        <v>81</v>
      </c>
      <c r="F2893" t="s">
        <v>28</v>
      </c>
      <c r="G2893">
        <v>1722</v>
      </c>
    </row>
    <row r="2894" spans="1:7" x14ac:dyDescent="0.2">
      <c r="A2894" t="s">
        <v>868</v>
      </c>
      <c r="B2894" t="s">
        <v>76</v>
      </c>
      <c r="C2894" t="s">
        <v>77</v>
      </c>
      <c r="D2894" t="s">
        <v>45</v>
      </c>
      <c r="G2894">
        <v>2</v>
      </c>
    </row>
    <row r="2895" spans="1:7" x14ac:dyDescent="0.2">
      <c r="A2895" t="s">
        <v>868</v>
      </c>
      <c r="B2895" t="s">
        <v>76</v>
      </c>
      <c r="C2895" t="s">
        <v>77</v>
      </c>
      <c r="D2895" t="s">
        <v>46</v>
      </c>
      <c r="G2895">
        <v>594</v>
      </c>
    </row>
    <row r="2896" spans="1:7" x14ac:dyDescent="0.2">
      <c r="A2896" t="s">
        <v>868</v>
      </c>
      <c r="B2896" t="s">
        <v>93</v>
      </c>
      <c r="C2896" t="s">
        <v>94</v>
      </c>
      <c r="D2896" t="s">
        <v>8</v>
      </c>
      <c r="G2896">
        <v>16027</v>
      </c>
    </row>
    <row r="2897" spans="1:7" x14ac:dyDescent="0.2">
      <c r="A2897" t="s">
        <v>868</v>
      </c>
      <c r="B2897" t="s">
        <v>93</v>
      </c>
      <c r="C2897" t="s">
        <v>94</v>
      </c>
      <c r="D2897" t="s">
        <v>95</v>
      </c>
      <c r="E2897" t="s">
        <v>96</v>
      </c>
      <c r="F2897" t="s">
        <v>22</v>
      </c>
      <c r="G2897">
        <v>10208</v>
      </c>
    </row>
    <row r="2898" spans="1:7" x14ac:dyDescent="0.2">
      <c r="A2898" t="s">
        <v>868</v>
      </c>
      <c r="B2898" t="s">
        <v>93</v>
      </c>
      <c r="C2898" t="s">
        <v>94</v>
      </c>
      <c r="D2898" t="s">
        <v>97</v>
      </c>
      <c r="E2898" t="s">
        <v>98</v>
      </c>
      <c r="F2898" t="s">
        <v>51</v>
      </c>
      <c r="G2898">
        <v>562</v>
      </c>
    </row>
    <row r="2899" spans="1:7" x14ac:dyDescent="0.2">
      <c r="A2899" t="s">
        <v>868</v>
      </c>
      <c r="B2899" t="s">
        <v>93</v>
      </c>
      <c r="C2899" t="s">
        <v>94</v>
      </c>
      <c r="D2899" t="s">
        <v>99</v>
      </c>
      <c r="E2899" t="s">
        <v>100</v>
      </c>
      <c r="F2899" t="s">
        <v>28</v>
      </c>
      <c r="G2899">
        <v>1428</v>
      </c>
    </row>
    <row r="2900" spans="1:7" x14ac:dyDescent="0.2">
      <c r="A2900" t="s">
        <v>868</v>
      </c>
      <c r="B2900" t="s">
        <v>93</v>
      </c>
      <c r="C2900" t="s">
        <v>94</v>
      </c>
      <c r="D2900" t="s">
        <v>101</v>
      </c>
      <c r="E2900" t="s">
        <v>102</v>
      </c>
      <c r="F2900" t="s">
        <v>25</v>
      </c>
      <c r="G2900">
        <v>593</v>
      </c>
    </row>
    <row r="2901" spans="1:7" x14ac:dyDescent="0.2">
      <c r="A2901" t="s">
        <v>868</v>
      </c>
      <c r="B2901" t="s">
        <v>93</v>
      </c>
      <c r="C2901" t="s">
        <v>94</v>
      </c>
      <c r="D2901" t="s">
        <v>103</v>
      </c>
      <c r="E2901" t="s">
        <v>104</v>
      </c>
      <c r="F2901" t="s">
        <v>11</v>
      </c>
      <c r="G2901">
        <v>90</v>
      </c>
    </row>
    <row r="2902" spans="1:7" x14ac:dyDescent="0.2">
      <c r="A2902" t="s">
        <v>868</v>
      </c>
      <c r="B2902" t="s">
        <v>93</v>
      </c>
      <c r="C2902" t="s">
        <v>94</v>
      </c>
      <c r="D2902" t="s">
        <v>105</v>
      </c>
      <c r="E2902" t="s">
        <v>106</v>
      </c>
      <c r="F2902" t="s">
        <v>11</v>
      </c>
      <c r="G2902">
        <v>2610</v>
      </c>
    </row>
    <row r="2903" spans="1:7" x14ac:dyDescent="0.2">
      <c r="A2903" t="s">
        <v>868</v>
      </c>
      <c r="B2903" t="s">
        <v>93</v>
      </c>
      <c r="C2903" t="s">
        <v>94</v>
      </c>
      <c r="D2903" t="s">
        <v>107</v>
      </c>
      <c r="E2903" t="s">
        <v>108</v>
      </c>
      <c r="F2903" t="s">
        <v>11</v>
      </c>
      <c r="G2903">
        <v>4</v>
      </c>
    </row>
    <row r="2904" spans="1:7" x14ac:dyDescent="0.2">
      <c r="A2904" t="s">
        <v>868</v>
      </c>
      <c r="B2904" t="s">
        <v>93</v>
      </c>
      <c r="C2904" t="s">
        <v>94</v>
      </c>
      <c r="D2904" t="s">
        <v>45</v>
      </c>
      <c r="G2904">
        <v>0</v>
      </c>
    </row>
    <row r="2905" spans="1:7" x14ac:dyDescent="0.2">
      <c r="A2905" t="s">
        <v>868</v>
      </c>
      <c r="B2905" t="s">
        <v>93</v>
      </c>
      <c r="C2905" t="s">
        <v>94</v>
      </c>
      <c r="D2905" t="s">
        <v>46</v>
      </c>
      <c r="G2905">
        <v>501</v>
      </c>
    </row>
    <row r="2906" spans="1:7" x14ac:dyDescent="0.2">
      <c r="A2906" t="s">
        <v>868</v>
      </c>
      <c r="B2906" t="s">
        <v>109</v>
      </c>
      <c r="C2906" t="s">
        <v>110</v>
      </c>
      <c r="D2906" t="s">
        <v>8</v>
      </c>
      <c r="G2906">
        <v>16027</v>
      </c>
    </row>
    <row r="2907" spans="1:7" x14ac:dyDescent="0.2">
      <c r="A2907" t="s">
        <v>868</v>
      </c>
      <c r="B2907" t="s">
        <v>109</v>
      </c>
      <c r="C2907" t="s">
        <v>110</v>
      </c>
      <c r="D2907" t="s">
        <v>111</v>
      </c>
      <c r="E2907" t="s">
        <v>112</v>
      </c>
      <c r="F2907" t="s">
        <v>22</v>
      </c>
      <c r="G2907">
        <v>12644</v>
      </c>
    </row>
    <row r="2908" spans="1:7" x14ac:dyDescent="0.2">
      <c r="A2908" t="s">
        <v>868</v>
      </c>
      <c r="B2908" t="s">
        <v>109</v>
      </c>
      <c r="C2908" t="s">
        <v>110</v>
      </c>
      <c r="D2908" t="s">
        <v>113</v>
      </c>
      <c r="E2908" t="s">
        <v>114</v>
      </c>
      <c r="F2908" t="s">
        <v>28</v>
      </c>
      <c r="G2908">
        <v>1506</v>
      </c>
    </row>
    <row r="2909" spans="1:7" x14ac:dyDescent="0.2">
      <c r="A2909" t="s">
        <v>868</v>
      </c>
      <c r="B2909" t="s">
        <v>109</v>
      </c>
      <c r="C2909" t="s">
        <v>110</v>
      </c>
      <c r="D2909" t="s">
        <v>115</v>
      </c>
      <c r="E2909" t="s">
        <v>116</v>
      </c>
      <c r="F2909" t="s">
        <v>25</v>
      </c>
      <c r="G2909">
        <v>524</v>
      </c>
    </row>
    <row r="2910" spans="1:7" x14ac:dyDescent="0.2">
      <c r="A2910" t="s">
        <v>868</v>
      </c>
      <c r="B2910" t="s">
        <v>109</v>
      </c>
      <c r="C2910" t="s">
        <v>110</v>
      </c>
      <c r="D2910" t="s">
        <v>117</v>
      </c>
      <c r="E2910" t="s">
        <v>118</v>
      </c>
      <c r="F2910" t="s">
        <v>11</v>
      </c>
      <c r="G2910">
        <v>392</v>
      </c>
    </row>
    <row r="2911" spans="1:7" x14ac:dyDescent="0.2">
      <c r="A2911" t="s">
        <v>868</v>
      </c>
      <c r="B2911" t="s">
        <v>109</v>
      </c>
      <c r="C2911" t="s">
        <v>110</v>
      </c>
      <c r="D2911" t="s">
        <v>119</v>
      </c>
      <c r="E2911" t="s">
        <v>120</v>
      </c>
      <c r="F2911" t="s">
        <v>88</v>
      </c>
      <c r="G2911">
        <v>394</v>
      </c>
    </row>
    <row r="2912" spans="1:7" x14ac:dyDescent="0.2">
      <c r="A2912" t="s">
        <v>868</v>
      </c>
      <c r="B2912" t="s">
        <v>109</v>
      </c>
      <c r="C2912" t="s">
        <v>110</v>
      </c>
      <c r="D2912" t="s">
        <v>45</v>
      </c>
      <c r="G2912">
        <v>0</v>
      </c>
    </row>
    <row r="2913" spans="1:7" x14ac:dyDescent="0.2">
      <c r="A2913" t="s">
        <v>868</v>
      </c>
      <c r="B2913" t="s">
        <v>109</v>
      </c>
      <c r="C2913" t="s">
        <v>110</v>
      </c>
      <c r="D2913" t="s">
        <v>46</v>
      </c>
      <c r="G2913">
        <v>567</v>
      </c>
    </row>
    <row r="2914" spans="1:7" x14ac:dyDescent="0.2">
      <c r="A2914" t="s">
        <v>868</v>
      </c>
      <c r="B2914" t="s">
        <v>121</v>
      </c>
      <c r="C2914" t="s">
        <v>122</v>
      </c>
      <c r="D2914" t="s">
        <v>8</v>
      </c>
      <c r="G2914">
        <v>16027</v>
      </c>
    </row>
    <row r="2915" spans="1:7" x14ac:dyDescent="0.2">
      <c r="A2915" t="s">
        <v>868</v>
      </c>
      <c r="B2915" t="s">
        <v>121</v>
      </c>
      <c r="C2915" t="s">
        <v>122</v>
      </c>
      <c r="D2915" t="s">
        <v>123</v>
      </c>
      <c r="E2915" t="s">
        <v>124</v>
      </c>
      <c r="F2915" t="s">
        <v>22</v>
      </c>
      <c r="G2915">
        <v>12669</v>
      </c>
    </row>
    <row r="2916" spans="1:7" x14ac:dyDescent="0.2">
      <c r="A2916" t="s">
        <v>868</v>
      </c>
      <c r="B2916" t="s">
        <v>121</v>
      </c>
      <c r="C2916" t="s">
        <v>122</v>
      </c>
      <c r="D2916" t="s">
        <v>125</v>
      </c>
      <c r="E2916" t="s">
        <v>126</v>
      </c>
      <c r="F2916" t="s">
        <v>16</v>
      </c>
      <c r="G2916">
        <v>1102</v>
      </c>
    </row>
    <row r="2917" spans="1:7" x14ac:dyDescent="0.2">
      <c r="A2917" t="s">
        <v>868</v>
      </c>
      <c r="B2917" t="s">
        <v>121</v>
      </c>
      <c r="C2917" t="s">
        <v>122</v>
      </c>
      <c r="D2917" t="s">
        <v>127</v>
      </c>
      <c r="E2917" t="s">
        <v>128</v>
      </c>
      <c r="F2917" t="s">
        <v>28</v>
      </c>
      <c r="G2917">
        <v>1557</v>
      </c>
    </row>
    <row r="2918" spans="1:7" x14ac:dyDescent="0.2">
      <c r="A2918" t="s">
        <v>868</v>
      </c>
      <c r="B2918" t="s">
        <v>121</v>
      </c>
      <c r="C2918" t="s">
        <v>122</v>
      </c>
      <c r="D2918" t="s">
        <v>45</v>
      </c>
      <c r="G2918">
        <v>0</v>
      </c>
    </row>
    <row r="2919" spans="1:7" x14ac:dyDescent="0.2">
      <c r="A2919" t="s">
        <v>868</v>
      </c>
      <c r="B2919" t="s">
        <v>121</v>
      </c>
      <c r="C2919" t="s">
        <v>122</v>
      </c>
      <c r="D2919" t="s">
        <v>46</v>
      </c>
      <c r="G2919">
        <v>699</v>
      </c>
    </row>
    <row r="2920" spans="1:7" x14ac:dyDescent="0.2">
      <c r="A2920" t="s">
        <v>868</v>
      </c>
      <c r="B2920" t="s">
        <v>129</v>
      </c>
      <c r="C2920" t="s">
        <v>130</v>
      </c>
      <c r="D2920" t="s">
        <v>8</v>
      </c>
      <c r="G2920">
        <v>16027</v>
      </c>
    </row>
    <row r="2921" spans="1:7" x14ac:dyDescent="0.2">
      <c r="A2921" t="s">
        <v>868</v>
      </c>
      <c r="B2921" t="s">
        <v>129</v>
      </c>
      <c r="C2921" t="s">
        <v>130</v>
      </c>
      <c r="D2921" t="s">
        <v>131</v>
      </c>
      <c r="E2921" t="s">
        <v>132</v>
      </c>
      <c r="F2921" t="s">
        <v>133</v>
      </c>
      <c r="G2921">
        <v>489</v>
      </c>
    </row>
    <row r="2922" spans="1:7" x14ac:dyDescent="0.2">
      <c r="A2922" t="s">
        <v>868</v>
      </c>
      <c r="B2922" t="s">
        <v>129</v>
      </c>
      <c r="C2922" t="s">
        <v>130</v>
      </c>
      <c r="D2922" t="s">
        <v>134</v>
      </c>
      <c r="E2922" t="s">
        <v>135</v>
      </c>
      <c r="F2922" t="s">
        <v>22</v>
      </c>
      <c r="G2922">
        <v>13274</v>
      </c>
    </row>
    <row r="2923" spans="1:7" x14ac:dyDescent="0.2">
      <c r="A2923" t="s">
        <v>868</v>
      </c>
      <c r="B2923" t="s">
        <v>129</v>
      </c>
      <c r="C2923" t="s">
        <v>130</v>
      </c>
      <c r="D2923" t="s">
        <v>136</v>
      </c>
      <c r="E2923" t="s">
        <v>137</v>
      </c>
      <c r="F2923" t="s">
        <v>28</v>
      </c>
      <c r="G2923">
        <v>1551</v>
      </c>
    </row>
    <row r="2924" spans="1:7" x14ac:dyDescent="0.2">
      <c r="A2924" t="s">
        <v>868</v>
      </c>
      <c r="B2924" t="s">
        <v>129</v>
      </c>
      <c r="C2924" t="s">
        <v>130</v>
      </c>
      <c r="D2924" t="s">
        <v>45</v>
      </c>
      <c r="G2924">
        <v>0</v>
      </c>
    </row>
    <row r="2925" spans="1:7" x14ac:dyDescent="0.2">
      <c r="A2925" t="s">
        <v>868</v>
      </c>
      <c r="B2925" t="s">
        <v>129</v>
      </c>
      <c r="C2925" t="s">
        <v>130</v>
      </c>
      <c r="D2925" t="s">
        <v>46</v>
      </c>
      <c r="G2925">
        <v>713</v>
      </c>
    </row>
    <row r="2926" spans="1:7" x14ac:dyDescent="0.2">
      <c r="A2926" t="s">
        <v>868</v>
      </c>
      <c r="B2926" t="s">
        <v>608</v>
      </c>
      <c r="C2926" t="s">
        <v>609</v>
      </c>
      <c r="D2926" t="s">
        <v>8</v>
      </c>
      <c r="G2926">
        <v>16027</v>
      </c>
    </row>
    <row r="2927" spans="1:7" x14ac:dyDescent="0.2">
      <c r="A2927" t="s">
        <v>868</v>
      </c>
      <c r="B2927" t="s">
        <v>608</v>
      </c>
      <c r="C2927" t="s">
        <v>609</v>
      </c>
      <c r="D2927" t="s">
        <v>610</v>
      </c>
      <c r="E2927" t="s">
        <v>611</v>
      </c>
      <c r="F2927" t="s">
        <v>22</v>
      </c>
      <c r="G2927">
        <v>14425</v>
      </c>
    </row>
    <row r="2928" spans="1:7" x14ac:dyDescent="0.2">
      <c r="A2928" t="s">
        <v>868</v>
      </c>
      <c r="B2928" t="s">
        <v>608</v>
      </c>
      <c r="C2928" t="s">
        <v>609</v>
      </c>
      <c r="D2928" t="s">
        <v>45</v>
      </c>
      <c r="G2928">
        <v>0</v>
      </c>
    </row>
    <row r="2929" spans="1:7" x14ac:dyDescent="0.2">
      <c r="A2929" t="s">
        <v>868</v>
      </c>
      <c r="B2929" t="s">
        <v>608</v>
      </c>
      <c r="C2929" t="s">
        <v>609</v>
      </c>
      <c r="D2929" t="s">
        <v>46</v>
      </c>
      <c r="G2929">
        <v>1602</v>
      </c>
    </row>
    <row r="2930" spans="1:7" x14ac:dyDescent="0.2">
      <c r="A2930" t="s">
        <v>868</v>
      </c>
      <c r="B2930" t="s">
        <v>678</v>
      </c>
      <c r="C2930" t="s">
        <v>679</v>
      </c>
      <c r="D2930" t="s">
        <v>8</v>
      </c>
      <c r="G2930">
        <v>16027</v>
      </c>
    </row>
    <row r="2931" spans="1:7" x14ac:dyDescent="0.2">
      <c r="A2931" t="s">
        <v>868</v>
      </c>
      <c r="B2931" t="s">
        <v>678</v>
      </c>
      <c r="C2931" t="s">
        <v>679</v>
      </c>
      <c r="D2931" t="s">
        <v>680</v>
      </c>
      <c r="E2931" t="s">
        <v>681</v>
      </c>
      <c r="F2931" t="s">
        <v>22</v>
      </c>
      <c r="G2931">
        <v>12577</v>
      </c>
    </row>
    <row r="2932" spans="1:7" x14ac:dyDescent="0.2">
      <c r="A2932" t="s">
        <v>868</v>
      </c>
      <c r="B2932" t="s">
        <v>678</v>
      </c>
      <c r="C2932" t="s">
        <v>679</v>
      </c>
      <c r="D2932" t="s">
        <v>682</v>
      </c>
      <c r="E2932" t="s">
        <v>683</v>
      </c>
      <c r="F2932" t="s">
        <v>11</v>
      </c>
      <c r="G2932">
        <v>2294</v>
      </c>
    </row>
    <row r="2933" spans="1:7" x14ac:dyDescent="0.2">
      <c r="A2933" t="s">
        <v>868</v>
      </c>
      <c r="B2933" t="s">
        <v>678</v>
      </c>
      <c r="C2933" t="s">
        <v>679</v>
      </c>
      <c r="D2933" t="s">
        <v>45</v>
      </c>
      <c r="G2933">
        <v>0</v>
      </c>
    </row>
    <row r="2934" spans="1:7" x14ac:dyDescent="0.2">
      <c r="A2934" t="s">
        <v>868</v>
      </c>
      <c r="B2934" t="s">
        <v>678</v>
      </c>
      <c r="C2934" t="s">
        <v>679</v>
      </c>
      <c r="D2934" t="s">
        <v>46</v>
      </c>
      <c r="G2934">
        <v>1156</v>
      </c>
    </row>
    <row r="2935" spans="1:7" x14ac:dyDescent="0.2">
      <c r="A2935" t="s">
        <v>868</v>
      </c>
      <c r="B2935" t="s">
        <v>692</v>
      </c>
      <c r="C2935" t="s">
        <v>693</v>
      </c>
      <c r="D2935" t="s">
        <v>8</v>
      </c>
      <c r="G2935">
        <v>16027</v>
      </c>
    </row>
    <row r="2936" spans="1:7" x14ac:dyDescent="0.2">
      <c r="A2936" t="s">
        <v>868</v>
      </c>
      <c r="B2936" t="s">
        <v>692</v>
      </c>
      <c r="C2936" t="s">
        <v>693</v>
      </c>
      <c r="D2936" t="s">
        <v>694</v>
      </c>
      <c r="E2936" t="s">
        <v>695</v>
      </c>
      <c r="G2936">
        <v>11167</v>
      </c>
    </row>
    <row r="2937" spans="1:7" x14ac:dyDescent="0.2">
      <c r="A2937" t="s">
        <v>868</v>
      </c>
      <c r="B2937" t="s">
        <v>692</v>
      </c>
      <c r="C2937" t="s">
        <v>693</v>
      </c>
      <c r="D2937" t="s">
        <v>696</v>
      </c>
      <c r="E2937" t="s">
        <v>697</v>
      </c>
      <c r="G2937">
        <v>2427</v>
      </c>
    </row>
    <row r="2938" spans="1:7" x14ac:dyDescent="0.2">
      <c r="A2938" t="s">
        <v>868</v>
      </c>
      <c r="B2938" t="s">
        <v>692</v>
      </c>
      <c r="C2938" t="s">
        <v>693</v>
      </c>
      <c r="D2938" t="s">
        <v>45</v>
      </c>
      <c r="G2938">
        <v>6</v>
      </c>
    </row>
    <row r="2939" spans="1:7" x14ac:dyDescent="0.2">
      <c r="A2939" t="s">
        <v>868</v>
      </c>
      <c r="B2939" t="s">
        <v>692</v>
      </c>
      <c r="C2939" t="s">
        <v>693</v>
      </c>
      <c r="D2939" t="s">
        <v>46</v>
      </c>
      <c r="G2939">
        <v>2427</v>
      </c>
    </row>
    <row r="2940" spans="1:7" x14ac:dyDescent="0.2">
      <c r="A2940" t="s">
        <v>868</v>
      </c>
      <c r="B2940" t="s">
        <v>698</v>
      </c>
      <c r="C2940" t="s">
        <v>699</v>
      </c>
      <c r="D2940" t="s">
        <v>8</v>
      </c>
      <c r="G2940">
        <v>16027</v>
      </c>
    </row>
    <row r="2941" spans="1:7" x14ac:dyDescent="0.2">
      <c r="A2941" t="s">
        <v>868</v>
      </c>
      <c r="B2941" t="s">
        <v>698</v>
      </c>
      <c r="C2941" t="s">
        <v>699</v>
      </c>
      <c r="D2941" t="s">
        <v>694</v>
      </c>
      <c r="E2941" t="s">
        <v>700</v>
      </c>
      <c r="G2941">
        <v>11120</v>
      </c>
    </row>
    <row r="2942" spans="1:7" x14ac:dyDescent="0.2">
      <c r="A2942" t="s">
        <v>868</v>
      </c>
      <c r="B2942" t="s">
        <v>698</v>
      </c>
      <c r="C2942" t="s">
        <v>699</v>
      </c>
      <c r="D2942" t="s">
        <v>696</v>
      </c>
      <c r="E2942" t="s">
        <v>701</v>
      </c>
      <c r="G2942">
        <v>2402</v>
      </c>
    </row>
    <row r="2943" spans="1:7" x14ac:dyDescent="0.2">
      <c r="A2943" t="s">
        <v>868</v>
      </c>
      <c r="B2943" t="s">
        <v>698</v>
      </c>
      <c r="C2943" t="s">
        <v>699</v>
      </c>
      <c r="D2943" t="s">
        <v>45</v>
      </c>
      <c r="G2943">
        <v>7</v>
      </c>
    </row>
    <row r="2944" spans="1:7" x14ac:dyDescent="0.2">
      <c r="A2944" t="s">
        <v>868</v>
      </c>
      <c r="B2944" t="s">
        <v>698</v>
      </c>
      <c r="C2944" t="s">
        <v>699</v>
      </c>
      <c r="D2944" t="s">
        <v>46</v>
      </c>
      <c r="G2944">
        <v>2498</v>
      </c>
    </row>
    <row r="2945" spans="1:7" x14ac:dyDescent="0.2">
      <c r="A2945" t="s">
        <v>868</v>
      </c>
      <c r="B2945" t="s">
        <v>794</v>
      </c>
      <c r="C2945" t="s">
        <v>795</v>
      </c>
      <c r="D2945" t="s">
        <v>8</v>
      </c>
      <c r="G2945">
        <v>16027</v>
      </c>
    </row>
    <row r="2946" spans="1:7" x14ac:dyDescent="0.2">
      <c r="A2946" t="s">
        <v>868</v>
      </c>
      <c r="B2946" t="s">
        <v>794</v>
      </c>
      <c r="C2946" t="s">
        <v>795</v>
      </c>
      <c r="D2946" t="s">
        <v>694</v>
      </c>
      <c r="E2946" t="s">
        <v>796</v>
      </c>
      <c r="G2946">
        <v>11376</v>
      </c>
    </row>
    <row r="2947" spans="1:7" x14ac:dyDescent="0.2">
      <c r="A2947" t="s">
        <v>868</v>
      </c>
      <c r="B2947" t="s">
        <v>794</v>
      </c>
      <c r="C2947" t="s">
        <v>795</v>
      </c>
      <c r="D2947" t="s">
        <v>696</v>
      </c>
      <c r="E2947" t="s">
        <v>797</v>
      </c>
      <c r="G2947">
        <v>2532</v>
      </c>
    </row>
    <row r="2948" spans="1:7" x14ac:dyDescent="0.2">
      <c r="A2948" t="s">
        <v>868</v>
      </c>
      <c r="B2948" t="s">
        <v>794</v>
      </c>
      <c r="C2948" t="s">
        <v>795</v>
      </c>
      <c r="D2948" t="s">
        <v>45</v>
      </c>
      <c r="G2948">
        <v>5</v>
      </c>
    </row>
    <row r="2949" spans="1:7" x14ac:dyDescent="0.2">
      <c r="A2949" t="s">
        <v>868</v>
      </c>
      <c r="B2949" t="s">
        <v>794</v>
      </c>
      <c r="C2949" t="s">
        <v>795</v>
      </c>
      <c r="D2949" t="s">
        <v>46</v>
      </c>
      <c r="G2949">
        <v>2114</v>
      </c>
    </row>
    <row r="2950" spans="1:7" x14ac:dyDescent="0.2">
      <c r="A2950" t="s">
        <v>868</v>
      </c>
      <c r="B2950" t="s">
        <v>798</v>
      </c>
      <c r="C2950" t="s">
        <v>799</v>
      </c>
      <c r="D2950" t="s">
        <v>8</v>
      </c>
      <c r="G2950">
        <v>16027</v>
      </c>
    </row>
    <row r="2951" spans="1:7" x14ac:dyDescent="0.2">
      <c r="A2951" t="s">
        <v>868</v>
      </c>
      <c r="B2951" t="s">
        <v>798</v>
      </c>
      <c r="C2951" t="s">
        <v>799</v>
      </c>
      <c r="D2951" t="s">
        <v>694</v>
      </c>
      <c r="E2951" t="s">
        <v>800</v>
      </c>
      <c r="G2951">
        <v>11717</v>
      </c>
    </row>
    <row r="2952" spans="1:7" x14ac:dyDescent="0.2">
      <c r="A2952" t="s">
        <v>868</v>
      </c>
      <c r="B2952" t="s">
        <v>798</v>
      </c>
      <c r="C2952" t="s">
        <v>799</v>
      </c>
      <c r="D2952" t="s">
        <v>696</v>
      </c>
      <c r="E2952" t="s">
        <v>801</v>
      </c>
      <c r="G2952">
        <v>2120</v>
      </c>
    </row>
    <row r="2953" spans="1:7" x14ac:dyDescent="0.2">
      <c r="A2953" t="s">
        <v>868</v>
      </c>
      <c r="B2953" t="s">
        <v>798</v>
      </c>
      <c r="C2953" t="s">
        <v>799</v>
      </c>
      <c r="D2953" t="s">
        <v>45</v>
      </c>
      <c r="G2953">
        <v>0</v>
      </c>
    </row>
    <row r="2954" spans="1:7" x14ac:dyDescent="0.2">
      <c r="A2954" t="s">
        <v>868</v>
      </c>
      <c r="B2954" t="s">
        <v>798</v>
      </c>
      <c r="C2954" t="s">
        <v>799</v>
      </c>
      <c r="D2954" t="s">
        <v>46</v>
      </c>
      <c r="G2954">
        <v>2190</v>
      </c>
    </row>
    <row r="2955" spans="1:7" x14ac:dyDescent="0.2">
      <c r="A2955" t="s">
        <v>868</v>
      </c>
      <c r="B2955" t="s">
        <v>834</v>
      </c>
      <c r="C2955" t="s">
        <v>835</v>
      </c>
      <c r="D2955" t="s">
        <v>8</v>
      </c>
      <c r="G2955">
        <v>16027</v>
      </c>
    </row>
    <row r="2956" spans="1:7" x14ac:dyDescent="0.2">
      <c r="A2956" t="s">
        <v>868</v>
      </c>
      <c r="B2956" t="s">
        <v>834</v>
      </c>
      <c r="C2956" t="s">
        <v>835</v>
      </c>
      <c r="D2956" t="s">
        <v>836</v>
      </c>
      <c r="E2956" t="s">
        <v>837</v>
      </c>
      <c r="G2956">
        <v>8958</v>
      </c>
    </row>
    <row r="2957" spans="1:7" x14ac:dyDescent="0.2">
      <c r="A2957" t="s">
        <v>868</v>
      </c>
      <c r="B2957" t="s">
        <v>834</v>
      </c>
      <c r="C2957" t="s">
        <v>835</v>
      </c>
      <c r="D2957" t="s">
        <v>838</v>
      </c>
      <c r="E2957" t="s">
        <v>839</v>
      </c>
      <c r="G2957">
        <v>6020</v>
      </c>
    </row>
    <row r="2958" spans="1:7" x14ac:dyDescent="0.2">
      <c r="A2958" t="s">
        <v>868</v>
      </c>
      <c r="B2958" t="s">
        <v>834</v>
      </c>
      <c r="C2958" t="s">
        <v>835</v>
      </c>
      <c r="D2958" t="s">
        <v>45</v>
      </c>
      <c r="G2958">
        <v>1</v>
      </c>
    </row>
    <row r="2959" spans="1:7" x14ac:dyDescent="0.2">
      <c r="A2959" t="s">
        <v>868</v>
      </c>
      <c r="B2959" t="s">
        <v>834</v>
      </c>
      <c r="C2959" t="s">
        <v>835</v>
      </c>
      <c r="D2959" t="s">
        <v>46</v>
      </c>
      <c r="G2959">
        <v>1048</v>
      </c>
    </row>
    <row r="2960" spans="1:7" x14ac:dyDescent="0.2">
      <c r="A2960" t="s">
        <v>868</v>
      </c>
      <c r="B2960" t="s">
        <v>840</v>
      </c>
      <c r="C2960" t="s">
        <v>841</v>
      </c>
      <c r="D2960" t="s">
        <v>8</v>
      </c>
      <c r="G2960">
        <v>16027</v>
      </c>
    </row>
    <row r="2961" spans="1:7" x14ac:dyDescent="0.2">
      <c r="A2961" t="s">
        <v>868</v>
      </c>
      <c r="B2961" t="s">
        <v>840</v>
      </c>
      <c r="C2961" t="s">
        <v>841</v>
      </c>
      <c r="D2961" t="s">
        <v>836</v>
      </c>
      <c r="E2961" t="s">
        <v>842</v>
      </c>
      <c r="G2961">
        <v>13727</v>
      </c>
    </row>
    <row r="2962" spans="1:7" x14ac:dyDescent="0.2">
      <c r="A2962" t="s">
        <v>868</v>
      </c>
      <c r="B2962" t="s">
        <v>840</v>
      </c>
      <c r="C2962" t="s">
        <v>841</v>
      </c>
      <c r="D2962" t="s">
        <v>838</v>
      </c>
      <c r="E2962" t="s">
        <v>843</v>
      </c>
      <c r="G2962">
        <v>1489</v>
      </c>
    </row>
    <row r="2963" spans="1:7" x14ac:dyDescent="0.2">
      <c r="A2963" t="s">
        <v>868</v>
      </c>
      <c r="B2963" t="s">
        <v>840</v>
      </c>
      <c r="C2963" t="s">
        <v>841</v>
      </c>
      <c r="D2963" t="s">
        <v>45</v>
      </c>
      <c r="G2963">
        <v>4</v>
      </c>
    </row>
    <row r="2964" spans="1:7" x14ac:dyDescent="0.2">
      <c r="A2964" t="s">
        <v>868</v>
      </c>
      <c r="B2964" t="s">
        <v>840</v>
      </c>
      <c r="C2964" t="s">
        <v>841</v>
      </c>
      <c r="D2964" t="s">
        <v>46</v>
      </c>
      <c r="G2964">
        <v>807</v>
      </c>
    </row>
    <row r="2965" spans="1:7" x14ac:dyDescent="0.2">
      <c r="A2965" t="s">
        <v>869</v>
      </c>
      <c r="B2965" t="s">
        <v>6</v>
      </c>
      <c r="C2965" t="s">
        <v>7</v>
      </c>
      <c r="D2965" t="s">
        <v>8</v>
      </c>
      <c r="G2965">
        <v>308981</v>
      </c>
    </row>
    <row r="2966" spans="1:7" x14ac:dyDescent="0.2">
      <c r="A2966" t="s">
        <v>869</v>
      </c>
      <c r="B2966" t="s">
        <v>6</v>
      </c>
      <c r="C2966" t="s">
        <v>7</v>
      </c>
      <c r="D2966" t="s">
        <v>9</v>
      </c>
      <c r="E2966" t="s">
        <v>10</v>
      </c>
      <c r="F2966" t="s">
        <v>11</v>
      </c>
      <c r="G2966">
        <v>382</v>
      </c>
    </row>
    <row r="2967" spans="1:7" x14ac:dyDescent="0.2">
      <c r="A2967" t="s">
        <v>869</v>
      </c>
      <c r="B2967" t="s">
        <v>6</v>
      </c>
      <c r="C2967" t="s">
        <v>7</v>
      </c>
      <c r="D2967" t="s">
        <v>12</v>
      </c>
      <c r="E2967" t="s">
        <v>13</v>
      </c>
      <c r="F2967" t="s">
        <v>11</v>
      </c>
      <c r="G2967">
        <v>470</v>
      </c>
    </row>
    <row r="2968" spans="1:7" x14ac:dyDescent="0.2">
      <c r="A2968" t="s">
        <v>869</v>
      </c>
      <c r="B2968" t="s">
        <v>6</v>
      </c>
      <c r="C2968" t="s">
        <v>7</v>
      </c>
      <c r="D2968" t="s">
        <v>14</v>
      </c>
      <c r="E2968" t="s">
        <v>15</v>
      </c>
      <c r="F2968" t="s">
        <v>16</v>
      </c>
      <c r="G2968">
        <v>2164</v>
      </c>
    </row>
    <row r="2969" spans="1:7" x14ac:dyDescent="0.2">
      <c r="A2969" t="s">
        <v>869</v>
      </c>
      <c r="B2969" t="s">
        <v>6</v>
      </c>
      <c r="C2969" t="s">
        <v>7</v>
      </c>
      <c r="D2969" t="s">
        <v>17</v>
      </c>
      <c r="E2969" t="s">
        <v>18</v>
      </c>
      <c r="F2969" t="s">
        <v>19</v>
      </c>
      <c r="G2969">
        <v>1582</v>
      </c>
    </row>
    <row r="2970" spans="1:7" x14ac:dyDescent="0.2">
      <c r="A2970" t="s">
        <v>869</v>
      </c>
      <c r="B2970" t="s">
        <v>6</v>
      </c>
      <c r="C2970" t="s">
        <v>7</v>
      </c>
      <c r="D2970" t="s">
        <v>20</v>
      </c>
      <c r="E2970" t="s">
        <v>21</v>
      </c>
      <c r="F2970" t="s">
        <v>22</v>
      </c>
      <c r="G2970">
        <v>203476</v>
      </c>
    </row>
    <row r="2971" spans="1:7" x14ac:dyDescent="0.2">
      <c r="A2971" t="s">
        <v>869</v>
      </c>
      <c r="B2971" t="s">
        <v>6</v>
      </c>
      <c r="C2971" t="s">
        <v>7</v>
      </c>
      <c r="D2971" t="s">
        <v>23</v>
      </c>
      <c r="E2971" t="s">
        <v>24</v>
      </c>
      <c r="F2971" t="s">
        <v>25</v>
      </c>
      <c r="G2971">
        <v>4397</v>
      </c>
    </row>
    <row r="2972" spans="1:7" x14ac:dyDescent="0.2">
      <c r="A2972" t="s">
        <v>869</v>
      </c>
      <c r="B2972" t="s">
        <v>6</v>
      </c>
      <c r="C2972" t="s">
        <v>7</v>
      </c>
      <c r="D2972" t="s">
        <v>26</v>
      </c>
      <c r="E2972" t="s">
        <v>27</v>
      </c>
      <c r="F2972" t="s">
        <v>28</v>
      </c>
      <c r="G2972">
        <v>84937</v>
      </c>
    </row>
    <row r="2973" spans="1:7" x14ac:dyDescent="0.2">
      <c r="A2973" t="s">
        <v>869</v>
      </c>
      <c r="B2973" t="s">
        <v>6</v>
      </c>
      <c r="C2973" t="s">
        <v>7</v>
      </c>
      <c r="D2973" t="s">
        <v>29</v>
      </c>
      <c r="E2973" t="s">
        <v>30</v>
      </c>
      <c r="F2973" t="s">
        <v>11</v>
      </c>
      <c r="G2973">
        <v>536</v>
      </c>
    </row>
    <row r="2974" spans="1:7" x14ac:dyDescent="0.2">
      <c r="A2974" t="s">
        <v>869</v>
      </c>
      <c r="B2974" t="s">
        <v>6</v>
      </c>
      <c r="C2974" t="s">
        <v>7</v>
      </c>
      <c r="D2974" t="s">
        <v>31</v>
      </c>
      <c r="E2974" t="s">
        <v>32</v>
      </c>
      <c r="F2974" t="s">
        <v>11</v>
      </c>
      <c r="G2974">
        <v>1</v>
      </c>
    </row>
    <row r="2975" spans="1:7" x14ac:dyDescent="0.2">
      <c r="A2975" t="s">
        <v>869</v>
      </c>
      <c r="B2975" t="s">
        <v>6</v>
      </c>
      <c r="C2975" t="s">
        <v>7</v>
      </c>
      <c r="D2975" t="s">
        <v>33</v>
      </c>
      <c r="E2975" t="s">
        <v>34</v>
      </c>
      <c r="F2975" t="s">
        <v>11</v>
      </c>
      <c r="G2975">
        <v>155</v>
      </c>
    </row>
    <row r="2976" spans="1:7" x14ac:dyDescent="0.2">
      <c r="A2976" t="s">
        <v>869</v>
      </c>
      <c r="B2976" t="s">
        <v>6</v>
      </c>
      <c r="C2976" t="s">
        <v>7</v>
      </c>
      <c r="D2976" t="s">
        <v>35</v>
      </c>
      <c r="E2976" t="s">
        <v>36</v>
      </c>
      <c r="F2976" t="s">
        <v>11</v>
      </c>
      <c r="G2976">
        <v>13</v>
      </c>
    </row>
    <row r="2977" spans="1:7" x14ac:dyDescent="0.2">
      <c r="A2977" t="s">
        <v>869</v>
      </c>
      <c r="B2977" t="s">
        <v>6</v>
      </c>
      <c r="C2977" t="s">
        <v>7</v>
      </c>
      <c r="D2977" t="s">
        <v>37</v>
      </c>
      <c r="E2977" t="s">
        <v>38</v>
      </c>
      <c r="F2977" t="s">
        <v>11</v>
      </c>
      <c r="G2977">
        <v>30</v>
      </c>
    </row>
    <row r="2978" spans="1:7" x14ac:dyDescent="0.2">
      <c r="A2978" t="s">
        <v>869</v>
      </c>
      <c r="B2978" t="s">
        <v>6</v>
      </c>
      <c r="C2978" t="s">
        <v>7</v>
      </c>
      <c r="D2978" t="s">
        <v>39</v>
      </c>
      <c r="E2978" t="s">
        <v>40</v>
      </c>
      <c r="F2978" t="s">
        <v>11</v>
      </c>
      <c r="G2978">
        <v>0</v>
      </c>
    </row>
    <row r="2979" spans="1:7" x14ac:dyDescent="0.2">
      <c r="A2979" t="s">
        <v>869</v>
      </c>
      <c r="B2979" t="s">
        <v>6</v>
      </c>
      <c r="C2979" t="s">
        <v>7</v>
      </c>
      <c r="D2979" t="s">
        <v>41</v>
      </c>
      <c r="E2979" t="s">
        <v>42</v>
      </c>
      <c r="F2979" t="s">
        <v>11</v>
      </c>
      <c r="G2979">
        <v>0</v>
      </c>
    </row>
    <row r="2980" spans="1:7" x14ac:dyDescent="0.2">
      <c r="A2980" t="s">
        <v>869</v>
      </c>
      <c r="B2980" t="s">
        <v>6</v>
      </c>
      <c r="C2980" t="s">
        <v>7</v>
      </c>
      <c r="D2980" t="s">
        <v>43</v>
      </c>
      <c r="E2980" t="s">
        <v>44</v>
      </c>
      <c r="F2980" t="s">
        <v>11</v>
      </c>
      <c r="G2980">
        <v>0</v>
      </c>
    </row>
    <row r="2981" spans="1:7" x14ac:dyDescent="0.2">
      <c r="A2981" t="s">
        <v>869</v>
      </c>
      <c r="B2981" t="s">
        <v>6</v>
      </c>
      <c r="C2981" t="s">
        <v>7</v>
      </c>
      <c r="D2981" t="s">
        <v>45</v>
      </c>
      <c r="G2981">
        <v>42</v>
      </c>
    </row>
    <row r="2982" spans="1:7" x14ac:dyDescent="0.2">
      <c r="A2982" t="s">
        <v>869</v>
      </c>
      <c r="B2982" t="s">
        <v>6</v>
      </c>
      <c r="C2982" t="s">
        <v>7</v>
      </c>
      <c r="D2982" t="s">
        <v>46</v>
      </c>
      <c r="G2982">
        <v>3668</v>
      </c>
    </row>
    <row r="2983" spans="1:7" x14ac:dyDescent="0.2">
      <c r="A2983" t="s">
        <v>869</v>
      </c>
      <c r="B2983" t="s">
        <v>47</v>
      </c>
      <c r="C2983" t="s">
        <v>48</v>
      </c>
      <c r="D2983" t="s">
        <v>8</v>
      </c>
      <c r="G2983">
        <v>308981</v>
      </c>
    </row>
    <row r="2984" spans="1:7" x14ac:dyDescent="0.2">
      <c r="A2984" t="s">
        <v>869</v>
      </c>
      <c r="B2984" t="s">
        <v>47</v>
      </c>
      <c r="C2984" t="s">
        <v>48</v>
      </c>
      <c r="D2984" t="s">
        <v>49</v>
      </c>
      <c r="E2984" t="s">
        <v>50</v>
      </c>
      <c r="F2984" t="s">
        <v>51</v>
      </c>
      <c r="G2984">
        <v>21419</v>
      </c>
    </row>
    <row r="2985" spans="1:7" x14ac:dyDescent="0.2">
      <c r="A2985" t="s">
        <v>869</v>
      </c>
      <c r="B2985" t="s">
        <v>47</v>
      </c>
      <c r="C2985" t="s">
        <v>48</v>
      </c>
      <c r="D2985" t="s">
        <v>52</v>
      </c>
      <c r="E2985" t="s">
        <v>53</v>
      </c>
      <c r="F2985" t="s">
        <v>22</v>
      </c>
      <c r="G2985">
        <v>214605</v>
      </c>
    </row>
    <row r="2986" spans="1:7" x14ac:dyDescent="0.2">
      <c r="A2986" t="s">
        <v>869</v>
      </c>
      <c r="B2986" t="s">
        <v>47</v>
      </c>
      <c r="C2986" t="s">
        <v>48</v>
      </c>
      <c r="D2986" t="s">
        <v>54</v>
      </c>
      <c r="E2986" t="s">
        <v>55</v>
      </c>
      <c r="F2986" t="s">
        <v>28</v>
      </c>
      <c r="G2986">
        <v>60490</v>
      </c>
    </row>
    <row r="2987" spans="1:7" x14ac:dyDescent="0.2">
      <c r="A2987" t="s">
        <v>869</v>
      </c>
      <c r="B2987" t="s">
        <v>47</v>
      </c>
      <c r="C2987" t="s">
        <v>48</v>
      </c>
      <c r="D2987" t="s">
        <v>56</v>
      </c>
      <c r="E2987" t="s">
        <v>57</v>
      </c>
      <c r="F2987" t="s">
        <v>11</v>
      </c>
      <c r="G2987">
        <v>70</v>
      </c>
    </row>
    <row r="2988" spans="1:7" x14ac:dyDescent="0.2">
      <c r="A2988" t="s">
        <v>869</v>
      </c>
      <c r="B2988" t="s">
        <v>47</v>
      </c>
      <c r="C2988" t="s">
        <v>48</v>
      </c>
      <c r="D2988" t="s">
        <v>45</v>
      </c>
      <c r="G2988">
        <v>22</v>
      </c>
    </row>
    <row r="2989" spans="1:7" x14ac:dyDescent="0.2">
      <c r="A2989" t="s">
        <v>869</v>
      </c>
      <c r="B2989" t="s">
        <v>47</v>
      </c>
      <c r="C2989" t="s">
        <v>48</v>
      </c>
      <c r="D2989" t="s">
        <v>46</v>
      </c>
      <c r="G2989">
        <v>9999</v>
      </c>
    </row>
    <row r="2990" spans="1:7" x14ac:dyDescent="0.2">
      <c r="A2990" t="s">
        <v>869</v>
      </c>
      <c r="B2990" t="s">
        <v>76</v>
      </c>
      <c r="C2990" t="s">
        <v>77</v>
      </c>
      <c r="D2990" t="s">
        <v>8</v>
      </c>
      <c r="G2990">
        <v>169457</v>
      </c>
    </row>
    <row r="2991" spans="1:7" x14ac:dyDescent="0.2">
      <c r="A2991" t="s">
        <v>869</v>
      </c>
      <c r="B2991" t="s">
        <v>76</v>
      </c>
      <c r="C2991" t="s">
        <v>77</v>
      </c>
      <c r="D2991" t="s">
        <v>78</v>
      </c>
      <c r="E2991" t="s">
        <v>79</v>
      </c>
      <c r="F2991" t="s">
        <v>22</v>
      </c>
      <c r="G2991">
        <v>120259</v>
      </c>
    </row>
    <row r="2992" spans="1:7" x14ac:dyDescent="0.2">
      <c r="A2992" t="s">
        <v>869</v>
      </c>
      <c r="B2992" t="s">
        <v>76</v>
      </c>
      <c r="C2992" t="s">
        <v>77</v>
      </c>
      <c r="D2992" t="s">
        <v>80</v>
      </c>
      <c r="E2992" t="s">
        <v>81</v>
      </c>
      <c r="F2992" t="s">
        <v>28</v>
      </c>
      <c r="G2992">
        <v>40389</v>
      </c>
    </row>
    <row r="2993" spans="1:7" x14ac:dyDescent="0.2">
      <c r="A2993" t="s">
        <v>869</v>
      </c>
      <c r="B2993" t="s">
        <v>76</v>
      </c>
      <c r="C2993" t="s">
        <v>77</v>
      </c>
      <c r="D2993" t="s">
        <v>45</v>
      </c>
      <c r="G2993">
        <v>9</v>
      </c>
    </row>
    <row r="2994" spans="1:7" x14ac:dyDescent="0.2">
      <c r="A2994" t="s">
        <v>869</v>
      </c>
      <c r="B2994" t="s">
        <v>76</v>
      </c>
      <c r="C2994" t="s">
        <v>77</v>
      </c>
      <c r="D2994" t="s">
        <v>46</v>
      </c>
      <c r="G2994">
        <v>8800</v>
      </c>
    </row>
    <row r="2995" spans="1:7" x14ac:dyDescent="0.2">
      <c r="A2995" t="s">
        <v>869</v>
      </c>
      <c r="B2995" t="s">
        <v>82</v>
      </c>
      <c r="C2995" t="s">
        <v>83</v>
      </c>
      <c r="D2995" t="s">
        <v>8</v>
      </c>
      <c r="G2995">
        <v>139524</v>
      </c>
    </row>
    <row r="2996" spans="1:7" x14ac:dyDescent="0.2">
      <c r="A2996" t="s">
        <v>869</v>
      </c>
      <c r="B2996" t="s">
        <v>82</v>
      </c>
      <c r="C2996" t="s">
        <v>83</v>
      </c>
      <c r="D2996" t="s">
        <v>84</v>
      </c>
      <c r="E2996" t="s">
        <v>85</v>
      </c>
      <c r="F2996" t="s">
        <v>11</v>
      </c>
      <c r="G2996">
        <v>2254</v>
      </c>
    </row>
    <row r="2997" spans="1:7" x14ac:dyDescent="0.2">
      <c r="A2997" t="s">
        <v>869</v>
      </c>
      <c r="B2997" t="s">
        <v>82</v>
      </c>
      <c r="C2997" t="s">
        <v>83</v>
      </c>
      <c r="D2997" t="s">
        <v>86</v>
      </c>
      <c r="E2997" t="s">
        <v>87</v>
      </c>
      <c r="F2997" t="s">
        <v>88</v>
      </c>
      <c r="G2997">
        <v>7511</v>
      </c>
    </row>
    <row r="2998" spans="1:7" x14ac:dyDescent="0.2">
      <c r="A2998" t="s">
        <v>869</v>
      </c>
      <c r="B2998" t="s">
        <v>82</v>
      </c>
      <c r="C2998" t="s">
        <v>83</v>
      </c>
      <c r="D2998" t="s">
        <v>89</v>
      </c>
      <c r="E2998" t="s">
        <v>90</v>
      </c>
      <c r="F2998" t="s">
        <v>28</v>
      </c>
      <c r="G2998">
        <v>25389</v>
      </c>
    </row>
    <row r="2999" spans="1:7" x14ac:dyDescent="0.2">
      <c r="A2999" t="s">
        <v>869</v>
      </c>
      <c r="B2999" t="s">
        <v>82</v>
      </c>
      <c r="C2999" t="s">
        <v>83</v>
      </c>
      <c r="D2999" t="s">
        <v>91</v>
      </c>
      <c r="E2999" t="s">
        <v>92</v>
      </c>
      <c r="F2999" t="s">
        <v>22</v>
      </c>
      <c r="G2999">
        <v>98063</v>
      </c>
    </row>
    <row r="3000" spans="1:7" x14ac:dyDescent="0.2">
      <c r="A3000" t="s">
        <v>869</v>
      </c>
      <c r="B3000" t="s">
        <v>82</v>
      </c>
      <c r="C3000" t="s">
        <v>83</v>
      </c>
      <c r="D3000" t="s">
        <v>45</v>
      </c>
      <c r="G3000">
        <v>40</v>
      </c>
    </row>
    <row r="3001" spans="1:7" x14ac:dyDescent="0.2">
      <c r="A3001" t="s">
        <v>869</v>
      </c>
      <c r="B3001" t="s">
        <v>82</v>
      </c>
      <c r="C3001" t="s">
        <v>83</v>
      </c>
      <c r="D3001" t="s">
        <v>46</v>
      </c>
      <c r="G3001">
        <v>6267</v>
      </c>
    </row>
    <row r="3002" spans="1:7" x14ac:dyDescent="0.2">
      <c r="A3002" t="s">
        <v>869</v>
      </c>
      <c r="B3002" t="s">
        <v>93</v>
      </c>
      <c r="C3002" t="s">
        <v>94</v>
      </c>
      <c r="D3002" t="s">
        <v>8</v>
      </c>
      <c r="G3002">
        <v>308663</v>
      </c>
    </row>
    <row r="3003" spans="1:7" x14ac:dyDescent="0.2">
      <c r="A3003" t="s">
        <v>869</v>
      </c>
      <c r="B3003" t="s">
        <v>93</v>
      </c>
      <c r="C3003" t="s">
        <v>94</v>
      </c>
      <c r="D3003" t="s">
        <v>95</v>
      </c>
      <c r="E3003" t="s">
        <v>96</v>
      </c>
      <c r="F3003" t="s">
        <v>22</v>
      </c>
      <c r="G3003">
        <v>171100</v>
      </c>
    </row>
    <row r="3004" spans="1:7" x14ac:dyDescent="0.2">
      <c r="A3004" t="s">
        <v>869</v>
      </c>
      <c r="B3004" t="s">
        <v>93</v>
      </c>
      <c r="C3004" t="s">
        <v>94</v>
      </c>
      <c r="D3004" t="s">
        <v>97</v>
      </c>
      <c r="E3004" t="s">
        <v>98</v>
      </c>
      <c r="F3004" t="s">
        <v>51</v>
      </c>
      <c r="G3004">
        <v>4979</v>
      </c>
    </row>
    <row r="3005" spans="1:7" x14ac:dyDescent="0.2">
      <c r="A3005" t="s">
        <v>869</v>
      </c>
      <c r="B3005" t="s">
        <v>93</v>
      </c>
      <c r="C3005" t="s">
        <v>94</v>
      </c>
      <c r="D3005" t="s">
        <v>99</v>
      </c>
      <c r="E3005" t="s">
        <v>100</v>
      </c>
      <c r="F3005" t="s">
        <v>28</v>
      </c>
      <c r="G3005">
        <v>54536</v>
      </c>
    </row>
    <row r="3006" spans="1:7" x14ac:dyDescent="0.2">
      <c r="A3006" t="s">
        <v>869</v>
      </c>
      <c r="B3006" t="s">
        <v>93</v>
      </c>
      <c r="C3006" t="s">
        <v>94</v>
      </c>
      <c r="D3006" t="s">
        <v>101</v>
      </c>
      <c r="E3006" t="s">
        <v>102</v>
      </c>
      <c r="F3006" t="s">
        <v>25</v>
      </c>
      <c r="G3006">
        <v>7664</v>
      </c>
    </row>
    <row r="3007" spans="1:7" x14ac:dyDescent="0.2">
      <c r="A3007" t="s">
        <v>869</v>
      </c>
      <c r="B3007" t="s">
        <v>93</v>
      </c>
      <c r="C3007" t="s">
        <v>94</v>
      </c>
      <c r="D3007" t="s">
        <v>103</v>
      </c>
      <c r="E3007" t="s">
        <v>104</v>
      </c>
      <c r="F3007" t="s">
        <v>11</v>
      </c>
      <c r="G3007">
        <v>951</v>
      </c>
    </row>
    <row r="3008" spans="1:7" x14ac:dyDescent="0.2">
      <c r="A3008" t="s">
        <v>869</v>
      </c>
      <c r="B3008" t="s">
        <v>93</v>
      </c>
      <c r="C3008" t="s">
        <v>94</v>
      </c>
      <c r="D3008" t="s">
        <v>105</v>
      </c>
      <c r="E3008" t="s">
        <v>106</v>
      </c>
      <c r="F3008" t="s">
        <v>11</v>
      </c>
      <c r="G3008">
        <v>59531</v>
      </c>
    </row>
    <row r="3009" spans="1:7" x14ac:dyDescent="0.2">
      <c r="A3009" t="s">
        <v>869</v>
      </c>
      <c r="B3009" t="s">
        <v>93</v>
      </c>
      <c r="C3009" t="s">
        <v>94</v>
      </c>
      <c r="D3009" t="s">
        <v>107</v>
      </c>
      <c r="E3009" t="s">
        <v>108</v>
      </c>
      <c r="F3009" t="s">
        <v>11</v>
      </c>
      <c r="G3009">
        <v>99</v>
      </c>
    </row>
    <row r="3010" spans="1:7" x14ac:dyDescent="0.2">
      <c r="A3010" t="s">
        <v>869</v>
      </c>
      <c r="B3010" t="s">
        <v>93</v>
      </c>
      <c r="C3010" t="s">
        <v>94</v>
      </c>
      <c r="D3010" t="s">
        <v>45</v>
      </c>
      <c r="G3010">
        <v>34</v>
      </c>
    </row>
    <row r="3011" spans="1:7" x14ac:dyDescent="0.2">
      <c r="A3011" t="s">
        <v>869</v>
      </c>
      <c r="B3011" t="s">
        <v>93</v>
      </c>
      <c r="C3011" t="s">
        <v>94</v>
      </c>
      <c r="D3011" t="s">
        <v>46</v>
      </c>
      <c r="G3011">
        <v>8954</v>
      </c>
    </row>
    <row r="3012" spans="1:7" x14ac:dyDescent="0.2">
      <c r="A3012" t="s">
        <v>869</v>
      </c>
      <c r="B3012" t="s">
        <v>109</v>
      </c>
      <c r="C3012" t="s">
        <v>110</v>
      </c>
      <c r="D3012" t="s">
        <v>8</v>
      </c>
      <c r="G3012">
        <v>308663</v>
      </c>
    </row>
    <row r="3013" spans="1:7" x14ac:dyDescent="0.2">
      <c r="A3013" t="s">
        <v>869</v>
      </c>
      <c r="B3013" t="s">
        <v>109</v>
      </c>
      <c r="C3013" t="s">
        <v>110</v>
      </c>
      <c r="D3013" t="s">
        <v>111</v>
      </c>
      <c r="E3013" t="s">
        <v>112</v>
      </c>
      <c r="F3013" t="s">
        <v>22</v>
      </c>
      <c r="G3013">
        <v>193005</v>
      </c>
    </row>
    <row r="3014" spans="1:7" x14ac:dyDescent="0.2">
      <c r="A3014" t="s">
        <v>869</v>
      </c>
      <c r="B3014" t="s">
        <v>109</v>
      </c>
      <c r="C3014" t="s">
        <v>110</v>
      </c>
      <c r="D3014" t="s">
        <v>113</v>
      </c>
      <c r="E3014" t="s">
        <v>114</v>
      </c>
      <c r="F3014" t="s">
        <v>28</v>
      </c>
      <c r="G3014">
        <v>51326</v>
      </c>
    </row>
    <row r="3015" spans="1:7" x14ac:dyDescent="0.2">
      <c r="A3015" t="s">
        <v>869</v>
      </c>
      <c r="B3015" t="s">
        <v>109</v>
      </c>
      <c r="C3015" t="s">
        <v>110</v>
      </c>
      <c r="D3015" t="s">
        <v>115</v>
      </c>
      <c r="E3015" t="s">
        <v>116</v>
      </c>
      <c r="F3015" t="s">
        <v>25</v>
      </c>
      <c r="G3015">
        <v>11462</v>
      </c>
    </row>
    <row r="3016" spans="1:7" x14ac:dyDescent="0.2">
      <c r="A3016" t="s">
        <v>869</v>
      </c>
      <c r="B3016" t="s">
        <v>109</v>
      </c>
      <c r="C3016" t="s">
        <v>110</v>
      </c>
      <c r="D3016" t="s">
        <v>117</v>
      </c>
      <c r="E3016" t="s">
        <v>118</v>
      </c>
      <c r="F3016" t="s">
        <v>11</v>
      </c>
      <c r="G3016">
        <v>12635</v>
      </c>
    </row>
    <row r="3017" spans="1:7" x14ac:dyDescent="0.2">
      <c r="A3017" t="s">
        <v>869</v>
      </c>
      <c r="B3017" t="s">
        <v>109</v>
      </c>
      <c r="C3017" t="s">
        <v>110</v>
      </c>
      <c r="D3017" t="s">
        <v>119</v>
      </c>
      <c r="E3017" t="s">
        <v>120</v>
      </c>
      <c r="F3017" t="s">
        <v>88</v>
      </c>
      <c r="G3017">
        <v>24115</v>
      </c>
    </row>
    <row r="3018" spans="1:7" x14ac:dyDescent="0.2">
      <c r="A3018" t="s">
        <v>869</v>
      </c>
      <c r="B3018" t="s">
        <v>109</v>
      </c>
      <c r="C3018" t="s">
        <v>110</v>
      </c>
      <c r="D3018" t="s">
        <v>45</v>
      </c>
      <c r="G3018">
        <v>27</v>
      </c>
    </row>
    <row r="3019" spans="1:7" x14ac:dyDescent="0.2">
      <c r="A3019" t="s">
        <v>869</v>
      </c>
      <c r="B3019" t="s">
        <v>109</v>
      </c>
      <c r="C3019" t="s">
        <v>110</v>
      </c>
      <c r="D3019" t="s">
        <v>46</v>
      </c>
      <c r="G3019">
        <v>16093</v>
      </c>
    </row>
    <row r="3020" spans="1:7" x14ac:dyDescent="0.2">
      <c r="A3020" t="s">
        <v>869</v>
      </c>
      <c r="B3020" t="s">
        <v>121</v>
      </c>
      <c r="C3020" t="s">
        <v>122</v>
      </c>
      <c r="D3020" t="s">
        <v>8</v>
      </c>
      <c r="G3020">
        <v>308663</v>
      </c>
    </row>
    <row r="3021" spans="1:7" x14ac:dyDescent="0.2">
      <c r="A3021" t="s">
        <v>869</v>
      </c>
      <c r="B3021" t="s">
        <v>121</v>
      </c>
      <c r="C3021" t="s">
        <v>122</v>
      </c>
      <c r="D3021" t="s">
        <v>123</v>
      </c>
      <c r="E3021" t="s">
        <v>124</v>
      </c>
      <c r="F3021" t="s">
        <v>22</v>
      </c>
      <c r="G3021">
        <v>212000</v>
      </c>
    </row>
    <row r="3022" spans="1:7" x14ac:dyDescent="0.2">
      <c r="A3022" t="s">
        <v>869</v>
      </c>
      <c r="B3022" t="s">
        <v>121</v>
      </c>
      <c r="C3022" t="s">
        <v>122</v>
      </c>
      <c r="D3022" t="s">
        <v>125</v>
      </c>
      <c r="E3022" t="s">
        <v>126</v>
      </c>
      <c r="F3022" t="s">
        <v>16</v>
      </c>
      <c r="G3022">
        <v>15216</v>
      </c>
    </row>
    <row r="3023" spans="1:7" x14ac:dyDescent="0.2">
      <c r="A3023" t="s">
        <v>869</v>
      </c>
      <c r="B3023" t="s">
        <v>121</v>
      </c>
      <c r="C3023" t="s">
        <v>122</v>
      </c>
      <c r="D3023" t="s">
        <v>127</v>
      </c>
      <c r="E3023" t="s">
        <v>128</v>
      </c>
      <c r="F3023" t="s">
        <v>28</v>
      </c>
      <c r="G3023">
        <v>59852</v>
      </c>
    </row>
    <row r="3024" spans="1:7" x14ac:dyDescent="0.2">
      <c r="A3024" t="s">
        <v>869</v>
      </c>
      <c r="B3024" t="s">
        <v>121</v>
      </c>
      <c r="C3024" t="s">
        <v>122</v>
      </c>
      <c r="D3024" t="s">
        <v>45</v>
      </c>
      <c r="G3024">
        <v>6</v>
      </c>
    </row>
    <row r="3025" spans="1:7" x14ac:dyDescent="0.2">
      <c r="A3025" t="s">
        <v>869</v>
      </c>
      <c r="B3025" t="s">
        <v>121</v>
      </c>
      <c r="C3025" t="s">
        <v>122</v>
      </c>
      <c r="D3025" t="s">
        <v>46</v>
      </c>
      <c r="G3025">
        <v>21589</v>
      </c>
    </row>
    <row r="3026" spans="1:7" x14ac:dyDescent="0.2">
      <c r="A3026" t="s">
        <v>869</v>
      </c>
      <c r="B3026" t="s">
        <v>129</v>
      </c>
      <c r="C3026" t="s">
        <v>130</v>
      </c>
      <c r="D3026" t="s">
        <v>8</v>
      </c>
      <c r="G3026">
        <v>308663</v>
      </c>
    </row>
    <row r="3027" spans="1:7" x14ac:dyDescent="0.2">
      <c r="A3027" t="s">
        <v>869</v>
      </c>
      <c r="B3027" t="s">
        <v>129</v>
      </c>
      <c r="C3027" t="s">
        <v>130</v>
      </c>
      <c r="D3027" t="s">
        <v>131</v>
      </c>
      <c r="E3027" t="s">
        <v>132</v>
      </c>
      <c r="F3027" t="s">
        <v>133</v>
      </c>
      <c r="G3027">
        <v>16772</v>
      </c>
    </row>
    <row r="3028" spans="1:7" x14ac:dyDescent="0.2">
      <c r="A3028" t="s">
        <v>869</v>
      </c>
      <c r="B3028" t="s">
        <v>129</v>
      </c>
      <c r="C3028" t="s">
        <v>130</v>
      </c>
      <c r="D3028" t="s">
        <v>134</v>
      </c>
      <c r="E3028" t="s">
        <v>135</v>
      </c>
      <c r="F3028" t="s">
        <v>22</v>
      </c>
      <c r="G3028">
        <v>215313</v>
      </c>
    </row>
    <row r="3029" spans="1:7" x14ac:dyDescent="0.2">
      <c r="A3029" t="s">
        <v>869</v>
      </c>
      <c r="B3029" t="s">
        <v>129</v>
      </c>
      <c r="C3029" t="s">
        <v>130</v>
      </c>
      <c r="D3029" t="s">
        <v>136</v>
      </c>
      <c r="E3029" t="s">
        <v>137</v>
      </c>
      <c r="F3029" t="s">
        <v>28</v>
      </c>
      <c r="G3029">
        <v>52970</v>
      </c>
    </row>
    <row r="3030" spans="1:7" x14ac:dyDescent="0.2">
      <c r="A3030" t="s">
        <v>869</v>
      </c>
      <c r="B3030" t="s">
        <v>129</v>
      </c>
      <c r="C3030" t="s">
        <v>130</v>
      </c>
      <c r="D3030" t="s">
        <v>45</v>
      </c>
      <c r="G3030">
        <v>49</v>
      </c>
    </row>
    <row r="3031" spans="1:7" x14ac:dyDescent="0.2">
      <c r="A3031" t="s">
        <v>869</v>
      </c>
      <c r="B3031" t="s">
        <v>129</v>
      </c>
      <c r="C3031" t="s">
        <v>130</v>
      </c>
      <c r="D3031" t="s">
        <v>46</v>
      </c>
      <c r="G3031">
        <v>23559</v>
      </c>
    </row>
    <row r="3032" spans="1:7" x14ac:dyDescent="0.2">
      <c r="A3032" t="s">
        <v>869</v>
      </c>
      <c r="B3032" t="s">
        <v>194</v>
      </c>
      <c r="C3032" t="s">
        <v>195</v>
      </c>
      <c r="D3032" t="s">
        <v>8</v>
      </c>
      <c r="G3032">
        <v>52791</v>
      </c>
    </row>
    <row r="3033" spans="1:7" x14ac:dyDescent="0.2">
      <c r="A3033" t="s">
        <v>869</v>
      </c>
      <c r="B3033" t="s">
        <v>194</v>
      </c>
      <c r="C3033" t="s">
        <v>195</v>
      </c>
      <c r="D3033" t="s">
        <v>196</v>
      </c>
      <c r="E3033" t="s">
        <v>197</v>
      </c>
      <c r="F3033" t="s">
        <v>22</v>
      </c>
      <c r="G3033">
        <v>40636</v>
      </c>
    </row>
    <row r="3034" spans="1:7" x14ac:dyDescent="0.2">
      <c r="A3034" t="s">
        <v>869</v>
      </c>
      <c r="B3034" t="s">
        <v>194</v>
      </c>
      <c r="C3034" t="s">
        <v>195</v>
      </c>
      <c r="D3034" t="s">
        <v>45</v>
      </c>
      <c r="G3034">
        <v>0</v>
      </c>
    </row>
    <row r="3035" spans="1:7" x14ac:dyDescent="0.2">
      <c r="A3035" t="s">
        <v>869</v>
      </c>
      <c r="B3035" t="s">
        <v>194</v>
      </c>
      <c r="C3035" t="s">
        <v>195</v>
      </c>
      <c r="D3035" t="s">
        <v>46</v>
      </c>
      <c r="G3035">
        <v>12155</v>
      </c>
    </row>
    <row r="3036" spans="1:7" x14ac:dyDescent="0.2">
      <c r="A3036" t="s">
        <v>869</v>
      </c>
      <c r="B3036" t="s">
        <v>198</v>
      </c>
      <c r="C3036" t="s">
        <v>199</v>
      </c>
      <c r="D3036" t="s">
        <v>8</v>
      </c>
      <c r="G3036">
        <v>39837</v>
      </c>
    </row>
    <row r="3037" spans="1:7" x14ac:dyDescent="0.2">
      <c r="A3037" t="s">
        <v>869</v>
      </c>
      <c r="B3037" t="s">
        <v>198</v>
      </c>
      <c r="C3037" t="s">
        <v>199</v>
      </c>
      <c r="D3037" t="s">
        <v>200</v>
      </c>
      <c r="E3037" t="s">
        <v>201</v>
      </c>
      <c r="F3037" t="s">
        <v>22</v>
      </c>
      <c r="G3037">
        <v>23385</v>
      </c>
    </row>
    <row r="3038" spans="1:7" x14ac:dyDescent="0.2">
      <c r="A3038" t="s">
        <v>869</v>
      </c>
      <c r="B3038" t="s">
        <v>198</v>
      </c>
      <c r="C3038" t="s">
        <v>199</v>
      </c>
      <c r="D3038" t="s">
        <v>202</v>
      </c>
      <c r="E3038" t="s">
        <v>203</v>
      </c>
      <c r="F3038" t="s">
        <v>11</v>
      </c>
      <c r="G3038">
        <v>12098</v>
      </c>
    </row>
    <row r="3039" spans="1:7" x14ac:dyDescent="0.2">
      <c r="A3039" t="s">
        <v>869</v>
      </c>
      <c r="B3039" t="s">
        <v>198</v>
      </c>
      <c r="C3039" t="s">
        <v>199</v>
      </c>
      <c r="D3039" t="s">
        <v>45</v>
      </c>
      <c r="G3039">
        <v>1</v>
      </c>
    </row>
    <row r="3040" spans="1:7" x14ac:dyDescent="0.2">
      <c r="A3040" t="s">
        <v>869</v>
      </c>
      <c r="B3040" t="s">
        <v>198</v>
      </c>
      <c r="C3040" t="s">
        <v>199</v>
      </c>
      <c r="D3040" t="s">
        <v>46</v>
      </c>
      <c r="G3040">
        <v>4353</v>
      </c>
    </row>
    <row r="3041" spans="1:7" x14ac:dyDescent="0.2">
      <c r="A3041" t="s">
        <v>869</v>
      </c>
      <c r="B3041" t="s">
        <v>204</v>
      </c>
      <c r="C3041" t="s">
        <v>205</v>
      </c>
      <c r="D3041" t="s">
        <v>8</v>
      </c>
      <c r="G3041">
        <v>52943</v>
      </c>
    </row>
    <row r="3042" spans="1:7" x14ac:dyDescent="0.2">
      <c r="A3042" t="s">
        <v>869</v>
      </c>
      <c r="B3042" t="s">
        <v>204</v>
      </c>
      <c r="C3042" t="s">
        <v>205</v>
      </c>
      <c r="D3042" t="s">
        <v>206</v>
      </c>
      <c r="E3042" t="s">
        <v>207</v>
      </c>
      <c r="F3042" t="s">
        <v>22</v>
      </c>
      <c r="G3042">
        <v>38597</v>
      </c>
    </row>
    <row r="3043" spans="1:7" x14ac:dyDescent="0.2">
      <c r="A3043" t="s">
        <v>869</v>
      </c>
      <c r="B3043" t="s">
        <v>204</v>
      </c>
      <c r="C3043" t="s">
        <v>205</v>
      </c>
      <c r="D3043" t="s">
        <v>208</v>
      </c>
      <c r="E3043" t="s">
        <v>209</v>
      </c>
      <c r="F3043" t="s">
        <v>28</v>
      </c>
      <c r="G3043">
        <v>10420</v>
      </c>
    </row>
    <row r="3044" spans="1:7" x14ac:dyDescent="0.2">
      <c r="A3044" t="s">
        <v>869</v>
      </c>
      <c r="B3044" t="s">
        <v>204</v>
      </c>
      <c r="C3044" t="s">
        <v>205</v>
      </c>
      <c r="D3044" t="s">
        <v>45</v>
      </c>
      <c r="G3044">
        <v>2</v>
      </c>
    </row>
    <row r="3045" spans="1:7" x14ac:dyDescent="0.2">
      <c r="A3045" t="s">
        <v>869</v>
      </c>
      <c r="B3045" t="s">
        <v>204</v>
      </c>
      <c r="C3045" t="s">
        <v>205</v>
      </c>
      <c r="D3045" t="s">
        <v>46</v>
      </c>
      <c r="G3045">
        <v>3924</v>
      </c>
    </row>
    <row r="3046" spans="1:7" x14ac:dyDescent="0.2">
      <c r="A3046" t="s">
        <v>869</v>
      </c>
      <c r="B3046" t="s">
        <v>210</v>
      </c>
      <c r="C3046" t="s">
        <v>211</v>
      </c>
      <c r="D3046" t="s">
        <v>8</v>
      </c>
      <c r="G3046">
        <v>24725</v>
      </c>
    </row>
    <row r="3047" spans="1:7" x14ac:dyDescent="0.2">
      <c r="A3047" t="s">
        <v>869</v>
      </c>
      <c r="B3047" t="s">
        <v>210</v>
      </c>
      <c r="C3047" t="s">
        <v>211</v>
      </c>
      <c r="D3047" t="s">
        <v>212</v>
      </c>
      <c r="E3047" t="s">
        <v>213</v>
      </c>
      <c r="F3047" t="s">
        <v>11</v>
      </c>
      <c r="G3047">
        <v>1524</v>
      </c>
    </row>
    <row r="3048" spans="1:7" x14ac:dyDescent="0.2">
      <c r="A3048" t="s">
        <v>869</v>
      </c>
      <c r="B3048" t="s">
        <v>210</v>
      </c>
      <c r="C3048" t="s">
        <v>211</v>
      </c>
      <c r="D3048" t="s">
        <v>214</v>
      </c>
      <c r="E3048" t="s">
        <v>215</v>
      </c>
      <c r="F3048" t="s">
        <v>28</v>
      </c>
      <c r="G3048">
        <v>4566</v>
      </c>
    </row>
    <row r="3049" spans="1:7" x14ac:dyDescent="0.2">
      <c r="A3049" t="s">
        <v>869</v>
      </c>
      <c r="B3049" t="s">
        <v>210</v>
      </c>
      <c r="C3049" t="s">
        <v>211</v>
      </c>
      <c r="D3049" t="s">
        <v>216</v>
      </c>
      <c r="E3049" t="s">
        <v>217</v>
      </c>
      <c r="F3049" t="s">
        <v>22</v>
      </c>
      <c r="G3049">
        <v>16615</v>
      </c>
    </row>
    <row r="3050" spans="1:7" x14ac:dyDescent="0.2">
      <c r="A3050" t="s">
        <v>869</v>
      </c>
      <c r="B3050" t="s">
        <v>210</v>
      </c>
      <c r="C3050" t="s">
        <v>211</v>
      </c>
      <c r="D3050" t="s">
        <v>45</v>
      </c>
      <c r="G3050">
        <v>0</v>
      </c>
    </row>
    <row r="3051" spans="1:7" x14ac:dyDescent="0.2">
      <c r="A3051" t="s">
        <v>869</v>
      </c>
      <c r="B3051" t="s">
        <v>210</v>
      </c>
      <c r="C3051" t="s">
        <v>211</v>
      </c>
      <c r="D3051" t="s">
        <v>46</v>
      </c>
      <c r="G3051">
        <v>2020</v>
      </c>
    </row>
    <row r="3052" spans="1:7" x14ac:dyDescent="0.2">
      <c r="A3052" t="s">
        <v>869</v>
      </c>
      <c r="B3052" t="s">
        <v>218</v>
      </c>
      <c r="C3052" t="s">
        <v>219</v>
      </c>
      <c r="D3052" t="s">
        <v>8</v>
      </c>
      <c r="G3052">
        <v>5646</v>
      </c>
    </row>
    <row r="3053" spans="1:7" x14ac:dyDescent="0.2">
      <c r="A3053" t="s">
        <v>869</v>
      </c>
      <c r="B3053" t="s">
        <v>218</v>
      </c>
      <c r="C3053" t="s">
        <v>219</v>
      </c>
      <c r="D3053" t="s">
        <v>220</v>
      </c>
      <c r="E3053" t="s">
        <v>221</v>
      </c>
      <c r="F3053" t="s">
        <v>22</v>
      </c>
      <c r="G3053">
        <v>4501</v>
      </c>
    </row>
    <row r="3054" spans="1:7" x14ac:dyDescent="0.2">
      <c r="A3054" t="s">
        <v>869</v>
      </c>
      <c r="B3054" t="s">
        <v>218</v>
      </c>
      <c r="C3054" t="s">
        <v>219</v>
      </c>
      <c r="D3054" t="s">
        <v>45</v>
      </c>
      <c r="G3054">
        <v>0</v>
      </c>
    </row>
    <row r="3055" spans="1:7" x14ac:dyDescent="0.2">
      <c r="A3055" t="s">
        <v>869</v>
      </c>
      <c r="B3055" t="s">
        <v>218</v>
      </c>
      <c r="C3055" t="s">
        <v>219</v>
      </c>
      <c r="D3055" t="s">
        <v>46</v>
      </c>
      <c r="G3055">
        <v>1145</v>
      </c>
    </row>
    <row r="3056" spans="1:7" x14ac:dyDescent="0.2">
      <c r="A3056" t="s">
        <v>869</v>
      </c>
      <c r="B3056" t="s">
        <v>516</v>
      </c>
      <c r="C3056" t="s">
        <v>517</v>
      </c>
      <c r="D3056" t="s">
        <v>8</v>
      </c>
      <c r="G3056">
        <v>22588</v>
      </c>
    </row>
    <row r="3057" spans="1:7" x14ac:dyDescent="0.2">
      <c r="A3057" t="s">
        <v>869</v>
      </c>
      <c r="B3057" t="s">
        <v>516</v>
      </c>
      <c r="C3057" t="s">
        <v>517</v>
      </c>
      <c r="D3057" t="s">
        <v>518</v>
      </c>
      <c r="E3057" t="s">
        <v>519</v>
      </c>
      <c r="F3057" t="s">
        <v>22</v>
      </c>
      <c r="G3057">
        <v>17414</v>
      </c>
    </row>
    <row r="3058" spans="1:7" x14ac:dyDescent="0.2">
      <c r="A3058" t="s">
        <v>869</v>
      </c>
      <c r="B3058" t="s">
        <v>516</v>
      </c>
      <c r="C3058" t="s">
        <v>517</v>
      </c>
      <c r="D3058" t="s">
        <v>45</v>
      </c>
      <c r="G3058">
        <v>0</v>
      </c>
    </row>
    <row r="3059" spans="1:7" x14ac:dyDescent="0.2">
      <c r="A3059" t="s">
        <v>869</v>
      </c>
      <c r="B3059" t="s">
        <v>516</v>
      </c>
      <c r="C3059" t="s">
        <v>517</v>
      </c>
      <c r="D3059" t="s">
        <v>46</v>
      </c>
      <c r="G3059">
        <v>5174</v>
      </c>
    </row>
    <row r="3060" spans="1:7" x14ac:dyDescent="0.2">
      <c r="A3060" t="s">
        <v>869</v>
      </c>
      <c r="B3060" t="s">
        <v>520</v>
      </c>
      <c r="C3060" t="s">
        <v>521</v>
      </c>
      <c r="D3060" t="s">
        <v>8</v>
      </c>
      <c r="G3060">
        <v>25724</v>
      </c>
    </row>
    <row r="3061" spans="1:7" x14ac:dyDescent="0.2">
      <c r="A3061" t="s">
        <v>869</v>
      </c>
      <c r="B3061" t="s">
        <v>520</v>
      </c>
      <c r="C3061" t="s">
        <v>521</v>
      </c>
      <c r="D3061" t="s">
        <v>522</v>
      </c>
      <c r="E3061" t="s">
        <v>523</v>
      </c>
      <c r="F3061" t="s">
        <v>22</v>
      </c>
      <c r="G3061">
        <v>20013</v>
      </c>
    </row>
    <row r="3062" spans="1:7" x14ac:dyDescent="0.2">
      <c r="A3062" t="s">
        <v>869</v>
      </c>
      <c r="B3062" t="s">
        <v>520</v>
      </c>
      <c r="C3062" t="s">
        <v>521</v>
      </c>
      <c r="D3062" t="s">
        <v>45</v>
      </c>
      <c r="G3062">
        <v>0</v>
      </c>
    </row>
    <row r="3063" spans="1:7" x14ac:dyDescent="0.2">
      <c r="A3063" t="s">
        <v>869</v>
      </c>
      <c r="B3063" t="s">
        <v>520</v>
      </c>
      <c r="C3063" t="s">
        <v>521</v>
      </c>
      <c r="D3063" t="s">
        <v>46</v>
      </c>
      <c r="G3063">
        <v>5711</v>
      </c>
    </row>
    <row r="3064" spans="1:7" x14ac:dyDescent="0.2">
      <c r="A3064" t="s">
        <v>869</v>
      </c>
      <c r="B3064" t="s">
        <v>524</v>
      </c>
      <c r="C3064" t="s">
        <v>525</v>
      </c>
      <c r="D3064" t="s">
        <v>8</v>
      </c>
      <c r="G3064">
        <v>22442</v>
      </c>
    </row>
    <row r="3065" spans="1:7" x14ac:dyDescent="0.2">
      <c r="A3065" t="s">
        <v>869</v>
      </c>
      <c r="B3065" t="s">
        <v>524</v>
      </c>
      <c r="C3065" t="s">
        <v>525</v>
      </c>
      <c r="D3065" t="s">
        <v>526</v>
      </c>
      <c r="E3065" t="s">
        <v>527</v>
      </c>
      <c r="F3065" t="s">
        <v>22</v>
      </c>
      <c r="G3065">
        <v>15166</v>
      </c>
    </row>
    <row r="3066" spans="1:7" x14ac:dyDescent="0.2">
      <c r="A3066" t="s">
        <v>869</v>
      </c>
      <c r="B3066" t="s">
        <v>524</v>
      </c>
      <c r="C3066" t="s">
        <v>525</v>
      </c>
      <c r="D3066" t="s">
        <v>528</v>
      </c>
      <c r="E3066" t="s">
        <v>529</v>
      </c>
      <c r="F3066" t="s">
        <v>28</v>
      </c>
      <c r="G3066">
        <v>5440</v>
      </c>
    </row>
    <row r="3067" spans="1:7" x14ac:dyDescent="0.2">
      <c r="A3067" t="s">
        <v>869</v>
      </c>
      <c r="B3067" t="s">
        <v>524</v>
      </c>
      <c r="C3067" t="s">
        <v>525</v>
      </c>
      <c r="D3067" t="s">
        <v>45</v>
      </c>
      <c r="G3067">
        <v>0</v>
      </c>
    </row>
    <row r="3068" spans="1:7" x14ac:dyDescent="0.2">
      <c r="A3068" t="s">
        <v>869</v>
      </c>
      <c r="B3068" t="s">
        <v>524</v>
      </c>
      <c r="C3068" t="s">
        <v>525</v>
      </c>
      <c r="D3068" t="s">
        <v>46</v>
      </c>
      <c r="G3068">
        <v>1836</v>
      </c>
    </row>
    <row r="3069" spans="1:7" x14ac:dyDescent="0.2">
      <c r="A3069" t="s">
        <v>869</v>
      </c>
      <c r="B3069" t="s">
        <v>530</v>
      </c>
      <c r="C3069" t="s">
        <v>531</v>
      </c>
      <c r="D3069" t="s">
        <v>8</v>
      </c>
      <c r="G3069">
        <v>21914</v>
      </c>
    </row>
    <row r="3070" spans="1:7" x14ac:dyDescent="0.2">
      <c r="A3070" t="s">
        <v>869</v>
      </c>
      <c r="B3070" t="s">
        <v>530</v>
      </c>
      <c r="C3070" t="s">
        <v>531</v>
      </c>
      <c r="D3070" t="s">
        <v>532</v>
      </c>
      <c r="E3070" t="s">
        <v>533</v>
      </c>
      <c r="F3070" t="s">
        <v>22</v>
      </c>
      <c r="G3070">
        <v>15791</v>
      </c>
    </row>
    <row r="3071" spans="1:7" x14ac:dyDescent="0.2">
      <c r="A3071" t="s">
        <v>869</v>
      </c>
      <c r="B3071" t="s">
        <v>530</v>
      </c>
      <c r="C3071" t="s">
        <v>531</v>
      </c>
      <c r="D3071" t="s">
        <v>534</v>
      </c>
      <c r="E3071" t="s">
        <v>535</v>
      </c>
      <c r="F3071" t="s">
        <v>88</v>
      </c>
      <c r="G3071">
        <v>3943</v>
      </c>
    </row>
    <row r="3072" spans="1:7" x14ac:dyDescent="0.2">
      <c r="A3072" t="s">
        <v>869</v>
      </c>
      <c r="B3072" t="s">
        <v>530</v>
      </c>
      <c r="C3072" t="s">
        <v>531</v>
      </c>
      <c r="D3072" t="s">
        <v>45</v>
      </c>
      <c r="G3072">
        <v>0</v>
      </c>
    </row>
    <row r="3073" spans="1:7" x14ac:dyDescent="0.2">
      <c r="A3073" t="s">
        <v>869</v>
      </c>
      <c r="B3073" t="s">
        <v>530</v>
      </c>
      <c r="C3073" t="s">
        <v>531</v>
      </c>
      <c r="D3073" t="s">
        <v>46</v>
      </c>
      <c r="G3073">
        <v>2180</v>
      </c>
    </row>
    <row r="3074" spans="1:7" x14ac:dyDescent="0.2">
      <c r="A3074" t="s">
        <v>869</v>
      </c>
      <c r="B3074" t="s">
        <v>536</v>
      </c>
      <c r="C3074" t="s">
        <v>537</v>
      </c>
      <c r="D3074" t="s">
        <v>8</v>
      </c>
      <c r="G3074">
        <v>25655</v>
      </c>
    </row>
    <row r="3075" spans="1:7" x14ac:dyDescent="0.2">
      <c r="A3075" t="s">
        <v>869</v>
      </c>
      <c r="B3075" t="s">
        <v>536</v>
      </c>
      <c r="C3075" t="s">
        <v>537</v>
      </c>
      <c r="D3075" t="s">
        <v>538</v>
      </c>
      <c r="E3075" t="s">
        <v>539</v>
      </c>
      <c r="F3075" t="s">
        <v>22</v>
      </c>
      <c r="G3075">
        <v>19780</v>
      </c>
    </row>
    <row r="3076" spans="1:7" x14ac:dyDescent="0.2">
      <c r="A3076" t="s">
        <v>869</v>
      </c>
      <c r="B3076" t="s">
        <v>536</v>
      </c>
      <c r="C3076" t="s">
        <v>537</v>
      </c>
      <c r="D3076" t="s">
        <v>45</v>
      </c>
      <c r="G3076">
        <v>0</v>
      </c>
    </row>
    <row r="3077" spans="1:7" x14ac:dyDescent="0.2">
      <c r="A3077" t="s">
        <v>869</v>
      </c>
      <c r="B3077" t="s">
        <v>536</v>
      </c>
      <c r="C3077" t="s">
        <v>537</v>
      </c>
      <c r="D3077" t="s">
        <v>46</v>
      </c>
      <c r="G3077">
        <v>5875</v>
      </c>
    </row>
    <row r="3078" spans="1:7" x14ac:dyDescent="0.2">
      <c r="A3078" t="s">
        <v>869</v>
      </c>
      <c r="B3078" t="s">
        <v>540</v>
      </c>
      <c r="C3078" t="s">
        <v>541</v>
      </c>
      <c r="D3078" t="s">
        <v>8</v>
      </c>
      <c r="G3078">
        <v>21573</v>
      </c>
    </row>
    <row r="3079" spans="1:7" x14ac:dyDescent="0.2">
      <c r="A3079" t="s">
        <v>869</v>
      </c>
      <c r="B3079" t="s">
        <v>540</v>
      </c>
      <c r="C3079" t="s">
        <v>541</v>
      </c>
      <c r="D3079" t="s">
        <v>542</v>
      </c>
      <c r="E3079" t="s">
        <v>543</v>
      </c>
      <c r="F3079" t="s">
        <v>22</v>
      </c>
      <c r="G3079">
        <v>16745</v>
      </c>
    </row>
    <row r="3080" spans="1:7" x14ac:dyDescent="0.2">
      <c r="A3080" t="s">
        <v>869</v>
      </c>
      <c r="B3080" t="s">
        <v>540</v>
      </c>
      <c r="C3080" t="s">
        <v>541</v>
      </c>
      <c r="D3080" t="s">
        <v>45</v>
      </c>
      <c r="G3080">
        <v>0</v>
      </c>
    </row>
    <row r="3081" spans="1:7" x14ac:dyDescent="0.2">
      <c r="A3081" t="s">
        <v>869</v>
      </c>
      <c r="B3081" t="s">
        <v>540</v>
      </c>
      <c r="C3081" t="s">
        <v>541</v>
      </c>
      <c r="D3081" t="s">
        <v>46</v>
      </c>
      <c r="G3081">
        <v>4828</v>
      </c>
    </row>
    <row r="3082" spans="1:7" x14ac:dyDescent="0.2">
      <c r="A3082" t="s">
        <v>869</v>
      </c>
      <c r="B3082" t="s">
        <v>544</v>
      </c>
      <c r="C3082" t="s">
        <v>545</v>
      </c>
      <c r="D3082" t="s">
        <v>8</v>
      </c>
      <c r="G3082">
        <v>16534</v>
      </c>
    </row>
    <row r="3083" spans="1:7" x14ac:dyDescent="0.2">
      <c r="A3083" t="s">
        <v>869</v>
      </c>
      <c r="B3083" t="s">
        <v>544</v>
      </c>
      <c r="C3083" t="s">
        <v>545</v>
      </c>
      <c r="D3083" t="s">
        <v>546</v>
      </c>
      <c r="E3083" t="s">
        <v>547</v>
      </c>
      <c r="F3083" t="s">
        <v>22</v>
      </c>
      <c r="G3083">
        <v>12338</v>
      </c>
    </row>
    <row r="3084" spans="1:7" x14ac:dyDescent="0.2">
      <c r="A3084" t="s">
        <v>869</v>
      </c>
      <c r="B3084" t="s">
        <v>544</v>
      </c>
      <c r="C3084" t="s">
        <v>545</v>
      </c>
      <c r="D3084" t="s">
        <v>45</v>
      </c>
      <c r="G3084">
        <v>0</v>
      </c>
    </row>
    <row r="3085" spans="1:7" x14ac:dyDescent="0.2">
      <c r="A3085" t="s">
        <v>869</v>
      </c>
      <c r="B3085" t="s">
        <v>544</v>
      </c>
      <c r="C3085" t="s">
        <v>545</v>
      </c>
      <c r="D3085" t="s">
        <v>46</v>
      </c>
      <c r="G3085">
        <v>4196</v>
      </c>
    </row>
    <row r="3086" spans="1:7" x14ac:dyDescent="0.2">
      <c r="A3086" t="s">
        <v>869</v>
      </c>
      <c r="B3086" t="s">
        <v>548</v>
      </c>
      <c r="C3086" t="s">
        <v>549</v>
      </c>
      <c r="D3086" t="s">
        <v>8</v>
      </c>
      <c r="G3086">
        <v>18911</v>
      </c>
    </row>
    <row r="3087" spans="1:7" x14ac:dyDescent="0.2">
      <c r="A3087" t="s">
        <v>869</v>
      </c>
      <c r="B3087" t="s">
        <v>548</v>
      </c>
      <c r="C3087" t="s">
        <v>549</v>
      </c>
      <c r="D3087" t="s">
        <v>550</v>
      </c>
      <c r="E3087" t="s">
        <v>551</v>
      </c>
      <c r="F3087" t="s">
        <v>22</v>
      </c>
      <c r="G3087">
        <v>12553</v>
      </c>
    </row>
    <row r="3088" spans="1:7" x14ac:dyDescent="0.2">
      <c r="A3088" t="s">
        <v>869</v>
      </c>
      <c r="B3088" t="s">
        <v>548</v>
      </c>
      <c r="C3088" t="s">
        <v>549</v>
      </c>
      <c r="D3088" t="s">
        <v>552</v>
      </c>
      <c r="E3088" t="s">
        <v>553</v>
      </c>
      <c r="F3088" t="s">
        <v>28</v>
      </c>
      <c r="G3088">
        <v>4755</v>
      </c>
    </row>
    <row r="3089" spans="1:7" x14ac:dyDescent="0.2">
      <c r="A3089" t="s">
        <v>869</v>
      </c>
      <c r="B3089" t="s">
        <v>548</v>
      </c>
      <c r="C3089" t="s">
        <v>549</v>
      </c>
      <c r="D3089" t="s">
        <v>45</v>
      </c>
      <c r="G3089">
        <v>0</v>
      </c>
    </row>
    <row r="3090" spans="1:7" x14ac:dyDescent="0.2">
      <c r="A3090" t="s">
        <v>869</v>
      </c>
      <c r="B3090" t="s">
        <v>548</v>
      </c>
      <c r="C3090" t="s">
        <v>549</v>
      </c>
      <c r="D3090" t="s">
        <v>46</v>
      </c>
      <c r="G3090">
        <v>1603</v>
      </c>
    </row>
    <row r="3091" spans="1:7" x14ac:dyDescent="0.2">
      <c r="A3091" t="s">
        <v>869</v>
      </c>
      <c r="B3091" t="s">
        <v>554</v>
      </c>
      <c r="C3091" t="s">
        <v>555</v>
      </c>
      <c r="D3091" t="s">
        <v>8</v>
      </c>
      <c r="G3091">
        <v>23252</v>
      </c>
    </row>
    <row r="3092" spans="1:7" x14ac:dyDescent="0.2">
      <c r="A3092" t="s">
        <v>869</v>
      </c>
      <c r="B3092" t="s">
        <v>554</v>
      </c>
      <c r="C3092" t="s">
        <v>555</v>
      </c>
      <c r="D3092" t="s">
        <v>556</v>
      </c>
      <c r="E3092" t="s">
        <v>557</v>
      </c>
      <c r="F3092" t="s">
        <v>28</v>
      </c>
      <c r="G3092">
        <v>5147</v>
      </c>
    </row>
    <row r="3093" spans="1:7" x14ac:dyDescent="0.2">
      <c r="A3093" t="s">
        <v>869</v>
      </c>
      <c r="B3093" t="s">
        <v>554</v>
      </c>
      <c r="C3093" t="s">
        <v>555</v>
      </c>
      <c r="D3093" t="s">
        <v>558</v>
      </c>
      <c r="E3093" t="s">
        <v>559</v>
      </c>
      <c r="F3093" t="s">
        <v>22</v>
      </c>
      <c r="G3093">
        <v>16431</v>
      </c>
    </row>
    <row r="3094" spans="1:7" x14ac:dyDescent="0.2">
      <c r="A3094" t="s">
        <v>869</v>
      </c>
      <c r="B3094" t="s">
        <v>554</v>
      </c>
      <c r="C3094" t="s">
        <v>555</v>
      </c>
      <c r="D3094" t="s">
        <v>45</v>
      </c>
      <c r="G3094">
        <v>1</v>
      </c>
    </row>
    <row r="3095" spans="1:7" x14ac:dyDescent="0.2">
      <c r="A3095" t="s">
        <v>869</v>
      </c>
      <c r="B3095" t="s">
        <v>554</v>
      </c>
      <c r="C3095" t="s">
        <v>555</v>
      </c>
      <c r="D3095" t="s">
        <v>46</v>
      </c>
      <c r="G3095">
        <v>1673</v>
      </c>
    </row>
    <row r="3096" spans="1:7" x14ac:dyDescent="0.2">
      <c r="A3096" t="s">
        <v>869</v>
      </c>
      <c r="B3096" t="s">
        <v>566</v>
      </c>
      <c r="C3096" t="s">
        <v>567</v>
      </c>
      <c r="D3096" t="s">
        <v>8</v>
      </c>
      <c r="G3096">
        <v>8967</v>
      </c>
    </row>
    <row r="3097" spans="1:7" x14ac:dyDescent="0.2">
      <c r="A3097" t="s">
        <v>869</v>
      </c>
      <c r="B3097" t="s">
        <v>566</v>
      </c>
      <c r="C3097" t="s">
        <v>567</v>
      </c>
      <c r="D3097" t="s">
        <v>568</v>
      </c>
      <c r="E3097" t="s">
        <v>569</v>
      </c>
      <c r="F3097" t="s">
        <v>22</v>
      </c>
      <c r="G3097">
        <v>6738</v>
      </c>
    </row>
    <row r="3098" spans="1:7" x14ac:dyDescent="0.2">
      <c r="A3098" t="s">
        <v>869</v>
      </c>
      <c r="B3098" t="s">
        <v>566</v>
      </c>
      <c r="C3098" t="s">
        <v>567</v>
      </c>
      <c r="D3098" t="s">
        <v>45</v>
      </c>
      <c r="G3098">
        <v>0</v>
      </c>
    </row>
    <row r="3099" spans="1:7" x14ac:dyDescent="0.2">
      <c r="A3099" t="s">
        <v>869</v>
      </c>
      <c r="B3099" t="s">
        <v>566</v>
      </c>
      <c r="C3099" t="s">
        <v>567</v>
      </c>
      <c r="D3099" t="s">
        <v>46</v>
      </c>
      <c r="G3099">
        <v>2229</v>
      </c>
    </row>
    <row r="3100" spans="1:7" x14ac:dyDescent="0.2">
      <c r="A3100" t="s">
        <v>869</v>
      </c>
      <c r="B3100" t="s">
        <v>570</v>
      </c>
      <c r="C3100" t="s">
        <v>571</v>
      </c>
      <c r="D3100" t="s">
        <v>8</v>
      </c>
      <c r="G3100">
        <v>15847</v>
      </c>
    </row>
    <row r="3101" spans="1:7" x14ac:dyDescent="0.2">
      <c r="A3101" t="s">
        <v>869</v>
      </c>
      <c r="B3101" t="s">
        <v>570</v>
      </c>
      <c r="C3101" t="s">
        <v>571</v>
      </c>
      <c r="D3101" t="s">
        <v>572</v>
      </c>
      <c r="E3101" t="s">
        <v>573</v>
      </c>
      <c r="F3101" t="s">
        <v>22</v>
      </c>
      <c r="G3101">
        <v>11946</v>
      </c>
    </row>
    <row r="3102" spans="1:7" x14ac:dyDescent="0.2">
      <c r="A3102" t="s">
        <v>869</v>
      </c>
      <c r="B3102" t="s">
        <v>570</v>
      </c>
      <c r="C3102" t="s">
        <v>571</v>
      </c>
      <c r="D3102" t="s">
        <v>45</v>
      </c>
      <c r="G3102">
        <v>0</v>
      </c>
    </row>
    <row r="3103" spans="1:7" x14ac:dyDescent="0.2">
      <c r="A3103" t="s">
        <v>869</v>
      </c>
      <c r="B3103" t="s">
        <v>570</v>
      </c>
      <c r="C3103" t="s">
        <v>571</v>
      </c>
      <c r="D3103" t="s">
        <v>46</v>
      </c>
      <c r="G3103">
        <v>3901</v>
      </c>
    </row>
    <row r="3104" spans="1:7" x14ac:dyDescent="0.2">
      <c r="A3104" t="s">
        <v>869</v>
      </c>
      <c r="B3104" t="s">
        <v>574</v>
      </c>
      <c r="C3104" t="s">
        <v>575</v>
      </c>
      <c r="D3104" t="s">
        <v>8</v>
      </c>
      <c r="G3104">
        <v>15416</v>
      </c>
    </row>
    <row r="3105" spans="1:7" x14ac:dyDescent="0.2">
      <c r="A3105" t="s">
        <v>869</v>
      </c>
      <c r="B3105" t="s">
        <v>574</v>
      </c>
      <c r="C3105" t="s">
        <v>575</v>
      </c>
      <c r="D3105" t="s">
        <v>576</v>
      </c>
      <c r="E3105" t="s">
        <v>577</v>
      </c>
      <c r="F3105" t="s">
        <v>28</v>
      </c>
      <c r="G3105">
        <v>4894</v>
      </c>
    </row>
    <row r="3106" spans="1:7" x14ac:dyDescent="0.2">
      <c r="A3106" t="s">
        <v>869</v>
      </c>
      <c r="B3106" t="s">
        <v>574</v>
      </c>
      <c r="C3106" t="s">
        <v>575</v>
      </c>
      <c r="D3106" t="s">
        <v>578</v>
      </c>
      <c r="E3106" t="s">
        <v>579</v>
      </c>
      <c r="F3106" t="s">
        <v>22</v>
      </c>
      <c r="G3106">
        <v>9286</v>
      </c>
    </row>
    <row r="3107" spans="1:7" x14ac:dyDescent="0.2">
      <c r="A3107" t="s">
        <v>869</v>
      </c>
      <c r="B3107" t="s">
        <v>574</v>
      </c>
      <c r="C3107" t="s">
        <v>575</v>
      </c>
      <c r="D3107" t="s">
        <v>45</v>
      </c>
      <c r="G3107">
        <v>1</v>
      </c>
    </row>
    <row r="3108" spans="1:7" x14ac:dyDescent="0.2">
      <c r="A3108" t="s">
        <v>869</v>
      </c>
      <c r="B3108" t="s">
        <v>574</v>
      </c>
      <c r="C3108" t="s">
        <v>575</v>
      </c>
      <c r="D3108" t="s">
        <v>46</v>
      </c>
      <c r="G3108">
        <v>1235</v>
      </c>
    </row>
    <row r="3109" spans="1:7" x14ac:dyDescent="0.2">
      <c r="A3109" t="s">
        <v>869</v>
      </c>
      <c r="B3109" t="s">
        <v>580</v>
      </c>
      <c r="C3109" t="s">
        <v>581</v>
      </c>
      <c r="D3109" t="s">
        <v>8</v>
      </c>
      <c r="G3109">
        <v>24736</v>
      </c>
    </row>
    <row r="3110" spans="1:7" x14ac:dyDescent="0.2">
      <c r="A3110" t="s">
        <v>869</v>
      </c>
      <c r="B3110" t="s">
        <v>580</v>
      </c>
      <c r="C3110" t="s">
        <v>581</v>
      </c>
      <c r="D3110" t="s">
        <v>582</v>
      </c>
      <c r="E3110" t="s">
        <v>583</v>
      </c>
      <c r="F3110" t="s">
        <v>22</v>
      </c>
      <c r="G3110">
        <v>18412</v>
      </c>
    </row>
    <row r="3111" spans="1:7" x14ac:dyDescent="0.2">
      <c r="A3111" t="s">
        <v>869</v>
      </c>
      <c r="B3111" t="s">
        <v>580</v>
      </c>
      <c r="C3111" t="s">
        <v>581</v>
      </c>
      <c r="D3111" t="s">
        <v>584</v>
      </c>
      <c r="E3111" t="s">
        <v>585</v>
      </c>
      <c r="F3111" t="s">
        <v>28</v>
      </c>
      <c r="G3111">
        <v>4518</v>
      </c>
    </row>
    <row r="3112" spans="1:7" x14ac:dyDescent="0.2">
      <c r="A3112" t="s">
        <v>869</v>
      </c>
      <c r="B3112" t="s">
        <v>580</v>
      </c>
      <c r="C3112" t="s">
        <v>581</v>
      </c>
      <c r="D3112" t="s">
        <v>45</v>
      </c>
      <c r="G3112">
        <v>1</v>
      </c>
    </row>
    <row r="3113" spans="1:7" x14ac:dyDescent="0.2">
      <c r="A3113" t="s">
        <v>869</v>
      </c>
      <c r="B3113" t="s">
        <v>580</v>
      </c>
      <c r="C3113" t="s">
        <v>581</v>
      </c>
      <c r="D3113" t="s">
        <v>46</v>
      </c>
      <c r="G3113">
        <v>1805</v>
      </c>
    </row>
    <row r="3114" spans="1:7" x14ac:dyDescent="0.2">
      <c r="A3114" t="s">
        <v>869</v>
      </c>
      <c r="B3114" t="s">
        <v>586</v>
      </c>
      <c r="C3114" t="s">
        <v>587</v>
      </c>
      <c r="D3114" t="s">
        <v>8</v>
      </c>
      <c r="G3114">
        <v>21882</v>
      </c>
    </row>
    <row r="3115" spans="1:7" x14ac:dyDescent="0.2">
      <c r="A3115" t="s">
        <v>869</v>
      </c>
      <c r="B3115" t="s">
        <v>586</v>
      </c>
      <c r="C3115" t="s">
        <v>587</v>
      </c>
      <c r="D3115" t="s">
        <v>588</v>
      </c>
      <c r="E3115" t="s">
        <v>589</v>
      </c>
      <c r="F3115" t="s">
        <v>22</v>
      </c>
      <c r="G3115">
        <v>17179</v>
      </c>
    </row>
    <row r="3116" spans="1:7" x14ac:dyDescent="0.2">
      <c r="A3116" t="s">
        <v>869</v>
      </c>
      <c r="B3116" t="s">
        <v>586</v>
      </c>
      <c r="C3116" t="s">
        <v>587</v>
      </c>
      <c r="D3116" t="s">
        <v>590</v>
      </c>
      <c r="E3116" t="s">
        <v>591</v>
      </c>
      <c r="F3116" t="s">
        <v>28</v>
      </c>
      <c r="G3116">
        <v>3224</v>
      </c>
    </row>
    <row r="3117" spans="1:7" x14ac:dyDescent="0.2">
      <c r="A3117" t="s">
        <v>869</v>
      </c>
      <c r="B3117" t="s">
        <v>586</v>
      </c>
      <c r="C3117" t="s">
        <v>587</v>
      </c>
      <c r="D3117" t="s">
        <v>45</v>
      </c>
      <c r="G3117">
        <v>1</v>
      </c>
    </row>
    <row r="3118" spans="1:7" x14ac:dyDescent="0.2">
      <c r="A3118" t="s">
        <v>869</v>
      </c>
      <c r="B3118" t="s">
        <v>586</v>
      </c>
      <c r="C3118" t="s">
        <v>587</v>
      </c>
      <c r="D3118" t="s">
        <v>46</v>
      </c>
      <c r="G3118">
        <v>1478</v>
      </c>
    </row>
    <row r="3119" spans="1:7" x14ac:dyDescent="0.2">
      <c r="A3119" t="s">
        <v>869</v>
      </c>
      <c r="B3119" t="s">
        <v>592</v>
      </c>
      <c r="C3119" t="s">
        <v>593</v>
      </c>
      <c r="D3119" t="s">
        <v>8</v>
      </c>
      <c r="G3119">
        <v>22365</v>
      </c>
    </row>
    <row r="3120" spans="1:7" x14ac:dyDescent="0.2">
      <c r="A3120" t="s">
        <v>869</v>
      </c>
      <c r="B3120" t="s">
        <v>592</v>
      </c>
      <c r="C3120" t="s">
        <v>593</v>
      </c>
      <c r="D3120" t="s">
        <v>594</v>
      </c>
      <c r="E3120" t="s">
        <v>595</v>
      </c>
      <c r="F3120" t="s">
        <v>22</v>
      </c>
      <c r="G3120">
        <v>17734</v>
      </c>
    </row>
    <row r="3121" spans="1:7" x14ac:dyDescent="0.2">
      <c r="A3121" t="s">
        <v>869</v>
      </c>
      <c r="B3121" t="s">
        <v>592</v>
      </c>
      <c r="C3121" t="s">
        <v>593</v>
      </c>
      <c r="D3121" t="s">
        <v>596</v>
      </c>
      <c r="E3121" t="s">
        <v>597</v>
      </c>
      <c r="F3121" t="s">
        <v>28</v>
      </c>
      <c r="G3121">
        <v>3373</v>
      </c>
    </row>
    <row r="3122" spans="1:7" x14ac:dyDescent="0.2">
      <c r="A3122" t="s">
        <v>869</v>
      </c>
      <c r="B3122" t="s">
        <v>592</v>
      </c>
      <c r="C3122" t="s">
        <v>593</v>
      </c>
      <c r="D3122" t="s">
        <v>45</v>
      </c>
      <c r="G3122">
        <v>1</v>
      </c>
    </row>
    <row r="3123" spans="1:7" x14ac:dyDescent="0.2">
      <c r="A3123" t="s">
        <v>869</v>
      </c>
      <c r="B3123" t="s">
        <v>592</v>
      </c>
      <c r="C3123" t="s">
        <v>593</v>
      </c>
      <c r="D3123" t="s">
        <v>46</v>
      </c>
      <c r="G3123">
        <v>1257</v>
      </c>
    </row>
    <row r="3124" spans="1:7" x14ac:dyDescent="0.2">
      <c r="A3124" t="s">
        <v>869</v>
      </c>
      <c r="B3124" t="s">
        <v>598</v>
      </c>
      <c r="C3124" t="s">
        <v>599</v>
      </c>
      <c r="D3124" t="s">
        <v>8</v>
      </c>
      <c r="G3124">
        <v>857</v>
      </c>
    </row>
    <row r="3125" spans="1:7" x14ac:dyDescent="0.2">
      <c r="A3125" t="s">
        <v>869</v>
      </c>
      <c r="B3125" t="s">
        <v>598</v>
      </c>
      <c r="C3125" t="s">
        <v>599</v>
      </c>
      <c r="D3125" t="s">
        <v>600</v>
      </c>
      <c r="E3125" t="s">
        <v>601</v>
      </c>
      <c r="F3125" t="s">
        <v>22</v>
      </c>
      <c r="G3125">
        <v>720</v>
      </c>
    </row>
    <row r="3126" spans="1:7" x14ac:dyDescent="0.2">
      <c r="A3126" t="s">
        <v>869</v>
      </c>
      <c r="B3126" t="s">
        <v>598</v>
      </c>
      <c r="C3126" t="s">
        <v>599</v>
      </c>
      <c r="D3126" t="s">
        <v>45</v>
      </c>
      <c r="G3126">
        <v>0</v>
      </c>
    </row>
    <row r="3127" spans="1:7" x14ac:dyDescent="0.2">
      <c r="A3127" t="s">
        <v>869</v>
      </c>
      <c r="B3127" t="s">
        <v>598</v>
      </c>
      <c r="C3127" t="s">
        <v>599</v>
      </c>
      <c r="D3127" t="s">
        <v>46</v>
      </c>
      <c r="G3127">
        <v>137</v>
      </c>
    </row>
    <row r="3128" spans="1:7" x14ac:dyDescent="0.2">
      <c r="A3128" t="s">
        <v>869</v>
      </c>
      <c r="B3128" t="s">
        <v>672</v>
      </c>
      <c r="C3128" t="s">
        <v>673</v>
      </c>
      <c r="D3128" t="s">
        <v>8</v>
      </c>
      <c r="G3128">
        <v>45014</v>
      </c>
    </row>
    <row r="3129" spans="1:7" x14ac:dyDescent="0.2">
      <c r="A3129" t="s">
        <v>869</v>
      </c>
      <c r="B3129" t="s">
        <v>672</v>
      </c>
      <c r="C3129" t="s">
        <v>673</v>
      </c>
      <c r="D3129" t="s">
        <v>674</v>
      </c>
      <c r="E3129" t="s">
        <v>675</v>
      </c>
      <c r="F3129" t="s">
        <v>22</v>
      </c>
      <c r="G3129">
        <v>30872</v>
      </c>
    </row>
    <row r="3130" spans="1:7" x14ac:dyDescent="0.2">
      <c r="A3130" t="s">
        <v>869</v>
      </c>
      <c r="B3130" t="s">
        <v>672</v>
      </c>
      <c r="C3130" t="s">
        <v>673</v>
      </c>
      <c r="D3130" t="s">
        <v>676</v>
      </c>
      <c r="E3130" t="s">
        <v>677</v>
      </c>
      <c r="F3130" t="s">
        <v>28</v>
      </c>
      <c r="G3130">
        <v>10690</v>
      </c>
    </row>
    <row r="3131" spans="1:7" x14ac:dyDescent="0.2">
      <c r="A3131" t="s">
        <v>869</v>
      </c>
      <c r="B3131" t="s">
        <v>672</v>
      </c>
      <c r="C3131" t="s">
        <v>673</v>
      </c>
      <c r="D3131" t="s">
        <v>45</v>
      </c>
      <c r="G3131">
        <v>0</v>
      </c>
    </row>
    <row r="3132" spans="1:7" x14ac:dyDescent="0.2">
      <c r="A3132" t="s">
        <v>869</v>
      </c>
      <c r="B3132" t="s">
        <v>672</v>
      </c>
      <c r="C3132" t="s">
        <v>673</v>
      </c>
      <c r="D3132" t="s">
        <v>46</v>
      </c>
      <c r="G3132">
        <v>3452</v>
      </c>
    </row>
    <row r="3133" spans="1:7" x14ac:dyDescent="0.2">
      <c r="A3133" t="s">
        <v>869</v>
      </c>
      <c r="B3133" t="s">
        <v>678</v>
      </c>
      <c r="C3133" t="s">
        <v>679</v>
      </c>
      <c r="D3133" t="s">
        <v>8</v>
      </c>
      <c r="G3133">
        <v>54050</v>
      </c>
    </row>
    <row r="3134" spans="1:7" x14ac:dyDescent="0.2">
      <c r="A3134" t="s">
        <v>869</v>
      </c>
      <c r="B3134" t="s">
        <v>678</v>
      </c>
      <c r="C3134" t="s">
        <v>679</v>
      </c>
      <c r="D3134" t="s">
        <v>680</v>
      </c>
      <c r="E3134" t="s">
        <v>681</v>
      </c>
      <c r="F3134" t="s">
        <v>22</v>
      </c>
      <c r="G3134">
        <v>33568</v>
      </c>
    </row>
    <row r="3135" spans="1:7" x14ac:dyDescent="0.2">
      <c r="A3135" t="s">
        <v>869</v>
      </c>
      <c r="B3135" t="s">
        <v>678</v>
      </c>
      <c r="C3135" t="s">
        <v>679</v>
      </c>
      <c r="D3135" t="s">
        <v>682</v>
      </c>
      <c r="E3135" t="s">
        <v>683</v>
      </c>
      <c r="F3135" t="s">
        <v>11</v>
      </c>
      <c r="G3135">
        <v>14630</v>
      </c>
    </row>
    <row r="3136" spans="1:7" x14ac:dyDescent="0.2">
      <c r="A3136" t="s">
        <v>869</v>
      </c>
      <c r="B3136" t="s">
        <v>678</v>
      </c>
      <c r="C3136" t="s">
        <v>679</v>
      </c>
      <c r="D3136" t="s">
        <v>45</v>
      </c>
      <c r="G3136">
        <v>3</v>
      </c>
    </row>
    <row r="3137" spans="1:7" x14ac:dyDescent="0.2">
      <c r="A3137" t="s">
        <v>869</v>
      </c>
      <c r="B3137" t="s">
        <v>678</v>
      </c>
      <c r="C3137" t="s">
        <v>679</v>
      </c>
      <c r="D3137" t="s">
        <v>46</v>
      </c>
      <c r="G3137">
        <v>5849</v>
      </c>
    </row>
    <row r="3138" spans="1:7" x14ac:dyDescent="0.2">
      <c r="A3138" t="s">
        <v>869</v>
      </c>
      <c r="B3138" t="s">
        <v>684</v>
      </c>
      <c r="C3138" t="s">
        <v>685</v>
      </c>
      <c r="D3138" t="s">
        <v>8</v>
      </c>
      <c r="G3138">
        <v>90886</v>
      </c>
    </row>
    <row r="3139" spans="1:7" x14ac:dyDescent="0.2">
      <c r="A3139" t="s">
        <v>869</v>
      </c>
      <c r="B3139" t="s">
        <v>684</v>
      </c>
      <c r="C3139" t="s">
        <v>685</v>
      </c>
      <c r="D3139" t="s">
        <v>686</v>
      </c>
      <c r="E3139" t="s">
        <v>687</v>
      </c>
      <c r="F3139" t="s">
        <v>22</v>
      </c>
      <c r="G3139">
        <v>66868</v>
      </c>
    </row>
    <row r="3140" spans="1:7" x14ac:dyDescent="0.2">
      <c r="A3140" t="s">
        <v>869</v>
      </c>
      <c r="B3140" t="s">
        <v>684</v>
      </c>
      <c r="C3140" t="s">
        <v>685</v>
      </c>
      <c r="D3140" t="s">
        <v>45</v>
      </c>
      <c r="G3140">
        <v>0</v>
      </c>
    </row>
    <row r="3141" spans="1:7" x14ac:dyDescent="0.2">
      <c r="A3141" t="s">
        <v>869</v>
      </c>
      <c r="B3141" t="s">
        <v>684</v>
      </c>
      <c r="C3141" t="s">
        <v>685</v>
      </c>
      <c r="D3141" t="s">
        <v>46</v>
      </c>
      <c r="G3141">
        <v>24018</v>
      </c>
    </row>
    <row r="3142" spans="1:7" x14ac:dyDescent="0.2">
      <c r="A3142" t="s">
        <v>869</v>
      </c>
      <c r="B3142" t="s">
        <v>692</v>
      </c>
      <c r="C3142" t="s">
        <v>693</v>
      </c>
      <c r="D3142" t="s">
        <v>8</v>
      </c>
      <c r="G3142">
        <v>308663</v>
      </c>
    </row>
    <row r="3143" spans="1:7" x14ac:dyDescent="0.2">
      <c r="A3143" t="s">
        <v>869</v>
      </c>
      <c r="B3143" t="s">
        <v>692</v>
      </c>
      <c r="C3143" t="s">
        <v>693</v>
      </c>
      <c r="D3143" t="s">
        <v>694</v>
      </c>
      <c r="E3143" t="s">
        <v>695</v>
      </c>
      <c r="G3143">
        <v>205394</v>
      </c>
    </row>
    <row r="3144" spans="1:7" x14ac:dyDescent="0.2">
      <c r="A3144" t="s">
        <v>869</v>
      </c>
      <c r="B3144" t="s">
        <v>692</v>
      </c>
      <c r="C3144" t="s">
        <v>693</v>
      </c>
      <c r="D3144" t="s">
        <v>696</v>
      </c>
      <c r="E3144" t="s">
        <v>697</v>
      </c>
      <c r="G3144">
        <v>50399</v>
      </c>
    </row>
    <row r="3145" spans="1:7" x14ac:dyDescent="0.2">
      <c r="A3145" t="s">
        <v>869</v>
      </c>
      <c r="B3145" t="s">
        <v>692</v>
      </c>
      <c r="C3145" t="s">
        <v>693</v>
      </c>
      <c r="D3145" t="s">
        <v>45</v>
      </c>
      <c r="G3145">
        <v>40</v>
      </c>
    </row>
    <row r="3146" spans="1:7" x14ac:dyDescent="0.2">
      <c r="A3146" t="s">
        <v>869</v>
      </c>
      <c r="B3146" t="s">
        <v>692</v>
      </c>
      <c r="C3146" t="s">
        <v>693</v>
      </c>
      <c r="D3146" t="s">
        <v>46</v>
      </c>
      <c r="G3146">
        <v>52830</v>
      </c>
    </row>
    <row r="3147" spans="1:7" x14ac:dyDescent="0.2">
      <c r="A3147" t="s">
        <v>869</v>
      </c>
      <c r="B3147" t="s">
        <v>698</v>
      </c>
      <c r="C3147" t="s">
        <v>699</v>
      </c>
      <c r="D3147" t="s">
        <v>8</v>
      </c>
      <c r="G3147">
        <v>308663</v>
      </c>
    </row>
    <row r="3148" spans="1:7" x14ac:dyDescent="0.2">
      <c r="A3148" t="s">
        <v>869</v>
      </c>
      <c r="B3148" t="s">
        <v>698</v>
      </c>
      <c r="C3148" t="s">
        <v>699</v>
      </c>
      <c r="D3148" t="s">
        <v>694</v>
      </c>
      <c r="E3148" t="s">
        <v>700</v>
      </c>
      <c r="G3148">
        <v>201808</v>
      </c>
    </row>
    <row r="3149" spans="1:7" x14ac:dyDescent="0.2">
      <c r="A3149" t="s">
        <v>869</v>
      </c>
      <c r="B3149" t="s">
        <v>698</v>
      </c>
      <c r="C3149" t="s">
        <v>699</v>
      </c>
      <c r="D3149" t="s">
        <v>696</v>
      </c>
      <c r="E3149" t="s">
        <v>701</v>
      </c>
      <c r="G3149">
        <v>48971</v>
      </c>
    </row>
    <row r="3150" spans="1:7" x14ac:dyDescent="0.2">
      <c r="A3150" t="s">
        <v>869</v>
      </c>
      <c r="B3150" t="s">
        <v>698</v>
      </c>
      <c r="C3150" t="s">
        <v>699</v>
      </c>
      <c r="D3150" t="s">
        <v>45</v>
      </c>
      <c r="G3150">
        <v>29</v>
      </c>
    </row>
    <row r="3151" spans="1:7" x14ac:dyDescent="0.2">
      <c r="A3151" t="s">
        <v>869</v>
      </c>
      <c r="B3151" t="s">
        <v>698</v>
      </c>
      <c r="C3151" t="s">
        <v>699</v>
      </c>
      <c r="D3151" t="s">
        <v>46</v>
      </c>
      <c r="G3151">
        <v>57855</v>
      </c>
    </row>
    <row r="3152" spans="1:7" x14ac:dyDescent="0.2">
      <c r="A3152" t="s">
        <v>869</v>
      </c>
      <c r="B3152" t="s">
        <v>762</v>
      </c>
      <c r="C3152" t="s">
        <v>763</v>
      </c>
      <c r="D3152" t="s">
        <v>8</v>
      </c>
      <c r="G3152">
        <v>308663</v>
      </c>
    </row>
    <row r="3153" spans="1:7" x14ac:dyDescent="0.2">
      <c r="A3153" t="s">
        <v>869</v>
      </c>
      <c r="B3153" t="s">
        <v>762</v>
      </c>
      <c r="C3153" t="s">
        <v>763</v>
      </c>
      <c r="D3153" t="s">
        <v>694</v>
      </c>
      <c r="E3153" t="s">
        <v>764</v>
      </c>
      <c r="G3153">
        <v>187009</v>
      </c>
    </row>
    <row r="3154" spans="1:7" x14ac:dyDescent="0.2">
      <c r="A3154" t="s">
        <v>869</v>
      </c>
      <c r="B3154" t="s">
        <v>762</v>
      </c>
      <c r="C3154" t="s">
        <v>763</v>
      </c>
      <c r="D3154" t="s">
        <v>696</v>
      </c>
      <c r="E3154" t="s">
        <v>765</v>
      </c>
      <c r="G3154">
        <v>58697</v>
      </c>
    </row>
    <row r="3155" spans="1:7" x14ac:dyDescent="0.2">
      <c r="A3155" t="s">
        <v>869</v>
      </c>
      <c r="B3155" t="s">
        <v>762</v>
      </c>
      <c r="C3155" t="s">
        <v>763</v>
      </c>
      <c r="D3155" t="s">
        <v>45</v>
      </c>
      <c r="G3155">
        <v>29</v>
      </c>
    </row>
    <row r="3156" spans="1:7" x14ac:dyDescent="0.2">
      <c r="A3156" t="s">
        <v>869</v>
      </c>
      <c r="B3156" t="s">
        <v>762</v>
      </c>
      <c r="C3156" t="s">
        <v>763</v>
      </c>
      <c r="D3156" t="s">
        <v>46</v>
      </c>
      <c r="G3156">
        <v>62928</v>
      </c>
    </row>
    <row r="3157" spans="1:7" x14ac:dyDescent="0.2">
      <c r="A3157" t="s">
        <v>869</v>
      </c>
      <c r="B3157" t="s">
        <v>766</v>
      </c>
      <c r="C3157" t="s">
        <v>767</v>
      </c>
      <c r="D3157" t="s">
        <v>8</v>
      </c>
      <c r="G3157">
        <v>308663</v>
      </c>
    </row>
    <row r="3158" spans="1:7" x14ac:dyDescent="0.2">
      <c r="A3158" t="s">
        <v>869</v>
      </c>
      <c r="B3158" t="s">
        <v>766</v>
      </c>
      <c r="C3158" t="s">
        <v>767</v>
      </c>
      <c r="D3158" t="s">
        <v>694</v>
      </c>
      <c r="E3158" t="s">
        <v>768</v>
      </c>
      <c r="G3158">
        <v>199522</v>
      </c>
    </row>
    <row r="3159" spans="1:7" x14ac:dyDescent="0.2">
      <c r="A3159" t="s">
        <v>869</v>
      </c>
      <c r="B3159" t="s">
        <v>766</v>
      </c>
      <c r="C3159" t="s">
        <v>767</v>
      </c>
      <c r="D3159" t="s">
        <v>696</v>
      </c>
      <c r="E3159" t="s">
        <v>769</v>
      </c>
      <c r="G3159">
        <v>49597</v>
      </c>
    </row>
    <row r="3160" spans="1:7" x14ac:dyDescent="0.2">
      <c r="A3160" t="s">
        <v>869</v>
      </c>
      <c r="B3160" t="s">
        <v>766</v>
      </c>
      <c r="C3160" t="s">
        <v>767</v>
      </c>
      <c r="D3160" t="s">
        <v>45</v>
      </c>
      <c r="G3160">
        <v>33</v>
      </c>
    </row>
    <row r="3161" spans="1:7" x14ac:dyDescent="0.2">
      <c r="A3161" t="s">
        <v>869</v>
      </c>
      <c r="B3161" t="s">
        <v>766</v>
      </c>
      <c r="C3161" t="s">
        <v>767</v>
      </c>
      <c r="D3161" t="s">
        <v>46</v>
      </c>
      <c r="G3161">
        <v>59511</v>
      </c>
    </row>
    <row r="3162" spans="1:7" x14ac:dyDescent="0.2">
      <c r="A3162" t="s">
        <v>869</v>
      </c>
      <c r="B3162" t="s">
        <v>770</v>
      </c>
      <c r="C3162" t="s">
        <v>771</v>
      </c>
      <c r="D3162" t="s">
        <v>8</v>
      </c>
      <c r="G3162">
        <v>308663</v>
      </c>
    </row>
    <row r="3163" spans="1:7" x14ac:dyDescent="0.2">
      <c r="A3163" t="s">
        <v>869</v>
      </c>
      <c r="B3163" t="s">
        <v>770</v>
      </c>
      <c r="C3163" t="s">
        <v>771</v>
      </c>
      <c r="D3163" t="s">
        <v>694</v>
      </c>
      <c r="E3163" t="s">
        <v>772</v>
      </c>
      <c r="G3163">
        <v>196603</v>
      </c>
    </row>
    <row r="3164" spans="1:7" x14ac:dyDescent="0.2">
      <c r="A3164" t="s">
        <v>869</v>
      </c>
      <c r="B3164" t="s">
        <v>770</v>
      </c>
      <c r="C3164" t="s">
        <v>771</v>
      </c>
      <c r="D3164" t="s">
        <v>696</v>
      </c>
      <c r="E3164" t="s">
        <v>773</v>
      </c>
      <c r="G3164">
        <v>50101</v>
      </c>
    </row>
    <row r="3165" spans="1:7" x14ac:dyDescent="0.2">
      <c r="A3165" t="s">
        <v>869</v>
      </c>
      <c r="B3165" t="s">
        <v>770</v>
      </c>
      <c r="C3165" t="s">
        <v>771</v>
      </c>
      <c r="D3165" t="s">
        <v>45</v>
      </c>
      <c r="G3165">
        <v>27</v>
      </c>
    </row>
    <row r="3166" spans="1:7" x14ac:dyDescent="0.2">
      <c r="A3166" t="s">
        <v>869</v>
      </c>
      <c r="B3166" t="s">
        <v>770</v>
      </c>
      <c r="C3166" t="s">
        <v>771</v>
      </c>
      <c r="D3166" t="s">
        <v>46</v>
      </c>
      <c r="G3166">
        <v>61932</v>
      </c>
    </row>
    <row r="3167" spans="1:7" x14ac:dyDescent="0.2">
      <c r="A3167" t="s">
        <v>869</v>
      </c>
      <c r="B3167" t="s">
        <v>774</v>
      </c>
      <c r="C3167" t="s">
        <v>775</v>
      </c>
      <c r="D3167" t="s">
        <v>8</v>
      </c>
      <c r="G3167">
        <v>308663</v>
      </c>
    </row>
    <row r="3168" spans="1:7" x14ac:dyDescent="0.2">
      <c r="A3168" t="s">
        <v>869</v>
      </c>
      <c r="B3168" t="s">
        <v>774</v>
      </c>
      <c r="C3168" t="s">
        <v>775</v>
      </c>
      <c r="D3168" t="s">
        <v>694</v>
      </c>
      <c r="E3168" t="s">
        <v>776</v>
      </c>
      <c r="G3168">
        <v>194228</v>
      </c>
    </row>
    <row r="3169" spans="1:7" x14ac:dyDescent="0.2">
      <c r="A3169" t="s">
        <v>869</v>
      </c>
      <c r="B3169" t="s">
        <v>774</v>
      </c>
      <c r="C3169" t="s">
        <v>775</v>
      </c>
      <c r="D3169" t="s">
        <v>696</v>
      </c>
      <c r="E3169" t="s">
        <v>777</v>
      </c>
      <c r="G3169">
        <v>51784</v>
      </c>
    </row>
    <row r="3170" spans="1:7" x14ac:dyDescent="0.2">
      <c r="A3170" t="s">
        <v>869</v>
      </c>
      <c r="B3170" t="s">
        <v>774</v>
      </c>
      <c r="C3170" t="s">
        <v>775</v>
      </c>
      <c r="D3170" t="s">
        <v>45</v>
      </c>
      <c r="G3170">
        <v>39</v>
      </c>
    </row>
    <row r="3171" spans="1:7" x14ac:dyDescent="0.2">
      <c r="A3171" t="s">
        <v>869</v>
      </c>
      <c r="B3171" t="s">
        <v>774</v>
      </c>
      <c r="C3171" t="s">
        <v>775</v>
      </c>
      <c r="D3171" t="s">
        <v>46</v>
      </c>
      <c r="G3171">
        <v>62612</v>
      </c>
    </row>
    <row r="3172" spans="1:7" x14ac:dyDescent="0.2">
      <c r="A3172" t="s">
        <v>869</v>
      </c>
      <c r="B3172" t="s">
        <v>778</v>
      </c>
      <c r="C3172" t="s">
        <v>779</v>
      </c>
      <c r="D3172" t="s">
        <v>8</v>
      </c>
      <c r="G3172">
        <v>308663</v>
      </c>
    </row>
    <row r="3173" spans="1:7" x14ac:dyDescent="0.2">
      <c r="A3173" t="s">
        <v>869</v>
      </c>
      <c r="B3173" t="s">
        <v>778</v>
      </c>
      <c r="C3173" t="s">
        <v>779</v>
      </c>
      <c r="D3173" t="s">
        <v>694</v>
      </c>
      <c r="E3173" t="s">
        <v>780</v>
      </c>
      <c r="G3173">
        <v>196073</v>
      </c>
    </row>
    <row r="3174" spans="1:7" x14ac:dyDescent="0.2">
      <c r="A3174" t="s">
        <v>869</v>
      </c>
      <c r="B3174" t="s">
        <v>778</v>
      </c>
      <c r="C3174" t="s">
        <v>779</v>
      </c>
      <c r="D3174" t="s">
        <v>696</v>
      </c>
      <c r="E3174" t="s">
        <v>781</v>
      </c>
      <c r="G3174">
        <v>49734</v>
      </c>
    </row>
    <row r="3175" spans="1:7" x14ac:dyDescent="0.2">
      <c r="A3175" t="s">
        <v>869</v>
      </c>
      <c r="B3175" t="s">
        <v>778</v>
      </c>
      <c r="C3175" t="s">
        <v>779</v>
      </c>
      <c r="D3175" t="s">
        <v>45</v>
      </c>
      <c r="G3175">
        <v>43</v>
      </c>
    </row>
    <row r="3176" spans="1:7" x14ac:dyDescent="0.2">
      <c r="A3176" t="s">
        <v>869</v>
      </c>
      <c r="B3176" t="s">
        <v>778</v>
      </c>
      <c r="C3176" t="s">
        <v>779</v>
      </c>
      <c r="D3176" t="s">
        <v>46</v>
      </c>
      <c r="G3176">
        <v>62813</v>
      </c>
    </row>
    <row r="3177" spans="1:7" x14ac:dyDescent="0.2">
      <c r="A3177" t="s">
        <v>869</v>
      </c>
      <c r="B3177" t="s">
        <v>782</v>
      </c>
      <c r="C3177" t="s">
        <v>783</v>
      </c>
      <c r="D3177" t="s">
        <v>8</v>
      </c>
      <c r="G3177">
        <v>308663</v>
      </c>
    </row>
    <row r="3178" spans="1:7" x14ac:dyDescent="0.2">
      <c r="A3178" t="s">
        <v>869</v>
      </c>
      <c r="B3178" t="s">
        <v>782</v>
      </c>
      <c r="C3178" t="s">
        <v>783</v>
      </c>
      <c r="D3178" t="s">
        <v>694</v>
      </c>
      <c r="E3178" t="s">
        <v>784</v>
      </c>
      <c r="G3178">
        <v>182983</v>
      </c>
    </row>
    <row r="3179" spans="1:7" x14ac:dyDescent="0.2">
      <c r="A3179" t="s">
        <v>869</v>
      </c>
      <c r="B3179" t="s">
        <v>782</v>
      </c>
      <c r="C3179" t="s">
        <v>783</v>
      </c>
      <c r="D3179" t="s">
        <v>696</v>
      </c>
      <c r="E3179" t="s">
        <v>785</v>
      </c>
      <c r="G3179">
        <v>62940</v>
      </c>
    </row>
    <row r="3180" spans="1:7" x14ac:dyDescent="0.2">
      <c r="A3180" t="s">
        <v>869</v>
      </c>
      <c r="B3180" t="s">
        <v>782</v>
      </c>
      <c r="C3180" t="s">
        <v>783</v>
      </c>
      <c r="D3180" t="s">
        <v>45</v>
      </c>
      <c r="G3180">
        <v>38</v>
      </c>
    </row>
    <row r="3181" spans="1:7" x14ac:dyDescent="0.2">
      <c r="A3181" t="s">
        <v>869</v>
      </c>
      <c r="B3181" t="s">
        <v>782</v>
      </c>
      <c r="C3181" t="s">
        <v>783</v>
      </c>
      <c r="D3181" t="s">
        <v>46</v>
      </c>
      <c r="G3181">
        <v>62702</v>
      </c>
    </row>
    <row r="3182" spans="1:7" x14ac:dyDescent="0.2">
      <c r="A3182" t="s">
        <v>869</v>
      </c>
      <c r="B3182" t="s">
        <v>826</v>
      </c>
      <c r="C3182" t="s">
        <v>827</v>
      </c>
      <c r="D3182" t="s">
        <v>8</v>
      </c>
      <c r="G3182">
        <v>308663</v>
      </c>
    </row>
    <row r="3183" spans="1:7" x14ac:dyDescent="0.2">
      <c r="A3183" t="s">
        <v>869</v>
      </c>
      <c r="B3183" t="s">
        <v>826</v>
      </c>
      <c r="C3183" t="s">
        <v>827</v>
      </c>
      <c r="D3183" t="s">
        <v>694</v>
      </c>
      <c r="E3183" t="s">
        <v>828</v>
      </c>
      <c r="G3183">
        <v>195578</v>
      </c>
    </row>
    <row r="3184" spans="1:7" x14ac:dyDescent="0.2">
      <c r="A3184" t="s">
        <v>869</v>
      </c>
      <c r="B3184" t="s">
        <v>826</v>
      </c>
      <c r="C3184" t="s">
        <v>827</v>
      </c>
      <c r="D3184" t="s">
        <v>696</v>
      </c>
      <c r="E3184" t="s">
        <v>829</v>
      </c>
      <c r="G3184">
        <v>50760</v>
      </c>
    </row>
    <row r="3185" spans="1:7" x14ac:dyDescent="0.2">
      <c r="A3185" t="s">
        <v>869</v>
      </c>
      <c r="B3185" t="s">
        <v>826</v>
      </c>
      <c r="C3185" t="s">
        <v>827</v>
      </c>
      <c r="D3185" t="s">
        <v>45</v>
      </c>
      <c r="G3185">
        <v>64</v>
      </c>
    </row>
    <row r="3186" spans="1:7" x14ac:dyDescent="0.2">
      <c r="A3186" t="s">
        <v>869</v>
      </c>
      <c r="B3186" t="s">
        <v>826</v>
      </c>
      <c r="C3186" t="s">
        <v>827</v>
      </c>
      <c r="D3186" t="s">
        <v>46</v>
      </c>
      <c r="G3186">
        <v>62261</v>
      </c>
    </row>
    <row r="3187" spans="1:7" x14ac:dyDescent="0.2">
      <c r="A3187" t="s">
        <v>869</v>
      </c>
      <c r="B3187" t="s">
        <v>834</v>
      </c>
      <c r="C3187" t="s">
        <v>835</v>
      </c>
      <c r="D3187" t="s">
        <v>8</v>
      </c>
      <c r="G3187">
        <v>308663</v>
      </c>
    </row>
    <row r="3188" spans="1:7" x14ac:dyDescent="0.2">
      <c r="A3188" t="s">
        <v>869</v>
      </c>
      <c r="B3188" t="s">
        <v>834</v>
      </c>
      <c r="C3188" t="s">
        <v>835</v>
      </c>
      <c r="D3188" t="s">
        <v>836</v>
      </c>
      <c r="E3188" t="s">
        <v>837</v>
      </c>
      <c r="G3188">
        <v>208550</v>
      </c>
    </row>
    <row r="3189" spans="1:7" x14ac:dyDescent="0.2">
      <c r="A3189" t="s">
        <v>869</v>
      </c>
      <c r="B3189" t="s">
        <v>834</v>
      </c>
      <c r="C3189" t="s">
        <v>835</v>
      </c>
      <c r="D3189" t="s">
        <v>838</v>
      </c>
      <c r="E3189" t="s">
        <v>839</v>
      </c>
      <c r="G3189">
        <v>75311</v>
      </c>
    </row>
    <row r="3190" spans="1:7" x14ac:dyDescent="0.2">
      <c r="A3190" t="s">
        <v>869</v>
      </c>
      <c r="B3190" t="s">
        <v>834</v>
      </c>
      <c r="C3190" t="s">
        <v>835</v>
      </c>
      <c r="D3190" t="s">
        <v>45</v>
      </c>
      <c r="G3190">
        <v>30</v>
      </c>
    </row>
    <row r="3191" spans="1:7" x14ac:dyDescent="0.2">
      <c r="A3191" t="s">
        <v>869</v>
      </c>
      <c r="B3191" t="s">
        <v>834</v>
      </c>
      <c r="C3191" t="s">
        <v>835</v>
      </c>
      <c r="D3191" t="s">
        <v>46</v>
      </c>
      <c r="G3191">
        <v>24772</v>
      </c>
    </row>
    <row r="3192" spans="1:7" x14ac:dyDescent="0.2">
      <c r="A3192" t="s">
        <v>869</v>
      </c>
      <c r="B3192" t="s">
        <v>840</v>
      </c>
      <c r="C3192" t="s">
        <v>841</v>
      </c>
      <c r="D3192" t="s">
        <v>8</v>
      </c>
      <c r="G3192">
        <v>308663</v>
      </c>
    </row>
    <row r="3193" spans="1:7" x14ac:dyDescent="0.2">
      <c r="A3193" t="s">
        <v>869</v>
      </c>
      <c r="B3193" t="s">
        <v>840</v>
      </c>
      <c r="C3193" t="s">
        <v>841</v>
      </c>
      <c r="D3193" t="s">
        <v>836</v>
      </c>
      <c r="E3193" t="s">
        <v>842</v>
      </c>
      <c r="G3193">
        <v>233499</v>
      </c>
    </row>
    <row r="3194" spans="1:7" x14ac:dyDescent="0.2">
      <c r="A3194" t="s">
        <v>869</v>
      </c>
      <c r="B3194" t="s">
        <v>840</v>
      </c>
      <c r="C3194" t="s">
        <v>841</v>
      </c>
      <c r="D3194" t="s">
        <v>838</v>
      </c>
      <c r="E3194" t="s">
        <v>843</v>
      </c>
      <c r="G3194">
        <v>49860</v>
      </c>
    </row>
    <row r="3195" spans="1:7" x14ac:dyDescent="0.2">
      <c r="A3195" t="s">
        <v>869</v>
      </c>
      <c r="B3195" t="s">
        <v>840</v>
      </c>
      <c r="C3195" t="s">
        <v>841</v>
      </c>
      <c r="D3195" t="s">
        <v>45</v>
      </c>
      <c r="G3195">
        <v>16</v>
      </c>
    </row>
    <row r="3196" spans="1:7" x14ac:dyDescent="0.2">
      <c r="A3196" t="s">
        <v>869</v>
      </c>
      <c r="B3196" t="s">
        <v>840</v>
      </c>
      <c r="C3196" t="s">
        <v>841</v>
      </c>
      <c r="D3196" t="s">
        <v>46</v>
      </c>
      <c r="G3196">
        <v>25288</v>
      </c>
    </row>
    <row r="3197" spans="1:7" x14ac:dyDescent="0.2">
      <c r="A3197" t="s">
        <v>870</v>
      </c>
      <c r="B3197" t="s">
        <v>6</v>
      </c>
      <c r="C3197" t="s">
        <v>7</v>
      </c>
      <c r="D3197" t="s">
        <v>8</v>
      </c>
      <c r="G3197">
        <v>18979</v>
      </c>
    </row>
    <row r="3198" spans="1:7" x14ac:dyDescent="0.2">
      <c r="A3198" t="s">
        <v>870</v>
      </c>
      <c r="B3198" t="s">
        <v>6</v>
      </c>
      <c r="C3198" t="s">
        <v>7</v>
      </c>
      <c r="D3198" t="s">
        <v>9</v>
      </c>
      <c r="E3198" t="s">
        <v>10</v>
      </c>
      <c r="F3198" t="s">
        <v>11</v>
      </c>
      <c r="G3198">
        <v>15</v>
      </c>
    </row>
    <row r="3199" spans="1:7" x14ac:dyDescent="0.2">
      <c r="A3199" t="s">
        <v>870</v>
      </c>
      <c r="B3199" t="s">
        <v>6</v>
      </c>
      <c r="C3199" t="s">
        <v>7</v>
      </c>
      <c r="D3199" t="s">
        <v>12</v>
      </c>
      <c r="E3199" t="s">
        <v>13</v>
      </c>
      <c r="F3199" t="s">
        <v>11</v>
      </c>
      <c r="G3199">
        <v>23</v>
      </c>
    </row>
    <row r="3200" spans="1:7" x14ac:dyDescent="0.2">
      <c r="A3200" t="s">
        <v>870</v>
      </c>
      <c r="B3200" t="s">
        <v>6</v>
      </c>
      <c r="C3200" t="s">
        <v>7</v>
      </c>
      <c r="D3200" t="s">
        <v>14</v>
      </c>
      <c r="E3200" t="s">
        <v>15</v>
      </c>
      <c r="F3200" t="s">
        <v>16</v>
      </c>
      <c r="G3200">
        <v>79</v>
      </c>
    </row>
    <row r="3201" spans="1:7" x14ac:dyDescent="0.2">
      <c r="A3201" t="s">
        <v>870</v>
      </c>
      <c r="B3201" t="s">
        <v>6</v>
      </c>
      <c r="C3201" t="s">
        <v>7</v>
      </c>
      <c r="D3201" t="s">
        <v>17</v>
      </c>
      <c r="E3201" t="s">
        <v>18</v>
      </c>
      <c r="F3201" t="s">
        <v>19</v>
      </c>
      <c r="G3201">
        <v>83</v>
      </c>
    </row>
    <row r="3202" spans="1:7" x14ac:dyDescent="0.2">
      <c r="A3202" t="s">
        <v>870</v>
      </c>
      <c r="B3202" t="s">
        <v>6</v>
      </c>
      <c r="C3202" t="s">
        <v>7</v>
      </c>
      <c r="D3202" t="s">
        <v>20</v>
      </c>
      <c r="E3202" t="s">
        <v>21</v>
      </c>
      <c r="F3202" t="s">
        <v>22</v>
      </c>
      <c r="G3202">
        <v>11495</v>
      </c>
    </row>
    <row r="3203" spans="1:7" x14ac:dyDescent="0.2">
      <c r="A3203" t="s">
        <v>870</v>
      </c>
      <c r="B3203" t="s">
        <v>6</v>
      </c>
      <c r="C3203" t="s">
        <v>7</v>
      </c>
      <c r="D3203" t="s">
        <v>23</v>
      </c>
      <c r="E3203" t="s">
        <v>24</v>
      </c>
      <c r="F3203" t="s">
        <v>25</v>
      </c>
      <c r="G3203">
        <v>188</v>
      </c>
    </row>
    <row r="3204" spans="1:7" x14ac:dyDescent="0.2">
      <c r="A3204" t="s">
        <v>870</v>
      </c>
      <c r="B3204" t="s">
        <v>6</v>
      </c>
      <c r="C3204" t="s">
        <v>7</v>
      </c>
      <c r="D3204" t="s">
        <v>26</v>
      </c>
      <c r="E3204" t="s">
        <v>27</v>
      </c>
      <c r="F3204" t="s">
        <v>28</v>
      </c>
      <c r="G3204">
        <v>6459</v>
      </c>
    </row>
    <row r="3205" spans="1:7" x14ac:dyDescent="0.2">
      <c r="A3205" t="s">
        <v>870</v>
      </c>
      <c r="B3205" t="s">
        <v>6</v>
      </c>
      <c r="C3205" t="s">
        <v>7</v>
      </c>
      <c r="D3205" t="s">
        <v>29</v>
      </c>
      <c r="E3205" t="s">
        <v>30</v>
      </c>
      <c r="F3205" t="s">
        <v>11</v>
      </c>
      <c r="G3205">
        <v>12</v>
      </c>
    </row>
    <row r="3206" spans="1:7" x14ac:dyDescent="0.2">
      <c r="A3206" t="s">
        <v>870</v>
      </c>
      <c r="B3206" t="s">
        <v>6</v>
      </c>
      <c r="C3206" t="s">
        <v>7</v>
      </c>
      <c r="D3206" t="s">
        <v>31</v>
      </c>
      <c r="E3206" t="s">
        <v>32</v>
      </c>
      <c r="F3206" t="s">
        <v>11</v>
      </c>
      <c r="G3206">
        <v>0</v>
      </c>
    </row>
    <row r="3207" spans="1:7" x14ac:dyDescent="0.2">
      <c r="A3207" t="s">
        <v>870</v>
      </c>
      <c r="B3207" t="s">
        <v>6</v>
      </c>
      <c r="C3207" t="s">
        <v>7</v>
      </c>
      <c r="D3207" t="s">
        <v>33</v>
      </c>
      <c r="E3207" t="s">
        <v>34</v>
      </c>
      <c r="F3207" t="s">
        <v>11</v>
      </c>
      <c r="G3207">
        <v>0</v>
      </c>
    </row>
    <row r="3208" spans="1:7" x14ac:dyDescent="0.2">
      <c r="A3208" t="s">
        <v>870</v>
      </c>
      <c r="B3208" t="s">
        <v>6</v>
      </c>
      <c r="C3208" t="s">
        <v>7</v>
      </c>
      <c r="D3208" t="s">
        <v>35</v>
      </c>
      <c r="E3208" t="s">
        <v>36</v>
      </c>
      <c r="F3208" t="s">
        <v>11</v>
      </c>
      <c r="G3208">
        <v>0</v>
      </c>
    </row>
    <row r="3209" spans="1:7" x14ac:dyDescent="0.2">
      <c r="A3209" t="s">
        <v>870</v>
      </c>
      <c r="B3209" t="s">
        <v>6</v>
      </c>
      <c r="C3209" t="s">
        <v>7</v>
      </c>
      <c r="D3209" t="s">
        <v>37</v>
      </c>
      <c r="E3209" t="s">
        <v>38</v>
      </c>
      <c r="F3209" t="s">
        <v>11</v>
      </c>
      <c r="G3209">
        <v>0</v>
      </c>
    </row>
    <row r="3210" spans="1:7" x14ac:dyDescent="0.2">
      <c r="A3210" t="s">
        <v>870</v>
      </c>
      <c r="B3210" t="s">
        <v>6</v>
      </c>
      <c r="C3210" t="s">
        <v>7</v>
      </c>
      <c r="D3210" t="s">
        <v>39</v>
      </c>
      <c r="E3210" t="s">
        <v>40</v>
      </c>
      <c r="F3210" t="s">
        <v>11</v>
      </c>
      <c r="G3210">
        <v>0</v>
      </c>
    </row>
    <row r="3211" spans="1:7" x14ac:dyDescent="0.2">
      <c r="A3211" t="s">
        <v>870</v>
      </c>
      <c r="B3211" t="s">
        <v>6</v>
      </c>
      <c r="C3211" t="s">
        <v>7</v>
      </c>
      <c r="D3211" t="s">
        <v>41</v>
      </c>
      <c r="E3211" t="s">
        <v>42</v>
      </c>
      <c r="F3211" t="s">
        <v>11</v>
      </c>
      <c r="G3211">
        <v>0</v>
      </c>
    </row>
    <row r="3212" spans="1:7" x14ac:dyDescent="0.2">
      <c r="A3212" t="s">
        <v>870</v>
      </c>
      <c r="B3212" t="s">
        <v>6</v>
      </c>
      <c r="C3212" t="s">
        <v>7</v>
      </c>
      <c r="D3212" t="s">
        <v>43</v>
      </c>
      <c r="E3212" t="s">
        <v>44</v>
      </c>
      <c r="F3212" t="s">
        <v>11</v>
      </c>
      <c r="G3212">
        <v>0</v>
      </c>
    </row>
    <row r="3213" spans="1:7" x14ac:dyDescent="0.2">
      <c r="A3213" t="s">
        <v>870</v>
      </c>
      <c r="B3213" t="s">
        <v>6</v>
      </c>
      <c r="C3213" t="s">
        <v>7</v>
      </c>
      <c r="D3213" t="s">
        <v>45</v>
      </c>
      <c r="G3213">
        <v>3</v>
      </c>
    </row>
    <row r="3214" spans="1:7" x14ac:dyDescent="0.2">
      <c r="A3214" t="s">
        <v>870</v>
      </c>
      <c r="B3214" t="s">
        <v>6</v>
      </c>
      <c r="C3214" t="s">
        <v>7</v>
      </c>
      <c r="D3214" t="s">
        <v>46</v>
      </c>
      <c r="G3214">
        <v>260</v>
      </c>
    </row>
    <row r="3215" spans="1:7" x14ac:dyDescent="0.2">
      <c r="A3215" t="s">
        <v>870</v>
      </c>
      <c r="B3215" t="s">
        <v>47</v>
      </c>
      <c r="C3215" t="s">
        <v>48</v>
      </c>
      <c r="D3215" t="s">
        <v>8</v>
      </c>
      <c r="G3215">
        <v>18979</v>
      </c>
    </row>
    <row r="3216" spans="1:7" x14ac:dyDescent="0.2">
      <c r="A3216" t="s">
        <v>870</v>
      </c>
      <c r="B3216" t="s">
        <v>47</v>
      </c>
      <c r="C3216" t="s">
        <v>48</v>
      </c>
      <c r="D3216" t="s">
        <v>49</v>
      </c>
      <c r="E3216" t="s">
        <v>50</v>
      </c>
      <c r="F3216" t="s">
        <v>51</v>
      </c>
      <c r="G3216">
        <v>1040</v>
      </c>
    </row>
    <row r="3217" spans="1:7" x14ac:dyDescent="0.2">
      <c r="A3217" t="s">
        <v>870</v>
      </c>
      <c r="B3217" t="s">
        <v>47</v>
      </c>
      <c r="C3217" t="s">
        <v>48</v>
      </c>
      <c r="D3217" t="s">
        <v>52</v>
      </c>
      <c r="E3217" t="s">
        <v>53</v>
      </c>
      <c r="F3217" t="s">
        <v>22</v>
      </c>
      <c r="G3217">
        <v>12004</v>
      </c>
    </row>
    <row r="3218" spans="1:7" x14ac:dyDescent="0.2">
      <c r="A3218" t="s">
        <v>870</v>
      </c>
      <c r="B3218" t="s">
        <v>47</v>
      </c>
      <c r="C3218" t="s">
        <v>48</v>
      </c>
      <c r="D3218" t="s">
        <v>54</v>
      </c>
      <c r="E3218" t="s">
        <v>55</v>
      </c>
      <c r="F3218" t="s">
        <v>28</v>
      </c>
      <c r="G3218">
        <v>5276</v>
      </c>
    </row>
    <row r="3219" spans="1:7" x14ac:dyDescent="0.2">
      <c r="A3219" t="s">
        <v>870</v>
      </c>
      <c r="B3219" t="s">
        <v>47</v>
      </c>
      <c r="C3219" t="s">
        <v>48</v>
      </c>
      <c r="D3219" t="s">
        <v>56</v>
      </c>
      <c r="E3219" t="s">
        <v>57</v>
      </c>
      <c r="F3219" t="s">
        <v>11</v>
      </c>
      <c r="G3219">
        <v>3</v>
      </c>
    </row>
    <row r="3220" spans="1:7" x14ac:dyDescent="0.2">
      <c r="A3220" t="s">
        <v>870</v>
      </c>
      <c r="B3220" t="s">
        <v>47</v>
      </c>
      <c r="C3220" t="s">
        <v>48</v>
      </c>
      <c r="D3220" t="s">
        <v>45</v>
      </c>
      <c r="G3220">
        <v>4</v>
      </c>
    </row>
    <row r="3221" spans="1:7" x14ac:dyDescent="0.2">
      <c r="A3221" t="s">
        <v>870</v>
      </c>
      <c r="B3221" t="s">
        <v>47</v>
      </c>
      <c r="C3221" t="s">
        <v>48</v>
      </c>
      <c r="D3221" t="s">
        <v>46</v>
      </c>
      <c r="G3221">
        <v>551</v>
      </c>
    </row>
    <row r="3222" spans="1:7" x14ac:dyDescent="0.2">
      <c r="A3222" t="s">
        <v>870</v>
      </c>
      <c r="B3222" t="s">
        <v>76</v>
      </c>
      <c r="C3222" t="s">
        <v>77</v>
      </c>
      <c r="D3222" t="s">
        <v>8</v>
      </c>
      <c r="G3222">
        <v>18979</v>
      </c>
    </row>
    <row r="3223" spans="1:7" x14ac:dyDescent="0.2">
      <c r="A3223" t="s">
        <v>870</v>
      </c>
      <c r="B3223" t="s">
        <v>76</v>
      </c>
      <c r="C3223" t="s">
        <v>77</v>
      </c>
      <c r="D3223" t="s">
        <v>78</v>
      </c>
      <c r="E3223" t="s">
        <v>79</v>
      </c>
      <c r="F3223" t="s">
        <v>22</v>
      </c>
      <c r="G3223">
        <v>12502</v>
      </c>
    </row>
    <row r="3224" spans="1:7" x14ac:dyDescent="0.2">
      <c r="A3224" t="s">
        <v>870</v>
      </c>
      <c r="B3224" t="s">
        <v>76</v>
      </c>
      <c r="C3224" t="s">
        <v>77</v>
      </c>
      <c r="D3224" t="s">
        <v>80</v>
      </c>
      <c r="E3224" t="s">
        <v>81</v>
      </c>
      <c r="F3224" t="s">
        <v>28</v>
      </c>
      <c r="G3224">
        <v>5573</v>
      </c>
    </row>
    <row r="3225" spans="1:7" x14ac:dyDescent="0.2">
      <c r="A3225" t="s">
        <v>870</v>
      </c>
      <c r="B3225" t="s">
        <v>76</v>
      </c>
      <c r="C3225" t="s">
        <v>77</v>
      </c>
      <c r="D3225" t="s">
        <v>45</v>
      </c>
      <c r="G3225">
        <v>0</v>
      </c>
    </row>
    <row r="3226" spans="1:7" x14ac:dyDescent="0.2">
      <c r="A3226" t="s">
        <v>870</v>
      </c>
      <c r="B3226" t="s">
        <v>76</v>
      </c>
      <c r="C3226" t="s">
        <v>77</v>
      </c>
      <c r="D3226" t="s">
        <v>46</v>
      </c>
      <c r="G3226">
        <v>904</v>
      </c>
    </row>
    <row r="3227" spans="1:7" x14ac:dyDescent="0.2">
      <c r="A3227" t="s">
        <v>870</v>
      </c>
      <c r="B3227" t="s">
        <v>93</v>
      </c>
      <c r="C3227" t="s">
        <v>94</v>
      </c>
      <c r="D3227" t="s">
        <v>8</v>
      </c>
      <c r="G3227">
        <v>18979</v>
      </c>
    </row>
    <row r="3228" spans="1:7" x14ac:dyDescent="0.2">
      <c r="A3228" t="s">
        <v>870</v>
      </c>
      <c r="B3228" t="s">
        <v>93</v>
      </c>
      <c r="C3228" t="s">
        <v>94</v>
      </c>
      <c r="D3228" t="s">
        <v>95</v>
      </c>
      <c r="E3228" t="s">
        <v>96</v>
      </c>
      <c r="F3228" t="s">
        <v>22</v>
      </c>
      <c r="G3228">
        <v>10043</v>
      </c>
    </row>
    <row r="3229" spans="1:7" x14ac:dyDescent="0.2">
      <c r="A3229" t="s">
        <v>870</v>
      </c>
      <c r="B3229" t="s">
        <v>93</v>
      </c>
      <c r="C3229" t="s">
        <v>94</v>
      </c>
      <c r="D3229" t="s">
        <v>97</v>
      </c>
      <c r="E3229" t="s">
        <v>98</v>
      </c>
      <c r="F3229" t="s">
        <v>51</v>
      </c>
      <c r="G3229">
        <v>247</v>
      </c>
    </row>
    <row r="3230" spans="1:7" x14ac:dyDescent="0.2">
      <c r="A3230" t="s">
        <v>870</v>
      </c>
      <c r="B3230" t="s">
        <v>93</v>
      </c>
      <c r="C3230" t="s">
        <v>94</v>
      </c>
      <c r="D3230" t="s">
        <v>99</v>
      </c>
      <c r="E3230" t="s">
        <v>100</v>
      </c>
      <c r="F3230" t="s">
        <v>28</v>
      </c>
      <c r="G3230">
        <v>4574</v>
      </c>
    </row>
    <row r="3231" spans="1:7" x14ac:dyDescent="0.2">
      <c r="A3231" t="s">
        <v>870</v>
      </c>
      <c r="B3231" t="s">
        <v>93</v>
      </c>
      <c r="C3231" t="s">
        <v>94</v>
      </c>
      <c r="D3231" t="s">
        <v>101</v>
      </c>
      <c r="E3231" t="s">
        <v>102</v>
      </c>
      <c r="F3231" t="s">
        <v>25</v>
      </c>
      <c r="G3231">
        <v>408</v>
      </c>
    </row>
    <row r="3232" spans="1:7" x14ac:dyDescent="0.2">
      <c r="A3232" t="s">
        <v>870</v>
      </c>
      <c r="B3232" t="s">
        <v>93</v>
      </c>
      <c r="C3232" t="s">
        <v>94</v>
      </c>
      <c r="D3232" t="s">
        <v>103</v>
      </c>
      <c r="E3232" t="s">
        <v>104</v>
      </c>
      <c r="F3232" t="s">
        <v>11</v>
      </c>
      <c r="G3232">
        <v>35</v>
      </c>
    </row>
    <row r="3233" spans="1:7" x14ac:dyDescent="0.2">
      <c r="A3233" t="s">
        <v>870</v>
      </c>
      <c r="B3233" t="s">
        <v>93</v>
      </c>
      <c r="C3233" t="s">
        <v>94</v>
      </c>
      <c r="D3233" t="s">
        <v>105</v>
      </c>
      <c r="E3233" t="s">
        <v>106</v>
      </c>
      <c r="F3233" t="s">
        <v>11</v>
      </c>
      <c r="G3233">
        <v>2993</v>
      </c>
    </row>
    <row r="3234" spans="1:7" x14ac:dyDescent="0.2">
      <c r="A3234" t="s">
        <v>870</v>
      </c>
      <c r="B3234" t="s">
        <v>93</v>
      </c>
      <c r="C3234" t="s">
        <v>94</v>
      </c>
      <c r="D3234" t="s">
        <v>107</v>
      </c>
      <c r="E3234" t="s">
        <v>108</v>
      </c>
      <c r="F3234" t="s">
        <v>11</v>
      </c>
      <c r="G3234">
        <v>3</v>
      </c>
    </row>
    <row r="3235" spans="1:7" x14ac:dyDescent="0.2">
      <c r="A3235" t="s">
        <v>870</v>
      </c>
      <c r="B3235" t="s">
        <v>93</v>
      </c>
      <c r="C3235" t="s">
        <v>94</v>
      </c>
      <c r="D3235" t="s">
        <v>45</v>
      </c>
      <c r="G3235">
        <v>8</v>
      </c>
    </row>
    <row r="3236" spans="1:7" x14ac:dyDescent="0.2">
      <c r="A3236" t="s">
        <v>870</v>
      </c>
      <c r="B3236" t="s">
        <v>93</v>
      </c>
      <c r="C3236" t="s">
        <v>94</v>
      </c>
      <c r="D3236" t="s">
        <v>46</v>
      </c>
      <c r="G3236">
        <v>645</v>
      </c>
    </row>
    <row r="3237" spans="1:7" x14ac:dyDescent="0.2">
      <c r="A3237" t="s">
        <v>870</v>
      </c>
      <c r="B3237" t="s">
        <v>109</v>
      </c>
      <c r="C3237" t="s">
        <v>110</v>
      </c>
      <c r="D3237" t="s">
        <v>8</v>
      </c>
      <c r="G3237">
        <v>18979</v>
      </c>
    </row>
    <row r="3238" spans="1:7" x14ac:dyDescent="0.2">
      <c r="A3238" t="s">
        <v>870</v>
      </c>
      <c r="B3238" t="s">
        <v>109</v>
      </c>
      <c r="C3238" t="s">
        <v>110</v>
      </c>
      <c r="D3238" t="s">
        <v>111</v>
      </c>
      <c r="E3238" t="s">
        <v>112</v>
      </c>
      <c r="F3238" t="s">
        <v>22</v>
      </c>
      <c r="G3238">
        <v>11144</v>
      </c>
    </row>
    <row r="3239" spans="1:7" x14ac:dyDescent="0.2">
      <c r="A3239" t="s">
        <v>870</v>
      </c>
      <c r="B3239" t="s">
        <v>109</v>
      </c>
      <c r="C3239" t="s">
        <v>110</v>
      </c>
      <c r="D3239" t="s">
        <v>113</v>
      </c>
      <c r="E3239" t="s">
        <v>114</v>
      </c>
      <c r="F3239" t="s">
        <v>28</v>
      </c>
      <c r="G3239">
        <v>4680</v>
      </c>
    </row>
    <row r="3240" spans="1:7" x14ac:dyDescent="0.2">
      <c r="A3240" t="s">
        <v>870</v>
      </c>
      <c r="B3240" t="s">
        <v>109</v>
      </c>
      <c r="C3240" t="s">
        <v>110</v>
      </c>
      <c r="D3240" t="s">
        <v>115</v>
      </c>
      <c r="E3240" t="s">
        <v>116</v>
      </c>
      <c r="F3240" t="s">
        <v>25</v>
      </c>
      <c r="G3240">
        <v>594</v>
      </c>
    </row>
    <row r="3241" spans="1:7" x14ac:dyDescent="0.2">
      <c r="A3241" t="s">
        <v>870</v>
      </c>
      <c r="B3241" t="s">
        <v>109</v>
      </c>
      <c r="C3241" t="s">
        <v>110</v>
      </c>
      <c r="D3241" t="s">
        <v>117</v>
      </c>
      <c r="E3241" t="s">
        <v>118</v>
      </c>
      <c r="F3241" t="s">
        <v>11</v>
      </c>
      <c r="G3241">
        <v>716</v>
      </c>
    </row>
    <row r="3242" spans="1:7" x14ac:dyDescent="0.2">
      <c r="A3242" t="s">
        <v>870</v>
      </c>
      <c r="B3242" t="s">
        <v>109</v>
      </c>
      <c r="C3242" t="s">
        <v>110</v>
      </c>
      <c r="D3242" t="s">
        <v>119</v>
      </c>
      <c r="E3242" t="s">
        <v>120</v>
      </c>
      <c r="F3242" t="s">
        <v>88</v>
      </c>
      <c r="G3242">
        <v>893</v>
      </c>
    </row>
    <row r="3243" spans="1:7" x14ac:dyDescent="0.2">
      <c r="A3243" t="s">
        <v>870</v>
      </c>
      <c r="B3243" t="s">
        <v>109</v>
      </c>
      <c r="C3243" t="s">
        <v>110</v>
      </c>
      <c r="D3243" t="s">
        <v>45</v>
      </c>
      <c r="G3243">
        <v>2</v>
      </c>
    </row>
    <row r="3244" spans="1:7" x14ac:dyDescent="0.2">
      <c r="A3244" t="s">
        <v>870</v>
      </c>
      <c r="B3244" t="s">
        <v>109</v>
      </c>
      <c r="C3244" t="s">
        <v>110</v>
      </c>
      <c r="D3244" t="s">
        <v>46</v>
      </c>
      <c r="G3244">
        <v>950</v>
      </c>
    </row>
    <row r="3245" spans="1:7" x14ac:dyDescent="0.2">
      <c r="A3245" t="s">
        <v>870</v>
      </c>
      <c r="B3245" t="s">
        <v>121</v>
      </c>
      <c r="C3245" t="s">
        <v>122</v>
      </c>
      <c r="D3245" t="s">
        <v>8</v>
      </c>
      <c r="G3245">
        <v>18979</v>
      </c>
    </row>
    <row r="3246" spans="1:7" x14ac:dyDescent="0.2">
      <c r="A3246" t="s">
        <v>870</v>
      </c>
      <c r="B3246" t="s">
        <v>121</v>
      </c>
      <c r="C3246" t="s">
        <v>122</v>
      </c>
      <c r="D3246" t="s">
        <v>123</v>
      </c>
      <c r="E3246" t="s">
        <v>124</v>
      </c>
      <c r="F3246" t="s">
        <v>22</v>
      </c>
      <c r="G3246">
        <v>12142</v>
      </c>
    </row>
    <row r="3247" spans="1:7" x14ac:dyDescent="0.2">
      <c r="A3247" t="s">
        <v>870</v>
      </c>
      <c r="B3247" t="s">
        <v>121</v>
      </c>
      <c r="C3247" t="s">
        <v>122</v>
      </c>
      <c r="D3247" t="s">
        <v>125</v>
      </c>
      <c r="E3247" t="s">
        <v>126</v>
      </c>
      <c r="F3247" t="s">
        <v>16</v>
      </c>
      <c r="G3247">
        <v>694</v>
      </c>
    </row>
    <row r="3248" spans="1:7" x14ac:dyDescent="0.2">
      <c r="A3248" t="s">
        <v>870</v>
      </c>
      <c r="B3248" t="s">
        <v>121</v>
      </c>
      <c r="C3248" t="s">
        <v>122</v>
      </c>
      <c r="D3248" t="s">
        <v>127</v>
      </c>
      <c r="E3248" t="s">
        <v>128</v>
      </c>
      <c r="F3248" t="s">
        <v>28</v>
      </c>
      <c r="G3248">
        <v>4924</v>
      </c>
    </row>
    <row r="3249" spans="1:7" x14ac:dyDescent="0.2">
      <c r="A3249" t="s">
        <v>870</v>
      </c>
      <c r="B3249" t="s">
        <v>121</v>
      </c>
      <c r="C3249" t="s">
        <v>122</v>
      </c>
      <c r="D3249" t="s">
        <v>45</v>
      </c>
      <c r="G3249">
        <v>0</v>
      </c>
    </row>
    <row r="3250" spans="1:7" x14ac:dyDescent="0.2">
      <c r="A3250" t="s">
        <v>870</v>
      </c>
      <c r="B3250" t="s">
        <v>121</v>
      </c>
      <c r="C3250" t="s">
        <v>122</v>
      </c>
      <c r="D3250" t="s">
        <v>46</v>
      </c>
      <c r="G3250">
        <v>1219</v>
      </c>
    </row>
    <row r="3251" spans="1:7" x14ac:dyDescent="0.2">
      <c r="A3251" t="s">
        <v>870</v>
      </c>
      <c r="B3251" t="s">
        <v>129</v>
      </c>
      <c r="C3251" t="s">
        <v>130</v>
      </c>
      <c r="D3251" t="s">
        <v>8</v>
      </c>
      <c r="G3251">
        <v>18979</v>
      </c>
    </row>
    <row r="3252" spans="1:7" x14ac:dyDescent="0.2">
      <c r="A3252" t="s">
        <v>870</v>
      </c>
      <c r="B3252" t="s">
        <v>129</v>
      </c>
      <c r="C3252" t="s">
        <v>130</v>
      </c>
      <c r="D3252" t="s">
        <v>131</v>
      </c>
      <c r="E3252" t="s">
        <v>132</v>
      </c>
      <c r="F3252" t="s">
        <v>133</v>
      </c>
      <c r="G3252">
        <v>685</v>
      </c>
    </row>
    <row r="3253" spans="1:7" x14ac:dyDescent="0.2">
      <c r="A3253" t="s">
        <v>870</v>
      </c>
      <c r="B3253" t="s">
        <v>129</v>
      </c>
      <c r="C3253" t="s">
        <v>130</v>
      </c>
      <c r="D3253" t="s">
        <v>134</v>
      </c>
      <c r="E3253" t="s">
        <v>135</v>
      </c>
      <c r="F3253" t="s">
        <v>22</v>
      </c>
      <c r="G3253">
        <v>12135</v>
      </c>
    </row>
    <row r="3254" spans="1:7" x14ac:dyDescent="0.2">
      <c r="A3254" t="s">
        <v>870</v>
      </c>
      <c r="B3254" t="s">
        <v>129</v>
      </c>
      <c r="C3254" t="s">
        <v>130</v>
      </c>
      <c r="D3254" t="s">
        <v>136</v>
      </c>
      <c r="E3254" t="s">
        <v>137</v>
      </c>
      <c r="F3254" t="s">
        <v>28</v>
      </c>
      <c r="G3254">
        <v>4808</v>
      </c>
    </row>
    <row r="3255" spans="1:7" x14ac:dyDescent="0.2">
      <c r="A3255" t="s">
        <v>870</v>
      </c>
      <c r="B3255" t="s">
        <v>129</v>
      </c>
      <c r="C3255" t="s">
        <v>130</v>
      </c>
      <c r="D3255" t="s">
        <v>45</v>
      </c>
      <c r="G3255">
        <v>1</v>
      </c>
    </row>
    <row r="3256" spans="1:7" x14ac:dyDescent="0.2">
      <c r="A3256" t="s">
        <v>870</v>
      </c>
      <c r="B3256" t="s">
        <v>129</v>
      </c>
      <c r="C3256" t="s">
        <v>130</v>
      </c>
      <c r="D3256" t="s">
        <v>46</v>
      </c>
      <c r="G3256">
        <v>1350</v>
      </c>
    </row>
    <row r="3257" spans="1:7" x14ac:dyDescent="0.2">
      <c r="A3257" t="s">
        <v>870</v>
      </c>
      <c r="B3257" t="s">
        <v>198</v>
      </c>
      <c r="C3257" t="s">
        <v>199</v>
      </c>
      <c r="D3257" t="s">
        <v>8</v>
      </c>
      <c r="G3257">
        <v>557</v>
      </c>
    </row>
    <row r="3258" spans="1:7" x14ac:dyDescent="0.2">
      <c r="A3258" t="s">
        <v>870</v>
      </c>
      <c r="B3258" t="s">
        <v>198</v>
      </c>
      <c r="C3258" t="s">
        <v>199</v>
      </c>
      <c r="D3258" t="s">
        <v>200</v>
      </c>
      <c r="E3258" t="s">
        <v>201</v>
      </c>
      <c r="F3258" t="s">
        <v>22</v>
      </c>
      <c r="G3258">
        <v>422</v>
      </c>
    </row>
    <row r="3259" spans="1:7" x14ac:dyDescent="0.2">
      <c r="A3259" t="s">
        <v>870</v>
      </c>
      <c r="B3259" t="s">
        <v>198</v>
      </c>
      <c r="C3259" t="s">
        <v>199</v>
      </c>
      <c r="D3259" t="s">
        <v>202</v>
      </c>
      <c r="E3259" t="s">
        <v>203</v>
      </c>
      <c r="F3259" t="s">
        <v>11</v>
      </c>
      <c r="G3259">
        <v>88</v>
      </c>
    </row>
    <row r="3260" spans="1:7" x14ac:dyDescent="0.2">
      <c r="A3260" t="s">
        <v>870</v>
      </c>
      <c r="B3260" t="s">
        <v>198</v>
      </c>
      <c r="C3260" t="s">
        <v>199</v>
      </c>
      <c r="D3260" t="s">
        <v>45</v>
      </c>
      <c r="G3260">
        <v>0</v>
      </c>
    </row>
    <row r="3261" spans="1:7" x14ac:dyDescent="0.2">
      <c r="A3261" t="s">
        <v>870</v>
      </c>
      <c r="B3261" t="s">
        <v>198</v>
      </c>
      <c r="C3261" t="s">
        <v>199</v>
      </c>
      <c r="D3261" t="s">
        <v>46</v>
      </c>
      <c r="G3261">
        <v>47</v>
      </c>
    </row>
    <row r="3262" spans="1:7" x14ac:dyDescent="0.2">
      <c r="A3262" t="s">
        <v>870</v>
      </c>
      <c r="B3262" t="s">
        <v>210</v>
      </c>
      <c r="C3262" t="s">
        <v>211</v>
      </c>
      <c r="D3262" t="s">
        <v>8</v>
      </c>
      <c r="G3262">
        <v>1902</v>
      </c>
    </row>
    <row r="3263" spans="1:7" x14ac:dyDescent="0.2">
      <c r="A3263" t="s">
        <v>870</v>
      </c>
      <c r="B3263" t="s">
        <v>210</v>
      </c>
      <c r="C3263" t="s">
        <v>211</v>
      </c>
      <c r="D3263" t="s">
        <v>212</v>
      </c>
      <c r="E3263" t="s">
        <v>213</v>
      </c>
      <c r="F3263" t="s">
        <v>11</v>
      </c>
      <c r="G3263">
        <v>50</v>
      </c>
    </row>
    <row r="3264" spans="1:7" x14ac:dyDescent="0.2">
      <c r="A3264" t="s">
        <v>870</v>
      </c>
      <c r="B3264" t="s">
        <v>210</v>
      </c>
      <c r="C3264" t="s">
        <v>211</v>
      </c>
      <c r="D3264" t="s">
        <v>214</v>
      </c>
      <c r="E3264" t="s">
        <v>215</v>
      </c>
      <c r="F3264" t="s">
        <v>28</v>
      </c>
      <c r="G3264">
        <v>418</v>
      </c>
    </row>
    <row r="3265" spans="1:7" x14ac:dyDescent="0.2">
      <c r="A3265" t="s">
        <v>870</v>
      </c>
      <c r="B3265" t="s">
        <v>210</v>
      </c>
      <c r="C3265" t="s">
        <v>211</v>
      </c>
      <c r="D3265" t="s">
        <v>216</v>
      </c>
      <c r="E3265" t="s">
        <v>217</v>
      </c>
      <c r="F3265" t="s">
        <v>22</v>
      </c>
      <c r="G3265">
        <v>1325</v>
      </c>
    </row>
    <row r="3266" spans="1:7" x14ac:dyDescent="0.2">
      <c r="A3266" t="s">
        <v>870</v>
      </c>
      <c r="B3266" t="s">
        <v>210</v>
      </c>
      <c r="C3266" t="s">
        <v>211</v>
      </c>
      <c r="D3266" t="s">
        <v>45</v>
      </c>
      <c r="G3266">
        <v>0</v>
      </c>
    </row>
    <row r="3267" spans="1:7" x14ac:dyDescent="0.2">
      <c r="A3267" t="s">
        <v>870</v>
      </c>
      <c r="B3267" t="s">
        <v>210</v>
      </c>
      <c r="C3267" t="s">
        <v>211</v>
      </c>
      <c r="D3267" t="s">
        <v>46</v>
      </c>
      <c r="G3267">
        <v>109</v>
      </c>
    </row>
    <row r="3268" spans="1:7" x14ac:dyDescent="0.2">
      <c r="A3268" t="s">
        <v>870</v>
      </c>
      <c r="B3268" t="s">
        <v>560</v>
      </c>
      <c r="C3268" t="s">
        <v>561</v>
      </c>
      <c r="D3268" t="s">
        <v>8</v>
      </c>
      <c r="G3268">
        <v>18979</v>
      </c>
    </row>
    <row r="3269" spans="1:7" x14ac:dyDescent="0.2">
      <c r="A3269" t="s">
        <v>870</v>
      </c>
      <c r="B3269" t="s">
        <v>560</v>
      </c>
      <c r="C3269" t="s">
        <v>561</v>
      </c>
      <c r="D3269" t="s">
        <v>562</v>
      </c>
      <c r="E3269" t="s">
        <v>563</v>
      </c>
      <c r="F3269" t="s">
        <v>28</v>
      </c>
      <c r="G3269">
        <v>5839</v>
      </c>
    </row>
    <row r="3270" spans="1:7" x14ac:dyDescent="0.2">
      <c r="A3270" t="s">
        <v>870</v>
      </c>
      <c r="B3270" t="s">
        <v>560</v>
      </c>
      <c r="C3270" t="s">
        <v>561</v>
      </c>
      <c r="D3270" t="s">
        <v>564</v>
      </c>
      <c r="E3270" t="s">
        <v>565</v>
      </c>
      <c r="F3270" t="s">
        <v>22</v>
      </c>
      <c r="G3270">
        <v>12246</v>
      </c>
    </row>
    <row r="3271" spans="1:7" x14ac:dyDescent="0.2">
      <c r="A3271" t="s">
        <v>870</v>
      </c>
      <c r="B3271" t="s">
        <v>560</v>
      </c>
      <c r="C3271" t="s">
        <v>561</v>
      </c>
      <c r="D3271" t="s">
        <v>45</v>
      </c>
      <c r="G3271">
        <v>4</v>
      </c>
    </row>
    <row r="3272" spans="1:7" x14ac:dyDescent="0.2">
      <c r="A3272" t="s">
        <v>870</v>
      </c>
      <c r="B3272" t="s">
        <v>560</v>
      </c>
      <c r="C3272" t="s">
        <v>561</v>
      </c>
      <c r="D3272" t="s">
        <v>46</v>
      </c>
      <c r="G3272">
        <v>890</v>
      </c>
    </row>
    <row r="3273" spans="1:7" x14ac:dyDescent="0.2">
      <c r="A3273" t="s">
        <v>870</v>
      </c>
      <c r="B3273" t="s">
        <v>678</v>
      </c>
      <c r="C3273" t="s">
        <v>679</v>
      </c>
      <c r="D3273" t="s">
        <v>8</v>
      </c>
      <c r="G3273">
        <v>18977</v>
      </c>
    </row>
    <row r="3274" spans="1:7" x14ac:dyDescent="0.2">
      <c r="A3274" t="s">
        <v>870</v>
      </c>
      <c r="B3274" t="s">
        <v>678</v>
      </c>
      <c r="C3274" t="s">
        <v>679</v>
      </c>
      <c r="D3274" t="s">
        <v>680</v>
      </c>
      <c r="E3274" t="s">
        <v>681</v>
      </c>
      <c r="F3274" t="s">
        <v>22</v>
      </c>
      <c r="G3274">
        <v>11819</v>
      </c>
    </row>
    <row r="3275" spans="1:7" x14ac:dyDescent="0.2">
      <c r="A3275" t="s">
        <v>870</v>
      </c>
      <c r="B3275" t="s">
        <v>678</v>
      </c>
      <c r="C3275" t="s">
        <v>679</v>
      </c>
      <c r="D3275" t="s">
        <v>682</v>
      </c>
      <c r="E3275" t="s">
        <v>683</v>
      </c>
      <c r="F3275" t="s">
        <v>11</v>
      </c>
      <c r="G3275">
        <v>4899</v>
      </c>
    </row>
    <row r="3276" spans="1:7" x14ac:dyDescent="0.2">
      <c r="A3276" t="s">
        <v>870</v>
      </c>
      <c r="B3276" t="s">
        <v>678</v>
      </c>
      <c r="C3276" t="s">
        <v>679</v>
      </c>
      <c r="D3276" t="s">
        <v>45</v>
      </c>
      <c r="G3276">
        <v>0</v>
      </c>
    </row>
    <row r="3277" spans="1:7" x14ac:dyDescent="0.2">
      <c r="A3277" t="s">
        <v>870</v>
      </c>
      <c r="B3277" t="s">
        <v>678</v>
      </c>
      <c r="C3277" t="s">
        <v>679</v>
      </c>
      <c r="D3277" t="s">
        <v>46</v>
      </c>
      <c r="G3277">
        <v>2259</v>
      </c>
    </row>
    <row r="3278" spans="1:7" x14ac:dyDescent="0.2">
      <c r="A3278" t="s">
        <v>870</v>
      </c>
      <c r="B3278" t="s">
        <v>692</v>
      </c>
      <c r="C3278" t="s">
        <v>693</v>
      </c>
      <c r="D3278" t="s">
        <v>8</v>
      </c>
      <c r="G3278">
        <v>18979</v>
      </c>
    </row>
    <row r="3279" spans="1:7" x14ac:dyDescent="0.2">
      <c r="A3279" t="s">
        <v>870</v>
      </c>
      <c r="B3279" t="s">
        <v>692</v>
      </c>
      <c r="C3279" t="s">
        <v>693</v>
      </c>
      <c r="D3279" t="s">
        <v>694</v>
      </c>
      <c r="E3279" t="s">
        <v>695</v>
      </c>
      <c r="G3279">
        <v>11381</v>
      </c>
    </row>
    <row r="3280" spans="1:7" x14ac:dyDescent="0.2">
      <c r="A3280" t="s">
        <v>870</v>
      </c>
      <c r="B3280" t="s">
        <v>692</v>
      </c>
      <c r="C3280" t="s">
        <v>693</v>
      </c>
      <c r="D3280" t="s">
        <v>696</v>
      </c>
      <c r="E3280" t="s">
        <v>697</v>
      </c>
      <c r="G3280">
        <v>2903</v>
      </c>
    </row>
    <row r="3281" spans="1:7" x14ac:dyDescent="0.2">
      <c r="A3281" t="s">
        <v>870</v>
      </c>
      <c r="B3281" t="s">
        <v>692</v>
      </c>
      <c r="C3281" t="s">
        <v>693</v>
      </c>
      <c r="D3281" t="s">
        <v>45</v>
      </c>
      <c r="G3281">
        <v>3</v>
      </c>
    </row>
    <row r="3282" spans="1:7" x14ac:dyDescent="0.2">
      <c r="A3282" t="s">
        <v>870</v>
      </c>
      <c r="B3282" t="s">
        <v>692</v>
      </c>
      <c r="C3282" t="s">
        <v>693</v>
      </c>
      <c r="D3282" t="s">
        <v>46</v>
      </c>
      <c r="G3282">
        <v>4692</v>
      </c>
    </row>
    <row r="3283" spans="1:7" x14ac:dyDescent="0.2">
      <c r="A3283" t="s">
        <v>870</v>
      </c>
      <c r="B3283" t="s">
        <v>698</v>
      </c>
      <c r="C3283" t="s">
        <v>699</v>
      </c>
      <c r="D3283" t="s">
        <v>8</v>
      </c>
      <c r="G3283">
        <v>18979</v>
      </c>
    </row>
    <row r="3284" spans="1:7" x14ac:dyDescent="0.2">
      <c r="A3284" t="s">
        <v>870</v>
      </c>
      <c r="B3284" t="s">
        <v>698</v>
      </c>
      <c r="C3284" t="s">
        <v>699</v>
      </c>
      <c r="D3284" t="s">
        <v>694</v>
      </c>
      <c r="E3284" t="s">
        <v>700</v>
      </c>
      <c r="G3284">
        <v>11203</v>
      </c>
    </row>
    <row r="3285" spans="1:7" x14ac:dyDescent="0.2">
      <c r="A3285" t="s">
        <v>870</v>
      </c>
      <c r="B3285" t="s">
        <v>698</v>
      </c>
      <c r="C3285" t="s">
        <v>699</v>
      </c>
      <c r="D3285" t="s">
        <v>696</v>
      </c>
      <c r="E3285" t="s">
        <v>701</v>
      </c>
      <c r="G3285">
        <v>2871</v>
      </c>
    </row>
    <row r="3286" spans="1:7" x14ac:dyDescent="0.2">
      <c r="A3286" t="s">
        <v>870</v>
      </c>
      <c r="B3286" t="s">
        <v>698</v>
      </c>
      <c r="C3286" t="s">
        <v>699</v>
      </c>
      <c r="D3286" t="s">
        <v>45</v>
      </c>
      <c r="G3286">
        <v>3</v>
      </c>
    </row>
    <row r="3287" spans="1:7" x14ac:dyDescent="0.2">
      <c r="A3287" t="s">
        <v>870</v>
      </c>
      <c r="B3287" t="s">
        <v>698</v>
      </c>
      <c r="C3287" t="s">
        <v>699</v>
      </c>
      <c r="D3287" t="s">
        <v>46</v>
      </c>
      <c r="G3287">
        <v>4902</v>
      </c>
    </row>
    <row r="3288" spans="1:7" x14ac:dyDescent="0.2">
      <c r="A3288" t="s">
        <v>870</v>
      </c>
      <c r="B3288" t="s">
        <v>762</v>
      </c>
      <c r="C3288" t="s">
        <v>763</v>
      </c>
      <c r="D3288" t="s">
        <v>8</v>
      </c>
      <c r="G3288">
        <v>18979</v>
      </c>
    </row>
    <row r="3289" spans="1:7" x14ac:dyDescent="0.2">
      <c r="A3289" t="s">
        <v>870</v>
      </c>
      <c r="B3289" t="s">
        <v>762</v>
      </c>
      <c r="C3289" t="s">
        <v>763</v>
      </c>
      <c r="D3289" t="s">
        <v>694</v>
      </c>
      <c r="E3289" t="s">
        <v>764</v>
      </c>
      <c r="G3289">
        <v>10613</v>
      </c>
    </row>
    <row r="3290" spans="1:7" x14ac:dyDescent="0.2">
      <c r="A3290" t="s">
        <v>870</v>
      </c>
      <c r="B3290" t="s">
        <v>762</v>
      </c>
      <c r="C3290" t="s">
        <v>763</v>
      </c>
      <c r="D3290" t="s">
        <v>696</v>
      </c>
      <c r="E3290" t="s">
        <v>765</v>
      </c>
      <c r="G3290">
        <v>3396</v>
      </c>
    </row>
    <row r="3291" spans="1:7" x14ac:dyDescent="0.2">
      <c r="A3291" t="s">
        <v>870</v>
      </c>
      <c r="B3291" t="s">
        <v>762</v>
      </c>
      <c r="C3291" t="s">
        <v>763</v>
      </c>
      <c r="D3291" t="s">
        <v>45</v>
      </c>
      <c r="G3291">
        <v>6</v>
      </c>
    </row>
    <row r="3292" spans="1:7" x14ac:dyDescent="0.2">
      <c r="A3292" t="s">
        <v>870</v>
      </c>
      <c r="B3292" t="s">
        <v>762</v>
      </c>
      <c r="C3292" t="s">
        <v>763</v>
      </c>
      <c r="D3292" t="s">
        <v>46</v>
      </c>
      <c r="G3292">
        <v>4964</v>
      </c>
    </row>
    <row r="3293" spans="1:7" x14ac:dyDescent="0.2">
      <c r="A3293" t="s">
        <v>870</v>
      </c>
      <c r="B3293" t="s">
        <v>766</v>
      </c>
      <c r="C3293" t="s">
        <v>767</v>
      </c>
      <c r="D3293" t="s">
        <v>8</v>
      </c>
      <c r="G3293">
        <v>18979</v>
      </c>
    </row>
    <row r="3294" spans="1:7" x14ac:dyDescent="0.2">
      <c r="A3294" t="s">
        <v>870</v>
      </c>
      <c r="B3294" t="s">
        <v>766</v>
      </c>
      <c r="C3294" t="s">
        <v>767</v>
      </c>
      <c r="D3294" t="s">
        <v>694</v>
      </c>
      <c r="E3294" t="s">
        <v>768</v>
      </c>
      <c r="G3294">
        <v>11247</v>
      </c>
    </row>
    <row r="3295" spans="1:7" x14ac:dyDescent="0.2">
      <c r="A3295" t="s">
        <v>870</v>
      </c>
      <c r="B3295" t="s">
        <v>766</v>
      </c>
      <c r="C3295" t="s">
        <v>767</v>
      </c>
      <c r="D3295" t="s">
        <v>696</v>
      </c>
      <c r="E3295" t="s">
        <v>769</v>
      </c>
      <c r="G3295">
        <v>2916</v>
      </c>
    </row>
    <row r="3296" spans="1:7" x14ac:dyDescent="0.2">
      <c r="A3296" t="s">
        <v>870</v>
      </c>
      <c r="B3296" t="s">
        <v>766</v>
      </c>
      <c r="C3296" t="s">
        <v>767</v>
      </c>
      <c r="D3296" t="s">
        <v>45</v>
      </c>
      <c r="G3296">
        <v>4</v>
      </c>
    </row>
    <row r="3297" spans="1:7" x14ac:dyDescent="0.2">
      <c r="A3297" t="s">
        <v>870</v>
      </c>
      <c r="B3297" t="s">
        <v>766</v>
      </c>
      <c r="C3297" t="s">
        <v>767</v>
      </c>
      <c r="D3297" t="s">
        <v>46</v>
      </c>
      <c r="G3297">
        <v>4812</v>
      </c>
    </row>
    <row r="3298" spans="1:7" x14ac:dyDescent="0.2">
      <c r="A3298" t="s">
        <v>870</v>
      </c>
      <c r="B3298" t="s">
        <v>770</v>
      </c>
      <c r="C3298" t="s">
        <v>771</v>
      </c>
      <c r="D3298" t="s">
        <v>8</v>
      </c>
      <c r="G3298">
        <v>18979</v>
      </c>
    </row>
    <row r="3299" spans="1:7" x14ac:dyDescent="0.2">
      <c r="A3299" t="s">
        <v>870</v>
      </c>
      <c r="B3299" t="s">
        <v>770</v>
      </c>
      <c r="C3299" t="s">
        <v>771</v>
      </c>
      <c r="D3299" t="s">
        <v>694</v>
      </c>
      <c r="E3299" t="s">
        <v>772</v>
      </c>
      <c r="G3299">
        <v>10464</v>
      </c>
    </row>
    <row r="3300" spans="1:7" x14ac:dyDescent="0.2">
      <c r="A3300" t="s">
        <v>870</v>
      </c>
      <c r="B3300" t="s">
        <v>770</v>
      </c>
      <c r="C3300" t="s">
        <v>771</v>
      </c>
      <c r="D3300" t="s">
        <v>696</v>
      </c>
      <c r="E3300" t="s">
        <v>773</v>
      </c>
      <c r="G3300">
        <v>3970</v>
      </c>
    </row>
    <row r="3301" spans="1:7" x14ac:dyDescent="0.2">
      <c r="A3301" t="s">
        <v>870</v>
      </c>
      <c r="B3301" t="s">
        <v>770</v>
      </c>
      <c r="C3301" t="s">
        <v>771</v>
      </c>
      <c r="D3301" t="s">
        <v>45</v>
      </c>
      <c r="G3301">
        <v>5</v>
      </c>
    </row>
    <row r="3302" spans="1:7" x14ac:dyDescent="0.2">
      <c r="A3302" t="s">
        <v>870</v>
      </c>
      <c r="B3302" t="s">
        <v>770</v>
      </c>
      <c r="C3302" t="s">
        <v>771</v>
      </c>
      <c r="D3302" t="s">
        <v>46</v>
      </c>
      <c r="G3302">
        <v>4540</v>
      </c>
    </row>
    <row r="3303" spans="1:7" x14ac:dyDescent="0.2">
      <c r="A3303" t="s">
        <v>870</v>
      </c>
      <c r="B3303" t="s">
        <v>774</v>
      </c>
      <c r="C3303" t="s">
        <v>775</v>
      </c>
      <c r="D3303" t="s">
        <v>8</v>
      </c>
      <c r="G3303">
        <v>18979</v>
      </c>
    </row>
    <row r="3304" spans="1:7" x14ac:dyDescent="0.2">
      <c r="A3304" t="s">
        <v>870</v>
      </c>
      <c r="B3304" t="s">
        <v>774</v>
      </c>
      <c r="C3304" t="s">
        <v>775</v>
      </c>
      <c r="D3304" t="s">
        <v>694</v>
      </c>
      <c r="E3304" t="s">
        <v>776</v>
      </c>
      <c r="G3304">
        <v>10955</v>
      </c>
    </row>
    <row r="3305" spans="1:7" x14ac:dyDescent="0.2">
      <c r="A3305" t="s">
        <v>870</v>
      </c>
      <c r="B3305" t="s">
        <v>774</v>
      </c>
      <c r="C3305" t="s">
        <v>775</v>
      </c>
      <c r="D3305" t="s">
        <v>696</v>
      </c>
      <c r="E3305" t="s">
        <v>777</v>
      </c>
      <c r="G3305">
        <v>3001</v>
      </c>
    </row>
    <row r="3306" spans="1:7" x14ac:dyDescent="0.2">
      <c r="A3306" t="s">
        <v>870</v>
      </c>
      <c r="B3306" t="s">
        <v>774</v>
      </c>
      <c r="C3306" t="s">
        <v>775</v>
      </c>
      <c r="D3306" t="s">
        <v>45</v>
      </c>
      <c r="G3306">
        <v>7</v>
      </c>
    </row>
    <row r="3307" spans="1:7" x14ac:dyDescent="0.2">
      <c r="A3307" t="s">
        <v>870</v>
      </c>
      <c r="B3307" t="s">
        <v>774</v>
      </c>
      <c r="C3307" t="s">
        <v>775</v>
      </c>
      <c r="D3307" t="s">
        <v>46</v>
      </c>
      <c r="G3307">
        <v>5016</v>
      </c>
    </row>
    <row r="3308" spans="1:7" x14ac:dyDescent="0.2">
      <c r="A3308" t="s">
        <v>870</v>
      </c>
      <c r="B3308" t="s">
        <v>778</v>
      </c>
      <c r="C3308" t="s">
        <v>779</v>
      </c>
      <c r="D3308" t="s">
        <v>8</v>
      </c>
      <c r="G3308">
        <v>18979</v>
      </c>
    </row>
    <row r="3309" spans="1:7" x14ac:dyDescent="0.2">
      <c r="A3309" t="s">
        <v>870</v>
      </c>
      <c r="B3309" t="s">
        <v>778</v>
      </c>
      <c r="C3309" t="s">
        <v>779</v>
      </c>
      <c r="D3309" t="s">
        <v>694</v>
      </c>
      <c r="E3309" t="s">
        <v>780</v>
      </c>
      <c r="G3309">
        <v>11116</v>
      </c>
    </row>
    <row r="3310" spans="1:7" x14ac:dyDescent="0.2">
      <c r="A3310" t="s">
        <v>870</v>
      </c>
      <c r="B3310" t="s">
        <v>778</v>
      </c>
      <c r="C3310" t="s">
        <v>779</v>
      </c>
      <c r="D3310" t="s">
        <v>696</v>
      </c>
      <c r="E3310" t="s">
        <v>781</v>
      </c>
      <c r="G3310">
        <v>2882</v>
      </c>
    </row>
    <row r="3311" spans="1:7" x14ac:dyDescent="0.2">
      <c r="A3311" t="s">
        <v>870</v>
      </c>
      <c r="B3311" t="s">
        <v>778</v>
      </c>
      <c r="C3311" t="s">
        <v>779</v>
      </c>
      <c r="D3311" t="s">
        <v>45</v>
      </c>
      <c r="G3311">
        <v>2</v>
      </c>
    </row>
    <row r="3312" spans="1:7" x14ac:dyDescent="0.2">
      <c r="A3312" t="s">
        <v>870</v>
      </c>
      <c r="B3312" t="s">
        <v>778</v>
      </c>
      <c r="C3312" t="s">
        <v>779</v>
      </c>
      <c r="D3312" t="s">
        <v>46</v>
      </c>
      <c r="G3312">
        <v>4979</v>
      </c>
    </row>
    <row r="3313" spans="1:7" x14ac:dyDescent="0.2">
      <c r="A3313" t="s">
        <v>870</v>
      </c>
      <c r="B3313" t="s">
        <v>782</v>
      </c>
      <c r="C3313" t="s">
        <v>783</v>
      </c>
      <c r="D3313" t="s">
        <v>8</v>
      </c>
      <c r="G3313">
        <v>18979</v>
      </c>
    </row>
    <row r="3314" spans="1:7" x14ac:dyDescent="0.2">
      <c r="A3314" t="s">
        <v>870</v>
      </c>
      <c r="B3314" t="s">
        <v>782</v>
      </c>
      <c r="C3314" t="s">
        <v>783</v>
      </c>
      <c r="D3314" t="s">
        <v>694</v>
      </c>
      <c r="E3314" t="s">
        <v>784</v>
      </c>
      <c r="G3314">
        <v>10883</v>
      </c>
    </row>
    <row r="3315" spans="1:7" x14ac:dyDescent="0.2">
      <c r="A3315" t="s">
        <v>870</v>
      </c>
      <c r="B3315" t="s">
        <v>782</v>
      </c>
      <c r="C3315" t="s">
        <v>783</v>
      </c>
      <c r="D3315" t="s">
        <v>696</v>
      </c>
      <c r="E3315" t="s">
        <v>785</v>
      </c>
      <c r="G3315">
        <v>3466</v>
      </c>
    </row>
    <row r="3316" spans="1:7" x14ac:dyDescent="0.2">
      <c r="A3316" t="s">
        <v>870</v>
      </c>
      <c r="B3316" t="s">
        <v>782</v>
      </c>
      <c r="C3316" t="s">
        <v>783</v>
      </c>
      <c r="D3316" t="s">
        <v>45</v>
      </c>
      <c r="G3316">
        <v>3</v>
      </c>
    </row>
    <row r="3317" spans="1:7" x14ac:dyDescent="0.2">
      <c r="A3317" t="s">
        <v>870</v>
      </c>
      <c r="B3317" t="s">
        <v>782</v>
      </c>
      <c r="C3317" t="s">
        <v>783</v>
      </c>
      <c r="D3317" t="s">
        <v>46</v>
      </c>
      <c r="G3317">
        <v>4627</v>
      </c>
    </row>
    <row r="3318" spans="1:7" x14ac:dyDescent="0.2">
      <c r="A3318" t="s">
        <v>870</v>
      </c>
      <c r="B3318" t="s">
        <v>826</v>
      </c>
      <c r="C3318" t="s">
        <v>827</v>
      </c>
      <c r="D3318" t="s">
        <v>8</v>
      </c>
      <c r="G3318">
        <v>18979</v>
      </c>
    </row>
    <row r="3319" spans="1:7" x14ac:dyDescent="0.2">
      <c r="A3319" t="s">
        <v>870</v>
      </c>
      <c r="B3319" t="s">
        <v>826</v>
      </c>
      <c r="C3319" t="s">
        <v>827</v>
      </c>
      <c r="D3319" t="s">
        <v>694</v>
      </c>
      <c r="E3319" t="s">
        <v>828</v>
      </c>
      <c r="G3319">
        <v>11085</v>
      </c>
    </row>
    <row r="3320" spans="1:7" x14ac:dyDescent="0.2">
      <c r="A3320" t="s">
        <v>870</v>
      </c>
      <c r="B3320" t="s">
        <v>826</v>
      </c>
      <c r="C3320" t="s">
        <v>827</v>
      </c>
      <c r="D3320" t="s">
        <v>696</v>
      </c>
      <c r="E3320" t="s">
        <v>829</v>
      </c>
      <c r="G3320">
        <v>2959</v>
      </c>
    </row>
    <row r="3321" spans="1:7" x14ac:dyDescent="0.2">
      <c r="A3321" t="s">
        <v>870</v>
      </c>
      <c r="B3321" t="s">
        <v>826</v>
      </c>
      <c r="C3321" t="s">
        <v>827</v>
      </c>
      <c r="D3321" t="s">
        <v>45</v>
      </c>
      <c r="G3321">
        <v>3</v>
      </c>
    </row>
    <row r="3322" spans="1:7" x14ac:dyDescent="0.2">
      <c r="A3322" t="s">
        <v>870</v>
      </c>
      <c r="B3322" t="s">
        <v>826</v>
      </c>
      <c r="C3322" t="s">
        <v>827</v>
      </c>
      <c r="D3322" t="s">
        <v>46</v>
      </c>
      <c r="G3322">
        <v>4932</v>
      </c>
    </row>
    <row r="3323" spans="1:7" x14ac:dyDescent="0.2">
      <c r="A3323" t="s">
        <v>870</v>
      </c>
      <c r="B3323" t="s">
        <v>834</v>
      </c>
      <c r="C3323" t="s">
        <v>835</v>
      </c>
      <c r="D3323" t="s">
        <v>8</v>
      </c>
      <c r="G3323">
        <v>18979</v>
      </c>
    </row>
    <row r="3324" spans="1:7" x14ac:dyDescent="0.2">
      <c r="A3324" t="s">
        <v>870</v>
      </c>
      <c r="B3324" t="s">
        <v>834</v>
      </c>
      <c r="C3324" t="s">
        <v>835</v>
      </c>
      <c r="D3324" t="s">
        <v>836</v>
      </c>
      <c r="E3324" t="s">
        <v>837</v>
      </c>
      <c r="G3324">
        <v>11418</v>
      </c>
    </row>
    <row r="3325" spans="1:7" x14ac:dyDescent="0.2">
      <c r="A3325" t="s">
        <v>870</v>
      </c>
      <c r="B3325" t="s">
        <v>834</v>
      </c>
      <c r="C3325" t="s">
        <v>835</v>
      </c>
      <c r="D3325" t="s">
        <v>838</v>
      </c>
      <c r="E3325" t="s">
        <v>839</v>
      </c>
      <c r="G3325">
        <v>6040</v>
      </c>
    </row>
    <row r="3326" spans="1:7" x14ac:dyDescent="0.2">
      <c r="A3326" t="s">
        <v>870</v>
      </c>
      <c r="B3326" t="s">
        <v>834</v>
      </c>
      <c r="C3326" t="s">
        <v>835</v>
      </c>
      <c r="D3326" t="s">
        <v>45</v>
      </c>
      <c r="G3326">
        <v>5</v>
      </c>
    </row>
    <row r="3327" spans="1:7" x14ac:dyDescent="0.2">
      <c r="A3327" t="s">
        <v>870</v>
      </c>
      <c r="B3327" t="s">
        <v>834</v>
      </c>
      <c r="C3327" t="s">
        <v>835</v>
      </c>
      <c r="D3327" t="s">
        <v>46</v>
      </c>
      <c r="G3327">
        <v>1516</v>
      </c>
    </row>
    <row r="3328" spans="1:7" x14ac:dyDescent="0.2">
      <c r="A3328" t="s">
        <v>870</v>
      </c>
      <c r="B3328" t="s">
        <v>840</v>
      </c>
      <c r="C3328" t="s">
        <v>841</v>
      </c>
      <c r="D3328" t="s">
        <v>8</v>
      </c>
      <c r="G3328">
        <v>18979</v>
      </c>
    </row>
    <row r="3329" spans="1:7" x14ac:dyDescent="0.2">
      <c r="A3329" t="s">
        <v>870</v>
      </c>
      <c r="B3329" t="s">
        <v>840</v>
      </c>
      <c r="C3329" t="s">
        <v>841</v>
      </c>
      <c r="D3329" t="s">
        <v>836</v>
      </c>
      <c r="E3329" t="s">
        <v>842</v>
      </c>
      <c r="G3329">
        <v>14692</v>
      </c>
    </row>
    <row r="3330" spans="1:7" x14ac:dyDescent="0.2">
      <c r="A3330" t="s">
        <v>870</v>
      </c>
      <c r="B3330" t="s">
        <v>840</v>
      </c>
      <c r="C3330" t="s">
        <v>841</v>
      </c>
      <c r="D3330" t="s">
        <v>838</v>
      </c>
      <c r="E3330" t="s">
        <v>843</v>
      </c>
      <c r="G3330">
        <v>2893</v>
      </c>
    </row>
    <row r="3331" spans="1:7" x14ac:dyDescent="0.2">
      <c r="A3331" t="s">
        <v>870</v>
      </c>
      <c r="B3331" t="s">
        <v>840</v>
      </c>
      <c r="C3331" t="s">
        <v>841</v>
      </c>
      <c r="D3331" t="s">
        <v>45</v>
      </c>
      <c r="G3331">
        <v>4</v>
      </c>
    </row>
    <row r="3332" spans="1:7" x14ac:dyDescent="0.2">
      <c r="A3332" t="s">
        <v>870</v>
      </c>
      <c r="B3332" t="s">
        <v>840</v>
      </c>
      <c r="C3332" t="s">
        <v>841</v>
      </c>
      <c r="D3332" t="s">
        <v>46</v>
      </c>
      <c r="G3332">
        <v>1390</v>
      </c>
    </row>
    <row r="3333" spans="1:7" x14ac:dyDescent="0.2">
      <c r="A3333" t="s">
        <v>871</v>
      </c>
      <c r="B3333" t="s">
        <v>6</v>
      </c>
      <c r="C3333" t="s">
        <v>7</v>
      </c>
      <c r="D3333" t="s">
        <v>8</v>
      </c>
      <c r="G3333">
        <v>99137</v>
      </c>
    </row>
    <row r="3334" spans="1:7" x14ac:dyDescent="0.2">
      <c r="A3334" t="s">
        <v>871</v>
      </c>
      <c r="B3334" t="s">
        <v>6</v>
      </c>
      <c r="C3334" t="s">
        <v>7</v>
      </c>
      <c r="D3334" t="s">
        <v>9</v>
      </c>
      <c r="E3334" t="s">
        <v>10</v>
      </c>
      <c r="F3334" t="s">
        <v>11</v>
      </c>
      <c r="G3334">
        <v>81</v>
      </c>
    </row>
    <row r="3335" spans="1:7" x14ac:dyDescent="0.2">
      <c r="A3335" t="s">
        <v>871</v>
      </c>
      <c r="B3335" t="s">
        <v>6</v>
      </c>
      <c r="C3335" t="s">
        <v>7</v>
      </c>
      <c r="D3335" t="s">
        <v>12</v>
      </c>
      <c r="E3335" t="s">
        <v>13</v>
      </c>
      <c r="F3335" t="s">
        <v>11</v>
      </c>
      <c r="G3335">
        <v>105</v>
      </c>
    </row>
    <row r="3336" spans="1:7" x14ac:dyDescent="0.2">
      <c r="A3336" t="s">
        <v>871</v>
      </c>
      <c r="B3336" t="s">
        <v>6</v>
      </c>
      <c r="C3336" t="s">
        <v>7</v>
      </c>
      <c r="D3336" t="s">
        <v>14</v>
      </c>
      <c r="E3336" t="s">
        <v>15</v>
      </c>
      <c r="F3336" t="s">
        <v>16</v>
      </c>
      <c r="G3336">
        <v>447</v>
      </c>
    </row>
    <row r="3337" spans="1:7" x14ac:dyDescent="0.2">
      <c r="A3337" t="s">
        <v>871</v>
      </c>
      <c r="B3337" t="s">
        <v>6</v>
      </c>
      <c r="C3337" t="s">
        <v>7</v>
      </c>
      <c r="D3337" t="s">
        <v>17</v>
      </c>
      <c r="E3337" t="s">
        <v>18</v>
      </c>
      <c r="F3337" t="s">
        <v>19</v>
      </c>
      <c r="G3337">
        <v>294</v>
      </c>
    </row>
    <row r="3338" spans="1:7" x14ac:dyDescent="0.2">
      <c r="A3338" t="s">
        <v>871</v>
      </c>
      <c r="B3338" t="s">
        <v>6</v>
      </c>
      <c r="C3338" t="s">
        <v>7</v>
      </c>
      <c r="D3338" t="s">
        <v>20</v>
      </c>
      <c r="E3338" t="s">
        <v>21</v>
      </c>
      <c r="F3338" t="s">
        <v>22</v>
      </c>
      <c r="G3338">
        <v>73165</v>
      </c>
    </row>
    <row r="3339" spans="1:7" x14ac:dyDescent="0.2">
      <c r="A3339" t="s">
        <v>871</v>
      </c>
      <c r="B3339" t="s">
        <v>6</v>
      </c>
      <c r="C3339" t="s">
        <v>7</v>
      </c>
      <c r="D3339" t="s">
        <v>23</v>
      </c>
      <c r="E3339" t="s">
        <v>24</v>
      </c>
      <c r="F3339" t="s">
        <v>25</v>
      </c>
      <c r="G3339">
        <v>719</v>
      </c>
    </row>
    <row r="3340" spans="1:7" x14ac:dyDescent="0.2">
      <c r="A3340" t="s">
        <v>871</v>
      </c>
      <c r="B3340" t="s">
        <v>6</v>
      </c>
      <c r="C3340" t="s">
        <v>7</v>
      </c>
      <c r="D3340" t="s">
        <v>26</v>
      </c>
      <c r="E3340" t="s">
        <v>27</v>
      </c>
      <c r="F3340" t="s">
        <v>28</v>
      </c>
      <c r="G3340">
        <v>22327</v>
      </c>
    </row>
    <row r="3341" spans="1:7" x14ac:dyDescent="0.2">
      <c r="A3341" t="s">
        <v>871</v>
      </c>
      <c r="B3341" t="s">
        <v>6</v>
      </c>
      <c r="C3341" t="s">
        <v>7</v>
      </c>
      <c r="D3341" t="s">
        <v>29</v>
      </c>
      <c r="E3341" t="s">
        <v>30</v>
      </c>
      <c r="F3341" t="s">
        <v>11</v>
      </c>
      <c r="G3341">
        <v>105</v>
      </c>
    </row>
    <row r="3342" spans="1:7" x14ac:dyDescent="0.2">
      <c r="A3342" t="s">
        <v>871</v>
      </c>
      <c r="B3342" t="s">
        <v>6</v>
      </c>
      <c r="C3342" t="s">
        <v>7</v>
      </c>
      <c r="D3342" t="s">
        <v>31</v>
      </c>
      <c r="E3342" t="s">
        <v>32</v>
      </c>
      <c r="F3342" t="s">
        <v>11</v>
      </c>
      <c r="G3342">
        <v>0</v>
      </c>
    </row>
    <row r="3343" spans="1:7" x14ac:dyDescent="0.2">
      <c r="A3343" t="s">
        <v>871</v>
      </c>
      <c r="B3343" t="s">
        <v>6</v>
      </c>
      <c r="C3343" t="s">
        <v>7</v>
      </c>
      <c r="D3343" t="s">
        <v>33</v>
      </c>
      <c r="E3343" t="s">
        <v>34</v>
      </c>
      <c r="F3343" t="s">
        <v>11</v>
      </c>
      <c r="G3343">
        <v>11</v>
      </c>
    </row>
    <row r="3344" spans="1:7" x14ac:dyDescent="0.2">
      <c r="A3344" t="s">
        <v>871</v>
      </c>
      <c r="B3344" t="s">
        <v>6</v>
      </c>
      <c r="C3344" t="s">
        <v>7</v>
      </c>
      <c r="D3344" t="s">
        <v>35</v>
      </c>
      <c r="E3344" t="s">
        <v>36</v>
      </c>
      <c r="F3344" t="s">
        <v>11</v>
      </c>
      <c r="G3344">
        <v>1</v>
      </c>
    </row>
    <row r="3345" spans="1:7" x14ac:dyDescent="0.2">
      <c r="A3345" t="s">
        <v>871</v>
      </c>
      <c r="B3345" t="s">
        <v>6</v>
      </c>
      <c r="C3345" t="s">
        <v>7</v>
      </c>
      <c r="D3345" t="s">
        <v>37</v>
      </c>
      <c r="E3345" t="s">
        <v>38</v>
      </c>
      <c r="F3345" t="s">
        <v>11</v>
      </c>
      <c r="G3345">
        <v>1</v>
      </c>
    </row>
    <row r="3346" spans="1:7" x14ac:dyDescent="0.2">
      <c r="A3346" t="s">
        <v>871</v>
      </c>
      <c r="B3346" t="s">
        <v>6</v>
      </c>
      <c r="C3346" t="s">
        <v>7</v>
      </c>
      <c r="D3346" t="s">
        <v>39</v>
      </c>
      <c r="E3346" t="s">
        <v>40</v>
      </c>
      <c r="F3346" t="s">
        <v>11</v>
      </c>
      <c r="G3346">
        <v>0</v>
      </c>
    </row>
    <row r="3347" spans="1:7" x14ac:dyDescent="0.2">
      <c r="A3347" t="s">
        <v>871</v>
      </c>
      <c r="B3347" t="s">
        <v>6</v>
      </c>
      <c r="C3347" t="s">
        <v>7</v>
      </c>
      <c r="D3347" t="s">
        <v>41</v>
      </c>
      <c r="E3347" t="s">
        <v>42</v>
      </c>
      <c r="F3347" t="s">
        <v>11</v>
      </c>
      <c r="G3347">
        <v>0</v>
      </c>
    </row>
    <row r="3348" spans="1:7" x14ac:dyDescent="0.2">
      <c r="A3348" t="s">
        <v>871</v>
      </c>
      <c r="B3348" t="s">
        <v>6</v>
      </c>
      <c r="C3348" t="s">
        <v>7</v>
      </c>
      <c r="D3348" t="s">
        <v>43</v>
      </c>
      <c r="E3348" t="s">
        <v>44</v>
      </c>
      <c r="F3348" t="s">
        <v>11</v>
      </c>
      <c r="G3348">
        <v>0</v>
      </c>
    </row>
    <row r="3349" spans="1:7" x14ac:dyDescent="0.2">
      <c r="A3349" t="s">
        <v>871</v>
      </c>
      <c r="B3349" t="s">
        <v>6</v>
      </c>
      <c r="C3349" t="s">
        <v>7</v>
      </c>
      <c r="D3349" t="s">
        <v>45</v>
      </c>
      <c r="G3349">
        <v>38</v>
      </c>
    </row>
    <row r="3350" spans="1:7" x14ac:dyDescent="0.2">
      <c r="A3350" t="s">
        <v>871</v>
      </c>
      <c r="B3350" t="s">
        <v>6</v>
      </c>
      <c r="C3350" t="s">
        <v>7</v>
      </c>
      <c r="D3350" t="s">
        <v>46</v>
      </c>
      <c r="G3350">
        <v>747</v>
      </c>
    </row>
    <row r="3351" spans="1:7" x14ac:dyDescent="0.2">
      <c r="A3351" t="s">
        <v>871</v>
      </c>
      <c r="B3351" t="s">
        <v>47</v>
      </c>
      <c r="C3351" t="s">
        <v>48</v>
      </c>
      <c r="D3351" t="s">
        <v>8</v>
      </c>
      <c r="G3351">
        <v>99137</v>
      </c>
    </row>
    <row r="3352" spans="1:7" x14ac:dyDescent="0.2">
      <c r="A3352" t="s">
        <v>871</v>
      </c>
      <c r="B3352" t="s">
        <v>47</v>
      </c>
      <c r="C3352" t="s">
        <v>48</v>
      </c>
      <c r="D3352" t="s">
        <v>49</v>
      </c>
      <c r="E3352" t="s">
        <v>50</v>
      </c>
      <c r="F3352" t="s">
        <v>51</v>
      </c>
      <c r="G3352">
        <v>7085</v>
      </c>
    </row>
    <row r="3353" spans="1:7" x14ac:dyDescent="0.2">
      <c r="A3353" t="s">
        <v>871</v>
      </c>
      <c r="B3353" t="s">
        <v>47</v>
      </c>
      <c r="C3353" t="s">
        <v>48</v>
      </c>
      <c r="D3353" t="s">
        <v>52</v>
      </c>
      <c r="E3353" t="s">
        <v>53</v>
      </c>
      <c r="F3353" t="s">
        <v>22</v>
      </c>
      <c r="G3353">
        <v>69743</v>
      </c>
    </row>
    <row r="3354" spans="1:7" x14ac:dyDescent="0.2">
      <c r="A3354" t="s">
        <v>871</v>
      </c>
      <c r="B3354" t="s">
        <v>47</v>
      </c>
      <c r="C3354" t="s">
        <v>48</v>
      </c>
      <c r="D3354" t="s">
        <v>54</v>
      </c>
      <c r="E3354" t="s">
        <v>55</v>
      </c>
      <c r="F3354" t="s">
        <v>28</v>
      </c>
      <c r="G3354">
        <v>18607</v>
      </c>
    </row>
    <row r="3355" spans="1:7" x14ac:dyDescent="0.2">
      <c r="A3355" t="s">
        <v>871</v>
      </c>
      <c r="B3355" t="s">
        <v>47</v>
      </c>
      <c r="C3355" t="s">
        <v>48</v>
      </c>
      <c r="D3355" t="s">
        <v>56</v>
      </c>
      <c r="E3355" t="s">
        <v>57</v>
      </c>
      <c r="F3355" t="s">
        <v>11</v>
      </c>
      <c r="G3355">
        <v>18</v>
      </c>
    </row>
    <row r="3356" spans="1:7" x14ac:dyDescent="0.2">
      <c r="A3356" t="s">
        <v>871</v>
      </c>
      <c r="B3356" t="s">
        <v>47</v>
      </c>
      <c r="C3356" t="s">
        <v>48</v>
      </c>
      <c r="D3356" t="s">
        <v>45</v>
      </c>
      <c r="G3356">
        <v>5</v>
      </c>
    </row>
    <row r="3357" spans="1:7" x14ac:dyDescent="0.2">
      <c r="A3357" t="s">
        <v>871</v>
      </c>
      <c r="B3357" t="s">
        <v>47</v>
      </c>
      <c r="C3357" t="s">
        <v>48</v>
      </c>
      <c r="D3357" t="s">
        <v>46</v>
      </c>
      <c r="G3357">
        <v>2948</v>
      </c>
    </row>
    <row r="3358" spans="1:7" x14ac:dyDescent="0.2">
      <c r="A3358" t="s">
        <v>871</v>
      </c>
      <c r="B3358" t="s">
        <v>66</v>
      </c>
      <c r="C3358" t="s">
        <v>67</v>
      </c>
      <c r="D3358" t="s">
        <v>8</v>
      </c>
      <c r="G3358">
        <v>99137</v>
      </c>
    </row>
    <row r="3359" spans="1:7" x14ac:dyDescent="0.2">
      <c r="A3359" t="s">
        <v>871</v>
      </c>
      <c r="B3359" t="s">
        <v>66</v>
      </c>
      <c r="C3359" t="s">
        <v>67</v>
      </c>
      <c r="D3359" t="s">
        <v>68</v>
      </c>
      <c r="E3359" t="s">
        <v>69</v>
      </c>
      <c r="F3359" t="s">
        <v>28</v>
      </c>
      <c r="G3359">
        <v>18559</v>
      </c>
    </row>
    <row r="3360" spans="1:7" x14ac:dyDescent="0.2">
      <c r="A3360" t="s">
        <v>871</v>
      </c>
      <c r="B3360" t="s">
        <v>66</v>
      </c>
      <c r="C3360" t="s">
        <v>67</v>
      </c>
      <c r="D3360" t="s">
        <v>70</v>
      </c>
      <c r="E3360" t="s">
        <v>71</v>
      </c>
      <c r="F3360" t="s">
        <v>16</v>
      </c>
      <c r="G3360">
        <v>6973</v>
      </c>
    </row>
    <row r="3361" spans="1:7" x14ac:dyDescent="0.2">
      <c r="A3361" t="s">
        <v>871</v>
      </c>
      <c r="B3361" t="s">
        <v>66</v>
      </c>
      <c r="C3361" t="s">
        <v>67</v>
      </c>
      <c r="D3361" t="s">
        <v>72</v>
      </c>
      <c r="E3361" t="s">
        <v>73</v>
      </c>
      <c r="F3361" t="s">
        <v>22</v>
      </c>
      <c r="G3361">
        <v>66517</v>
      </c>
    </row>
    <row r="3362" spans="1:7" x14ac:dyDescent="0.2">
      <c r="A3362" t="s">
        <v>871</v>
      </c>
      <c r="B3362" t="s">
        <v>66</v>
      </c>
      <c r="C3362" t="s">
        <v>67</v>
      </c>
      <c r="D3362" t="s">
        <v>74</v>
      </c>
      <c r="E3362" t="s">
        <v>75</v>
      </c>
      <c r="F3362" t="s">
        <v>11</v>
      </c>
      <c r="G3362">
        <v>2648</v>
      </c>
    </row>
    <row r="3363" spans="1:7" x14ac:dyDescent="0.2">
      <c r="A3363" t="s">
        <v>871</v>
      </c>
      <c r="B3363" t="s">
        <v>66</v>
      </c>
      <c r="C3363" t="s">
        <v>67</v>
      </c>
      <c r="D3363" t="s">
        <v>45</v>
      </c>
      <c r="G3363">
        <v>27</v>
      </c>
    </row>
    <row r="3364" spans="1:7" x14ac:dyDescent="0.2">
      <c r="A3364" t="s">
        <v>871</v>
      </c>
      <c r="B3364" t="s">
        <v>66</v>
      </c>
      <c r="C3364" t="s">
        <v>67</v>
      </c>
      <c r="D3364" t="s">
        <v>46</v>
      </c>
      <c r="G3364">
        <v>4413</v>
      </c>
    </row>
    <row r="3365" spans="1:7" x14ac:dyDescent="0.2">
      <c r="A3365" t="s">
        <v>871</v>
      </c>
      <c r="B3365" t="s">
        <v>93</v>
      </c>
      <c r="C3365" t="s">
        <v>94</v>
      </c>
      <c r="D3365" t="s">
        <v>8</v>
      </c>
      <c r="G3365">
        <v>99088</v>
      </c>
    </row>
    <row r="3366" spans="1:7" x14ac:dyDescent="0.2">
      <c r="A3366" t="s">
        <v>871</v>
      </c>
      <c r="B3366" t="s">
        <v>93</v>
      </c>
      <c r="C3366" t="s">
        <v>94</v>
      </c>
      <c r="D3366" t="s">
        <v>95</v>
      </c>
      <c r="E3366" t="s">
        <v>96</v>
      </c>
      <c r="F3366" t="s">
        <v>22</v>
      </c>
      <c r="G3366">
        <v>53786</v>
      </c>
    </row>
    <row r="3367" spans="1:7" x14ac:dyDescent="0.2">
      <c r="A3367" t="s">
        <v>871</v>
      </c>
      <c r="B3367" t="s">
        <v>93</v>
      </c>
      <c r="C3367" t="s">
        <v>94</v>
      </c>
      <c r="D3367" t="s">
        <v>97</v>
      </c>
      <c r="E3367" t="s">
        <v>98</v>
      </c>
      <c r="F3367" t="s">
        <v>51</v>
      </c>
      <c r="G3367">
        <v>1996</v>
      </c>
    </row>
    <row r="3368" spans="1:7" x14ac:dyDescent="0.2">
      <c r="A3368" t="s">
        <v>871</v>
      </c>
      <c r="B3368" t="s">
        <v>93</v>
      </c>
      <c r="C3368" t="s">
        <v>94</v>
      </c>
      <c r="D3368" t="s">
        <v>99</v>
      </c>
      <c r="E3368" t="s">
        <v>100</v>
      </c>
      <c r="F3368" t="s">
        <v>28</v>
      </c>
      <c r="G3368">
        <v>15977</v>
      </c>
    </row>
    <row r="3369" spans="1:7" x14ac:dyDescent="0.2">
      <c r="A3369" t="s">
        <v>871</v>
      </c>
      <c r="B3369" t="s">
        <v>93</v>
      </c>
      <c r="C3369" t="s">
        <v>94</v>
      </c>
      <c r="D3369" t="s">
        <v>101</v>
      </c>
      <c r="E3369" t="s">
        <v>102</v>
      </c>
      <c r="F3369" t="s">
        <v>25</v>
      </c>
      <c r="G3369">
        <v>2781</v>
      </c>
    </row>
    <row r="3370" spans="1:7" x14ac:dyDescent="0.2">
      <c r="A3370" t="s">
        <v>871</v>
      </c>
      <c r="B3370" t="s">
        <v>93</v>
      </c>
      <c r="C3370" t="s">
        <v>94</v>
      </c>
      <c r="D3370" t="s">
        <v>103</v>
      </c>
      <c r="E3370" t="s">
        <v>104</v>
      </c>
      <c r="F3370" t="s">
        <v>11</v>
      </c>
      <c r="G3370">
        <v>322</v>
      </c>
    </row>
    <row r="3371" spans="1:7" x14ac:dyDescent="0.2">
      <c r="A3371" t="s">
        <v>871</v>
      </c>
      <c r="B3371" t="s">
        <v>93</v>
      </c>
      <c r="C3371" t="s">
        <v>94</v>
      </c>
      <c r="D3371" t="s">
        <v>105</v>
      </c>
      <c r="E3371" t="s">
        <v>106</v>
      </c>
      <c r="F3371" t="s">
        <v>11</v>
      </c>
      <c r="G3371">
        <v>21025</v>
      </c>
    </row>
    <row r="3372" spans="1:7" x14ac:dyDescent="0.2">
      <c r="A3372" t="s">
        <v>871</v>
      </c>
      <c r="B3372" t="s">
        <v>93</v>
      </c>
      <c r="C3372" t="s">
        <v>94</v>
      </c>
      <c r="D3372" t="s">
        <v>107</v>
      </c>
      <c r="E3372" t="s">
        <v>108</v>
      </c>
      <c r="F3372" t="s">
        <v>11</v>
      </c>
      <c r="G3372">
        <v>23</v>
      </c>
    </row>
    <row r="3373" spans="1:7" x14ac:dyDescent="0.2">
      <c r="A3373" t="s">
        <v>871</v>
      </c>
      <c r="B3373" t="s">
        <v>93</v>
      </c>
      <c r="C3373" t="s">
        <v>94</v>
      </c>
      <c r="D3373" t="s">
        <v>45</v>
      </c>
      <c r="G3373">
        <v>20</v>
      </c>
    </row>
    <row r="3374" spans="1:7" x14ac:dyDescent="0.2">
      <c r="A3374" t="s">
        <v>871</v>
      </c>
      <c r="B3374" t="s">
        <v>93</v>
      </c>
      <c r="C3374" t="s">
        <v>94</v>
      </c>
      <c r="D3374" t="s">
        <v>46</v>
      </c>
      <c r="G3374">
        <v>2964</v>
      </c>
    </row>
    <row r="3375" spans="1:7" x14ac:dyDescent="0.2">
      <c r="A3375" t="s">
        <v>871</v>
      </c>
      <c r="B3375" t="s">
        <v>109</v>
      </c>
      <c r="C3375" t="s">
        <v>110</v>
      </c>
      <c r="D3375" t="s">
        <v>8</v>
      </c>
      <c r="G3375">
        <v>99088</v>
      </c>
    </row>
    <row r="3376" spans="1:7" x14ac:dyDescent="0.2">
      <c r="A3376" t="s">
        <v>871</v>
      </c>
      <c r="B3376" t="s">
        <v>109</v>
      </c>
      <c r="C3376" t="s">
        <v>110</v>
      </c>
      <c r="D3376" t="s">
        <v>111</v>
      </c>
      <c r="E3376" t="s">
        <v>112</v>
      </c>
      <c r="F3376" t="s">
        <v>22</v>
      </c>
      <c r="G3376">
        <v>66778</v>
      </c>
    </row>
    <row r="3377" spans="1:7" x14ac:dyDescent="0.2">
      <c r="A3377" t="s">
        <v>871</v>
      </c>
      <c r="B3377" t="s">
        <v>109</v>
      </c>
      <c r="C3377" t="s">
        <v>110</v>
      </c>
      <c r="D3377" t="s">
        <v>113</v>
      </c>
      <c r="E3377" t="s">
        <v>114</v>
      </c>
      <c r="F3377" t="s">
        <v>28</v>
      </c>
      <c r="G3377">
        <v>16753</v>
      </c>
    </row>
    <row r="3378" spans="1:7" x14ac:dyDescent="0.2">
      <c r="A3378" t="s">
        <v>871</v>
      </c>
      <c r="B3378" t="s">
        <v>109</v>
      </c>
      <c r="C3378" t="s">
        <v>110</v>
      </c>
      <c r="D3378" t="s">
        <v>115</v>
      </c>
      <c r="E3378" t="s">
        <v>116</v>
      </c>
      <c r="F3378" t="s">
        <v>25</v>
      </c>
      <c r="G3378">
        <v>3173</v>
      </c>
    </row>
    <row r="3379" spans="1:7" x14ac:dyDescent="0.2">
      <c r="A3379" t="s">
        <v>871</v>
      </c>
      <c r="B3379" t="s">
        <v>109</v>
      </c>
      <c r="C3379" t="s">
        <v>110</v>
      </c>
      <c r="D3379" t="s">
        <v>117</v>
      </c>
      <c r="E3379" t="s">
        <v>118</v>
      </c>
      <c r="F3379" t="s">
        <v>11</v>
      </c>
      <c r="G3379">
        <v>4802</v>
      </c>
    </row>
    <row r="3380" spans="1:7" x14ac:dyDescent="0.2">
      <c r="A3380" t="s">
        <v>871</v>
      </c>
      <c r="B3380" t="s">
        <v>109</v>
      </c>
      <c r="C3380" t="s">
        <v>110</v>
      </c>
      <c r="D3380" t="s">
        <v>119</v>
      </c>
      <c r="E3380" t="s">
        <v>120</v>
      </c>
      <c r="F3380" t="s">
        <v>88</v>
      </c>
      <c r="G3380">
        <v>3473</v>
      </c>
    </row>
    <row r="3381" spans="1:7" x14ac:dyDescent="0.2">
      <c r="A3381" t="s">
        <v>871</v>
      </c>
      <c r="B3381" t="s">
        <v>109</v>
      </c>
      <c r="C3381" t="s">
        <v>110</v>
      </c>
      <c r="D3381" t="s">
        <v>45</v>
      </c>
      <c r="G3381">
        <v>6</v>
      </c>
    </row>
    <row r="3382" spans="1:7" x14ac:dyDescent="0.2">
      <c r="A3382" t="s">
        <v>871</v>
      </c>
      <c r="B3382" t="s">
        <v>109</v>
      </c>
      <c r="C3382" t="s">
        <v>110</v>
      </c>
      <c r="D3382" t="s">
        <v>46</v>
      </c>
      <c r="G3382">
        <v>4103</v>
      </c>
    </row>
    <row r="3383" spans="1:7" x14ac:dyDescent="0.2">
      <c r="A3383" t="s">
        <v>871</v>
      </c>
      <c r="B3383" t="s">
        <v>121</v>
      </c>
      <c r="C3383" t="s">
        <v>122</v>
      </c>
      <c r="D3383" t="s">
        <v>8</v>
      </c>
      <c r="G3383">
        <v>99088</v>
      </c>
    </row>
    <row r="3384" spans="1:7" x14ac:dyDescent="0.2">
      <c r="A3384" t="s">
        <v>871</v>
      </c>
      <c r="B3384" t="s">
        <v>121</v>
      </c>
      <c r="C3384" t="s">
        <v>122</v>
      </c>
      <c r="D3384" t="s">
        <v>123</v>
      </c>
      <c r="E3384" t="s">
        <v>124</v>
      </c>
      <c r="F3384" t="s">
        <v>22</v>
      </c>
      <c r="G3384">
        <v>72185</v>
      </c>
    </row>
    <row r="3385" spans="1:7" x14ac:dyDescent="0.2">
      <c r="A3385" t="s">
        <v>871</v>
      </c>
      <c r="B3385" t="s">
        <v>121</v>
      </c>
      <c r="C3385" t="s">
        <v>122</v>
      </c>
      <c r="D3385" t="s">
        <v>125</v>
      </c>
      <c r="E3385" t="s">
        <v>126</v>
      </c>
      <c r="F3385" t="s">
        <v>16</v>
      </c>
      <c r="G3385">
        <v>4146</v>
      </c>
    </row>
    <row r="3386" spans="1:7" x14ac:dyDescent="0.2">
      <c r="A3386" t="s">
        <v>871</v>
      </c>
      <c r="B3386" t="s">
        <v>121</v>
      </c>
      <c r="C3386" t="s">
        <v>122</v>
      </c>
      <c r="D3386" t="s">
        <v>127</v>
      </c>
      <c r="E3386" t="s">
        <v>128</v>
      </c>
      <c r="F3386" t="s">
        <v>28</v>
      </c>
      <c r="G3386">
        <v>17866</v>
      </c>
    </row>
    <row r="3387" spans="1:7" x14ac:dyDescent="0.2">
      <c r="A3387" t="s">
        <v>871</v>
      </c>
      <c r="B3387" t="s">
        <v>121</v>
      </c>
      <c r="C3387" t="s">
        <v>122</v>
      </c>
      <c r="D3387" t="s">
        <v>45</v>
      </c>
      <c r="G3387">
        <v>1</v>
      </c>
    </row>
    <row r="3388" spans="1:7" x14ac:dyDescent="0.2">
      <c r="A3388" t="s">
        <v>871</v>
      </c>
      <c r="B3388" t="s">
        <v>121</v>
      </c>
      <c r="C3388" t="s">
        <v>122</v>
      </c>
      <c r="D3388" t="s">
        <v>46</v>
      </c>
      <c r="G3388">
        <v>4890</v>
      </c>
    </row>
    <row r="3389" spans="1:7" x14ac:dyDescent="0.2">
      <c r="A3389" t="s">
        <v>871</v>
      </c>
      <c r="B3389" t="s">
        <v>129</v>
      </c>
      <c r="C3389" t="s">
        <v>130</v>
      </c>
      <c r="D3389" t="s">
        <v>8</v>
      </c>
      <c r="G3389">
        <v>99088</v>
      </c>
    </row>
    <row r="3390" spans="1:7" x14ac:dyDescent="0.2">
      <c r="A3390" t="s">
        <v>871</v>
      </c>
      <c r="B3390" t="s">
        <v>129</v>
      </c>
      <c r="C3390" t="s">
        <v>130</v>
      </c>
      <c r="D3390" t="s">
        <v>131</v>
      </c>
      <c r="E3390" t="s">
        <v>132</v>
      </c>
      <c r="F3390" t="s">
        <v>133</v>
      </c>
      <c r="G3390">
        <v>3037</v>
      </c>
    </row>
    <row r="3391" spans="1:7" x14ac:dyDescent="0.2">
      <c r="A3391" t="s">
        <v>871</v>
      </c>
      <c r="B3391" t="s">
        <v>129</v>
      </c>
      <c r="C3391" t="s">
        <v>130</v>
      </c>
      <c r="D3391" t="s">
        <v>134</v>
      </c>
      <c r="E3391" t="s">
        <v>135</v>
      </c>
      <c r="F3391" t="s">
        <v>22</v>
      </c>
      <c r="G3391">
        <v>72854</v>
      </c>
    </row>
    <row r="3392" spans="1:7" x14ac:dyDescent="0.2">
      <c r="A3392" t="s">
        <v>871</v>
      </c>
      <c r="B3392" t="s">
        <v>129</v>
      </c>
      <c r="C3392" t="s">
        <v>130</v>
      </c>
      <c r="D3392" t="s">
        <v>136</v>
      </c>
      <c r="E3392" t="s">
        <v>137</v>
      </c>
      <c r="F3392" t="s">
        <v>28</v>
      </c>
      <c r="G3392">
        <v>17162</v>
      </c>
    </row>
    <row r="3393" spans="1:7" x14ac:dyDescent="0.2">
      <c r="A3393" t="s">
        <v>871</v>
      </c>
      <c r="B3393" t="s">
        <v>129</v>
      </c>
      <c r="C3393" t="s">
        <v>130</v>
      </c>
      <c r="D3393" t="s">
        <v>45</v>
      </c>
      <c r="G3393">
        <v>4</v>
      </c>
    </row>
    <row r="3394" spans="1:7" x14ac:dyDescent="0.2">
      <c r="A3394" t="s">
        <v>871</v>
      </c>
      <c r="B3394" t="s">
        <v>129</v>
      </c>
      <c r="C3394" t="s">
        <v>130</v>
      </c>
      <c r="D3394" t="s">
        <v>46</v>
      </c>
      <c r="G3394">
        <v>6031</v>
      </c>
    </row>
    <row r="3395" spans="1:7" x14ac:dyDescent="0.2">
      <c r="A3395" t="s">
        <v>871</v>
      </c>
      <c r="B3395" t="s">
        <v>218</v>
      </c>
      <c r="C3395" t="s">
        <v>219</v>
      </c>
      <c r="D3395" t="s">
        <v>8</v>
      </c>
      <c r="G3395">
        <v>16401</v>
      </c>
    </row>
    <row r="3396" spans="1:7" x14ac:dyDescent="0.2">
      <c r="A3396" t="s">
        <v>871</v>
      </c>
      <c r="B3396" t="s">
        <v>218</v>
      </c>
      <c r="C3396" t="s">
        <v>219</v>
      </c>
      <c r="D3396" t="s">
        <v>220</v>
      </c>
      <c r="E3396" t="s">
        <v>221</v>
      </c>
      <c r="F3396" t="s">
        <v>22</v>
      </c>
      <c r="G3396">
        <v>12758</v>
      </c>
    </row>
    <row r="3397" spans="1:7" x14ac:dyDescent="0.2">
      <c r="A3397" t="s">
        <v>871</v>
      </c>
      <c r="B3397" t="s">
        <v>218</v>
      </c>
      <c r="C3397" t="s">
        <v>219</v>
      </c>
      <c r="D3397" t="s">
        <v>45</v>
      </c>
      <c r="G3397">
        <v>0</v>
      </c>
    </row>
    <row r="3398" spans="1:7" x14ac:dyDescent="0.2">
      <c r="A3398" t="s">
        <v>871</v>
      </c>
      <c r="B3398" t="s">
        <v>218</v>
      </c>
      <c r="C3398" t="s">
        <v>219</v>
      </c>
      <c r="D3398" t="s">
        <v>46</v>
      </c>
      <c r="G3398">
        <v>3643</v>
      </c>
    </row>
    <row r="3399" spans="1:7" x14ac:dyDescent="0.2">
      <c r="A3399" t="s">
        <v>871</v>
      </c>
      <c r="B3399" t="s">
        <v>222</v>
      </c>
      <c r="C3399" t="s">
        <v>223</v>
      </c>
      <c r="D3399" t="s">
        <v>8</v>
      </c>
      <c r="G3399">
        <v>59391</v>
      </c>
    </row>
    <row r="3400" spans="1:7" x14ac:dyDescent="0.2">
      <c r="A3400" t="s">
        <v>871</v>
      </c>
      <c r="B3400" t="s">
        <v>222</v>
      </c>
      <c r="C3400" t="s">
        <v>223</v>
      </c>
      <c r="D3400" t="s">
        <v>224</v>
      </c>
      <c r="E3400" t="s">
        <v>225</v>
      </c>
      <c r="F3400" t="s">
        <v>28</v>
      </c>
      <c r="G3400">
        <v>12989</v>
      </c>
    </row>
    <row r="3401" spans="1:7" x14ac:dyDescent="0.2">
      <c r="A3401" t="s">
        <v>871</v>
      </c>
      <c r="B3401" t="s">
        <v>222</v>
      </c>
      <c r="C3401" t="s">
        <v>223</v>
      </c>
      <c r="D3401" t="s">
        <v>226</v>
      </c>
      <c r="E3401" t="s">
        <v>227</v>
      </c>
      <c r="F3401" t="s">
        <v>22</v>
      </c>
      <c r="G3401">
        <v>42143</v>
      </c>
    </row>
    <row r="3402" spans="1:7" x14ac:dyDescent="0.2">
      <c r="A3402" t="s">
        <v>871</v>
      </c>
      <c r="B3402" t="s">
        <v>222</v>
      </c>
      <c r="C3402" t="s">
        <v>223</v>
      </c>
      <c r="D3402" t="s">
        <v>45</v>
      </c>
      <c r="G3402">
        <v>12</v>
      </c>
    </row>
    <row r="3403" spans="1:7" x14ac:dyDescent="0.2">
      <c r="A3403" t="s">
        <v>871</v>
      </c>
      <c r="B3403" t="s">
        <v>222</v>
      </c>
      <c r="C3403" t="s">
        <v>223</v>
      </c>
      <c r="D3403" t="s">
        <v>46</v>
      </c>
      <c r="G3403">
        <v>4247</v>
      </c>
    </row>
    <row r="3404" spans="1:7" x14ac:dyDescent="0.2">
      <c r="A3404" t="s">
        <v>871</v>
      </c>
      <c r="B3404" t="s">
        <v>630</v>
      </c>
      <c r="C3404" t="s">
        <v>631</v>
      </c>
      <c r="D3404" t="s">
        <v>8</v>
      </c>
      <c r="G3404">
        <v>28499</v>
      </c>
    </row>
    <row r="3405" spans="1:7" x14ac:dyDescent="0.2">
      <c r="A3405" t="s">
        <v>871</v>
      </c>
      <c r="B3405" t="s">
        <v>630</v>
      </c>
      <c r="C3405" t="s">
        <v>631</v>
      </c>
      <c r="D3405" t="s">
        <v>632</v>
      </c>
      <c r="E3405" t="s">
        <v>633</v>
      </c>
      <c r="F3405" t="s">
        <v>22</v>
      </c>
      <c r="G3405">
        <v>22406</v>
      </c>
    </row>
    <row r="3406" spans="1:7" x14ac:dyDescent="0.2">
      <c r="A3406" t="s">
        <v>871</v>
      </c>
      <c r="B3406" t="s">
        <v>630</v>
      </c>
      <c r="C3406" t="s">
        <v>631</v>
      </c>
      <c r="D3406" t="s">
        <v>45</v>
      </c>
      <c r="G3406">
        <v>0</v>
      </c>
    </row>
    <row r="3407" spans="1:7" x14ac:dyDescent="0.2">
      <c r="A3407" t="s">
        <v>871</v>
      </c>
      <c r="B3407" t="s">
        <v>630</v>
      </c>
      <c r="C3407" t="s">
        <v>631</v>
      </c>
      <c r="D3407" t="s">
        <v>46</v>
      </c>
      <c r="G3407">
        <v>6093</v>
      </c>
    </row>
    <row r="3408" spans="1:7" x14ac:dyDescent="0.2">
      <c r="A3408" t="s">
        <v>871</v>
      </c>
      <c r="B3408" t="s">
        <v>634</v>
      </c>
      <c r="C3408" t="s">
        <v>635</v>
      </c>
      <c r="D3408" t="s">
        <v>8</v>
      </c>
      <c r="G3408">
        <v>23414</v>
      </c>
    </row>
    <row r="3409" spans="1:7" x14ac:dyDescent="0.2">
      <c r="A3409" t="s">
        <v>871</v>
      </c>
      <c r="B3409" t="s">
        <v>634</v>
      </c>
      <c r="C3409" t="s">
        <v>635</v>
      </c>
      <c r="D3409" t="s">
        <v>636</v>
      </c>
      <c r="E3409" t="s">
        <v>637</v>
      </c>
      <c r="F3409" t="s">
        <v>22</v>
      </c>
      <c r="G3409">
        <v>18715</v>
      </c>
    </row>
    <row r="3410" spans="1:7" x14ac:dyDescent="0.2">
      <c r="A3410" t="s">
        <v>871</v>
      </c>
      <c r="B3410" t="s">
        <v>634</v>
      </c>
      <c r="C3410" t="s">
        <v>635</v>
      </c>
      <c r="D3410" t="s">
        <v>45</v>
      </c>
      <c r="G3410">
        <v>0</v>
      </c>
    </row>
    <row r="3411" spans="1:7" x14ac:dyDescent="0.2">
      <c r="A3411" t="s">
        <v>871</v>
      </c>
      <c r="B3411" t="s">
        <v>634</v>
      </c>
      <c r="C3411" t="s">
        <v>635</v>
      </c>
      <c r="D3411" t="s">
        <v>46</v>
      </c>
      <c r="G3411">
        <v>4699</v>
      </c>
    </row>
    <row r="3412" spans="1:7" x14ac:dyDescent="0.2">
      <c r="A3412" t="s">
        <v>871</v>
      </c>
      <c r="B3412" t="s">
        <v>638</v>
      </c>
      <c r="C3412" t="s">
        <v>639</v>
      </c>
      <c r="D3412" t="s">
        <v>8</v>
      </c>
      <c r="G3412">
        <v>25976</v>
      </c>
    </row>
    <row r="3413" spans="1:7" x14ac:dyDescent="0.2">
      <c r="A3413" t="s">
        <v>871</v>
      </c>
      <c r="B3413" t="s">
        <v>638</v>
      </c>
      <c r="C3413" t="s">
        <v>639</v>
      </c>
      <c r="D3413" t="s">
        <v>640</v>
      </c>
      <c r="E3413" t="s">
        <v>641</v>
      </c>
      <c r="F3413" t="s">
        <v>22</v>
      </c>
      <c r="G3413">
        <v>19978</v>
      </c>
    </row>
    <row r="3414" spans="1:7" x14ac:dyDescent="0.2">
      <c r="A3414" t="s">
        <v>871</v>
      </c>
      <c r="B3414" t="s">
        <v>638</v>
      </c>
      <c r="C3414" t="s">
        <v>639</v>
      </c>
      <c r="D3414" t="s">
        <v>45</v>
      </c>
      <c r="G3414">
        <v>0</v>
      </c>
    </row>
    <row r="3415" spans="1:7" x14ac:dyDescent="0.2">
      <c r="A3415" t="s">
        <v>871</v>
      </c>
      <c r="B3415" t="s">
        <v>638</v>
      </c>
      <c r="C3415" t="s">
        <v>639</v>
      </c>
      <c r="D3415" t="s">
        <v>46</v>
      </c>
      <c r="G3415">
        <v>5998</v>
      </c>
    </row>
    <row r="3416" spans="1:7" x14ac:dyDescent="0.2">
      <c r="A3416" t="s">
        <v>871</v>
      </c>
      <c r="B3416" t="s">
        <v>642</v>
      </c>
      <c r="C3416" t="s">
        <v>643</v>
      </c>
      <c r="D3416" t="s">
        <v>8</v>
      </c>
      <c r="G3416">
        <v>21199</v>
      </c>
    </row>
    <row r="3417" spans="1:7" x14ac:dyDescent="0.2">
      <c r="A3417" t="s">
        <v>871</v>
      </c>
      <c r="B3417" t="s">
        <v>642</v>
      </c>
      <c r="C3417" t="s">
        <v>643</v>
      </c>
      <c r="D3417" t="s">
        <v>644</v>
      </c>
      <c r="E3417" t="s">
        <v>645</v>
      </c>
      <c r="F3417" t="s">
        <v>22</v>
      </c>
      <c r="G3417">
        <v>15580</v>
      </c>
    </row>
    <row r="3418" spans="1:7" x14ac:dyDescent="0.2">
      <c r="A3418" t="s">
        <v>871</v>
      </c>
      <c r="B3418" t="s">
        <v>642</v>
      </c>
      <c r="C3418" t="s">
        <v>643</v>
      </c>
      <c r="D3418" t="s">
        <v>646</v>
      </c>
      <c r="E3418" t="s">
        <v>647</v>
      </c>
      <c r="F3418" t="s">
        <v>28</v>
      </c>
      <c r="G3418">
        <v>4183</v>
      </c>
    </row>
    <row r="3419" spans="1:7" x14ac:dyDescent="0.2">
      <c r="A3419" t="s">
        <v>871</v>
      </c>
      <c r="B3419" t="s">
        <v>642</v>
      </c>
      <c r="C3419" t="s">
        <v>643</v>
      </c>
      <c r="D3419" t="s">
        <v>45</v>
      </c>
      <c r="G3419">
        <v>2</v>
      </c>
    </row>
    <row r="3420" spans="1:7" x14ac:dyDescent="0.2">
      <c r="A3420" t="s">
        <v>871</v>
      </c>
      <c r="B3420" t="s">
        <v>642</v>
      </c>
      <c r="C3420" t="s">
        <v>643</v>
      </c>
      <c r="D3420" t="s">
        <v>46</v>
      </c>
      <c r="G3420">
        <v>1434</v>
      </c>
    </row>
    <row r="3421" spans="1:7" x14ac:dyDescent="0.2">
      <c r="A3421" t="s">
        <v>871</v>
      </c>
      <c r="B3421" t="s">
        <v>688</v>
      </c>
      <c r="C3421" t="s">
        <v>689</v>
      </c>
      <c r="D3421" t="s">
        <v>8</v>
      </c>
      <c r="G3421">
        <v>99088</v>
      </c>
    </row>
    <row r="3422" spans="1:7" x14ac:dyDescent="0.2">
      <c r="A3422" t="s">
        <v>871</v>
      </c>
      <c r="B3422" t="s">
        <v>688</v>
      </c>
      <c r="C3422" t="s">
        <v>689</v>
      </c>
      <c r="D3422" t="s">
        <v>690</v>
      </c>
      <c r="E3422" t="s">
        <v>691</v>
      </c>
      <c r="F3422" t="s">
        <v>22</v>
      </c>
      <c r="G3422">
        <v>77539</v>
      </c>
    </row>
    <row r="3423" spans="1:7" x14ac:dyDescent="0.2">
      <c r="A3423" t="s">
        <v>871</v>
      </c>
      <c r="B3423" t="s">
        <v>688</v>
      </c>
      <c r="C3423" t="s">
        <v>689</v>
      </c>
      <c r="D3423" t="s">
        <v>45</v>
      </c>
      <c r="G3423">
        <v>0</v>
      </c>
    </row>
    <row r="3424" spans="1:7" x14ac:dyDescent="0.2">
      <c r="A3424" t="s">
        <v>871</v>
      </c>
      <c r="B3424" t="s">
        <v>688</v>
      </c>
      <c r="C3424" t="s">
        <v>689</v>
      </c>
      <c r="D3424" t="s">
        <v>46</v>
      </c>
      <c r="G3424">
        <v>21549</v>
      </c>
    </row>
    <row r="3425" spans="1:7" x14ac:dyDescent="0.2">
      <c r="A3425" t="s">
        <v>871</v>
      </c>
      <c r="B3425" t="s">
        <v>692</v>
      </c>
      <c r="C3425" t="s">
        <v>693</v>
      </c>
      <c r="D3425" t="s">
        <v>8</v>
      </c>
      <c r="G3425">
        <v>99088</v>
      </c>
    </row>
    <row r="3426" spans="1:7" x14ac:dyDescent="0.2">
      <c r="A3426" t="s">
        <v>871</v>
      </c>
      <c r="B3426" t="s">
        <v>692</v>
      </c>
      <c r="C3426" t="s">
        <v>693</v>
      </c>
      <c r="D3426" t="s">
        <v>694</v>
      </c>
      <c r="E3426" t="s">
        <v>695</v>
      </c>
      <c r="G3426">
        <v>64392</v>
      </c>
    </row>
    <row r="3427" spans="1:7" x14ac:dyDescent="0.2">
      <c r="A3427" t="s">
        <v>871</v>
      </c>
      <c r="B3427" t="s">
        <v>692</v>
      </c>
      <c r="C3427" t="s">
        <v>693</v>
      </c>
      <c r="D3427" t="s">
        <v>696</v>
      </c>
      <c r="E3427" t="s">
        <v>697</v>
      </c>
      <c r="G3427">
        <v>15349</v>
      </c>
    </row>
    <row r="3428" spans="1:7" x14ac:dyDescent="0.2">
      <c r="A3428" t="s">
        <v>871</v>
      </c>
      <c r="B3428" t="s">
        <v>692</v>
      </c>
      <c r="C3428" t="s">
        <v>693</v>
      </c>
      <c r="D3428" t="s">
        <v>45</v>
      </c>
      <c r="G3428">
        <v>30</v>
      </c>
    </row>
    <row r="3429" spans="1:7" x14ac:dyDescent="0.2">
      <c r="A3429" t="s">
        <v>871</v>
      </c>
      <c r="B3429" t="s">
        <v>692</v>
      </c>
      <c r="C3429" t="s">
        <v>693</v>
      </c>
      <c r="D3429" t="s">
        <v>46</v>
      </c>
      <c r="G3429">
        <v>19317</v>
      </c>
    </row>
    <row r="3430" spans="1:7" x14ac:dyDescent="0.2">
      <c r="A3430" t="s">
        <v>871</v>
      </c>
      <c r="B3430" t="s">
        <v>698</v>
      </c>
      <c r="C3430" t="s">
        <v>699</v>
      </c>
      <c r="D3430" t="s">
        <v>8</v>
      </c>
      <c r="G3430">
        <v>99088</v>
      </c>
    </row>
    <row r="3431" spans="1:7" x14ac:dyDescent="0.2">
      <c r="A3431" t="s">
        <v>871</v>
      </c>
      <c r="B3431" t="s">
        <v>698</v>
      </c>
      <c r="C3431" t="s">
        <v>699</v>
      </c>
      <c r="D3431" t="s">
        <v>694</v>
      </c>
      <c r="E3431" t="s">
        <v>700</v>
      </c>
      <c r="G3431">
        <v>63447</v>
      </c>
    </row>
    <row r="3432" spans="1:7" x14ac:dyDescent="0.2">
      <c r="A3432" t="s">
        <v>871</v>
      </c>
      <c r="B3432" t="s">
        <v>698</v>
      </c>
      <c r="C3432" t="s">
        <v>699</v>
      </c>
      <c r="D3432" t="s">
        <v>696</v>
      </c>
      <c r="E3432" t="s">
        <v>701</v>
      </c>
      <c r="G3432">
        <v>15064</v>
      </c>
    </row>
    <row r="3433" spans="1:7" x14ac:dyDescent="0.2">
      <c r="A3433" t="s">
        <v>871</v>
      </c>
      <c r="B3433" t="s">
        <v>698</v>
      </c>
      <c r="C3433" t="s">
        <v>699</v>
      </c>
      <c r="D3433" t="s">
        <v>45</v>
      </c>
      <c r="G3433">
        <v>19</v>
      </c>
    </row>
    <row r="3434" spans="1:7" x14ac:dyDescent="0.2">
      <c r="A3434" t="s">
        <v>871</v>
      </c>
      <c r="B3434" t="s">
        <v>698</v>
      </c>
      <c r="C3434" t="s">
        <v>699</v>
      </c>
      <c r="D3434" t="s">
        <v>46</v>
      </c>
      <c r="G3434">
        <v>20558</v>
      </c>
    </row>
    <row r="3435" spans="1:7" x14ac:dyDescent="0.2">
      <c r="A3435" t="s">
        <v>871</v>
      </c>
      <c r="B3435" t="s">
        <v>786</v>
      </c>
      <c r="C3435" t="s">
        <v>787</v>
      </c>
      <c r="D3435" t="s">
        <v>8</v>
      </c>
      <c r="G3435">
        <v>99088</v>
      </c>
    </row>
    <row r="3436" spans="1:7" x14ac:dyDescent="0.2">
      <c r="A3436" t="s">
        <v>871</v>
      </c>
      <c r="B3436" t="s">
        <v>786</v>
      </c>
      <c r="C3436" t="s">
        <v>787</v>
      </c>
      <c r="D3436" t="s">
        <v>694</v>
      </c>
      <c r="E3436" t="s">
        <v>788</v>
      </c>
      <c r="G3436">
        <v>64268</v>
      </c>
    </row>
    <row r="3437" spans="1:7" x14ac:dyDescent="0.2">
      <c r="A3437" t="s">
        <v>871</v>
      </c>
      <c r="B3437" t="s">
        <v>786</v>
      </c>
      <c r="C3437" t="s">
        <v>787</v>
      </c>
      <c r="D3437" t="s">
        <v>696</v>
      </c>
      <c r="E3437" t="s">
        <v>789</v>
      </c>
      <c r="G3437">
        <v>14585</v>
      </c>
    </row>
    <row r="3438" spans="1:7" x14ac:dyDescent="0.2">
      <c r="A3438" t="s">
        <v>871</v>
      </c>
      <c r="B3438" t="s">
        <v>786</v>
      </c>
      <c r="C3438" t="s">
        <v>787</v>
      </c>
      <c r="D3438" t="s">
        <v>45</v>
      </c>
      <c r="G3438">
        <v>17</v>
      </c>
    </row>
    <row r="3439" spans="1:7" x14ac:dyDescent="0.2">
      <c r="A3439" t="s">
        <v>871</v>
      </c>
      <c r="B3439" t="s">
        <v>786</v>
      </c>
      <c r="C3439" t="s">
        <v>787</v>
      </c>
      <c r="D3439" t="s">
        <v>46</v>
      </c>
      <c r="G3439">
        <v>20218</v>
      </c>
    </row>
    <row r="3440" spans="1:7" x14ac:dyDescent="0.2">
      <c r="A3440" t="s">
        <v>871</v>
      </c>
      <c r="B3440" t="s">
        <v>830</v>
      </c>
      <c r="C3440" t="s">
        <v>831</v>
      </c>
      <c r="D3440" t="s">
        <v>8</v>
      </c>
      <c r="G3440">
        <v>99088</v>
      </c>
    </row>
    <row r="3441" spans="1:7" x14ac:dyDescent="0.2">
      <c r="A3441" t="s">
        <v>871</v>
      </c>
      <c r="B3441" t="s">
        <v>830</v>
      </c>
      <c r="C3441" t="s">
        <v>831</v>
      </c>
      <c r="D3441" t="s">
        <v>694</v>
      </c>
      <c r="E3441" t="s">
        <v>832</v>
      </c>
      <c r="G3441">
        <v>64582</v>
      </c>
    </row>
    <row r="3442" spans="1:7" x14ac:dyDescent="0.2">
      <c r="A3442" t="s">
        <v>871</v>
      </c>
      <c r="B3442" t="s">
        <v>830</v>
      </c>
      <c r="C3442" t="s">
        <v>831</v>
      </c>
      <c r="D3442" t="s">
        <v>696</v>
      </c>
      <c r="E3442" t="s">
        <v>833</v>
      </c>
      <c r="G3442">
        <v>14448</v>
      </c>
    </row>
    <row r="3443" spans="1:7" x14ac:dyDescent="0.2">
      <c r="A3443" t="s">
        <v>871</v>
      </c>
      <c r="B3443" t="s">
        <v>830</v>
      </c>
      <c r="C3443" t="s">
        <v>831</v>
      </c>
      <c r="D3443" t="s">
        <v>45</v>
      </c>
      <c r="G3443">
        <v>20</v>
      </c>
    </row>
    <row r="3444" spans="1:7" x14ac:dyDescent="0.2">
      <c r="A3444" t="s">
        <v>871</v>
      </c>
      <c r="B3444" t="s">
        <v>830</v>
      </c>
      <c r="C3444" t="s">
        <v>831</v>
      </c>
      <c r="D3444" t="s">
        <v>46</v>
      </c>
      <c r="G3444">
        <v>20038</v>
      </c>
    </row>
    <row r="3445" spans="1:7" x14ac:dyDescent="0.2">
      <c r="A3445" t="s">
        <v>871</v>
      </c>
      <c r="B3445" t="s">
        <v>834</v>
      </c>
      <c r="C3445" t="s">
        <v>835</v>
      </c>
      <c r="D3445" t="s">
        <v>8</v>
      </c>
      <c r="G3445">
        <v>99088</v>
      </c>
    </row>
    <row r="3446" spans="1:7" x14ac:dyDescent="0.2">
      <c r="A3446" t="s">
        <v>871</v>
      </c>
      <c r="B3446" t="s">
        <v>834</v>
      </c>
      <c r="C3446" t="s">
        <v>835</v>
      </c>
      <c r="D3446" t="s">
        <v>836</v>
      </c>
      <c r="E3446" t="s">
        <v>837</v>
      </c>
      <c r="G3446">
        <v>61405</v>
      </c>
    </row>
    <row r="3447" spans="1:7" x14ac:dyDescent="0.2">
      <c r="A3447" t="s">
        <v>871</v>
      </c>
      <c r="B3447" t="s">
        <v>834</v>
      </c>
      <c r="C3447" t="s">
        <v>835</v>
      </c>
      <c r="D3447" t="s">
        <v>838</v>
      </c>
      <c r="E3447" t="s">
        <v>839</v>
      </c>
      <c r="G3447">
        <v>30152</v>
      </c>
    </row>
    <row r="3448" spans="1:7" x14ac:dyDescent="0.2">
      <c r="A3448" t="s">
        <v>871</v>
      </c>
      <c r="B3448" t="s">
        <v>834</v>
      </c>
      <c r="C3448" t="s">
        <v>835</v>
      </c>
      <c r="D3448" t="s">
        <v>45</v>
      </c>
      <c r="G3448">
        <v>16</v>
      </c>
    </row>
    <row r="3449" spans="1:7" x14ac:dyDescent="0.2">
      <c r="A3449" t="s">
        <v>871</v>
      </c>
      <c r="B3449" t="s">
        <v>834</v>
      </c>
      <c r="C3449" t="s">
        <v>835</v>
      </c>
      <c r="D3449" t="s">
        <v>46</v>
      </c>
      <c r="G3449">
        <v>7515</v>
      </c>
    </row>
    <row r="3450" spans="1:7" x14ac:dyDescent="0.2">
      <c r="A3450" t="s">
        <v>871</v>
      </c>
      <c r="B3450" t="s">
        <v>840</v>
      </c>
      <c r="C3450" t="s">
        <v>841</v>
      </c>
      <c r="D3450" t="s">
        <v>8</v>
      </c>
      <c r="G3450">
        <v>99088</v>
      </c>
    </row>
    <row r="3451" spans="1:7" x14ac:dyDescent="0.2">
      <c r="A3451" t="s">
        <v>871</v>
      </c>
      <c r="B3451" t="s">
        <v>840</v>
      </c>
      <c r="C3451" t="s">
        <v>841</v>
      </c>
      <c r="D3451" t="s">
        <v>836</v>
      </c>
      <c r="E3451" t="s">
        <v>842</v>
      </c>
      <c r="G3451">
        <v>78793</v>
      </c>
    </row>
    <row r="3452" spans="1:7" x14ac:dyDescent="0.2">
      <c r="A3452" t="s">
        <v>871</v>
      </c>
      <c r="B3452" t="s">
        <v>840</v>
      </c>
      <c r="C3452" t="s">
        <v>841</v>
      </c>
      <c r="D3452" t="s">
        <v>838</v>
      </c>
      <c r="E3452" t="s">
        <v>843</v>
      </c>
      <c r="G3452">
        <v>13445</v>
      </c>
    </row>
    <row r="3453" spans="1:7" x14ac:dyDescent="0.2">
      <c r="A3453" t="s">
        <v>871</v>
      </c>
      <c r="B3453" t="s">
        <v>840</v>
      </c>
      <c r="C3453" t="s">
        <v>841</v>
      </c>
      <c r="D3453" t="s">
        <v>45</v>
      </c>
      <c r="G3453">
        <v>13</v>
      </c>
    </row>
    <row r="3454" spans="1:7" x14ac:dyDescent="0.2">
      <c r="A3454" t="s">
        <v>871</v>
      </c>
      <c r="B3454" t="s">
        <v>840</v>
      </c>
      <c r="C3454" t="s">
        <v>841</v>
      </c>
      <c r="D3454" t="s">
        <v>46</v>
      </c>
      <c r="G3454">
        <v>6837</v>
      </c>
    </row>
    <row r="3455" spans="1:7" x14ac:dyDescent="0.2">
      <c r="A3455" t="s">
        <v>872</v>
      </c>
      <c r="B3455" t="s">
        <v>6</v>
      </c>
      <c r="C3455" t="s">
        <v>7</v>
      </c>
      <c r="D3455" t="s">
        <v>8</v>
      </c>
      <c r="G3455">
        <v>1674</v>
      </c>
    </row>
    <row r="3456" spans="1:7" x14ac:dyDescent="0.2">
      <c r="A3456" t="s">
        <v>872</v>
      </c>
      <c r="B3456" t="s">
        <v>6</v>
      </c>
      <c r="C3456" t="s">
        <v>7</v>
      </c>
      <c r="D3456" t="s">
        <v>9</v>
      </c>
      <c r="E3456" t="s">
        <v>10</v>
      </c>
      <c r="F3456" t="s">
        <v>11</v>
      </c>
      <c r="G3456">
        <v>6</v>
      </c>
    </row>
    <row r="3457" spans="1:7" x14ac:dyDescent="0.2">
      <c r="A3457" t="s">
        <v>872</v>
      </c>
      <c r="B3457" t="s">
        <v>6</v>
      </c>
      <c r="C3457" t="s">
        <v>7</v>
      </c>
      <c r="D3457" t="s">
        <v>12</v>
      </c>
      <c r="E3457" t="s">
        <v>13</v>
      </c>
      <c r="F3457" t="s">
        <v>11</v>
      </c>
      <c r="G3457">
        <v>1</v>
      </c>
    </row>
    <row r="3458" spans="1:7" x14ac:dyDescent="0.2">
      <c r="A3458" t="s">
        <v>872</v>
      </c>
      <c r="B3458" t="s">
        <v>6</v>
      </c>
      <c r="C3458" t="s">
        <v>7</v>
      </c>
      <c r="D3458" t="s">
        <v>14</v>
      </c>
      <c r="E3458" t="s">
        <v>15</v>
      </c>
      <c r="F3458" t="s">
        <v>16</v>
      </c>
      <c r="G3458">
        <v>10</v>
      </c>
    </row>
    <row r="3459" spans="1:7" x14ac:dyDescent="0.2">
      <c r="A3459" t="s">
        <v>872</v>
      </c>
      <c r="B3459" t="s">
        <v>6</v>
      </c>
      <c r="C3459" t="s">
        <v>7</v>
      </c>
      <c r="D3459" t="s">
        <v>17</v>
      </c>
      <c r="E3459" t="s">
        <v>18</v>
      </c>
      <c r="F3459" t="s">
        <v>19</v>
      </c>
      <c r="G3459">
        <v>5</v>
      </c>
    </row>
    <row r="3460" spans="1:7" x14ac:dyDescent="0.2">
      <c r="A3460" t="s">
        <v>872</v>
      </c>
      <c r="B3460" t="s">
        <v>6</v>
      </c>
      <c r="C3460" t="s">
        <v>7</v>
      </c>
      <c r="D3460" t="s">
        <v>20</v>
      </c>
      <c r="E3460" t="s">
        <v>21</v>
      </c>
      <c r="F3460" t="s">
        <v>22</v>
      </c>
      <c r="G3460">
        <v>1238</v>
      </c>
    </row>
    <row r="3461" spans="1:7" x14ac:dyDescent="0.2">
      <c r="A3461" t="s">
        <v>872</v>
      </c>
      <c r="B3461" t="s">
        <v>6</v>
      </c>
      <c r="C3461" t="s">
        <v>7</v>
      </c>
      <c r="D3461" t="s">
        <v>23</v>
      </c>
      <c r="E3461" t="s">
        <v>24</v>
      </c>
      <c r="F3461" t="s">
        <v>25</v>
      </c>
      <c r="G3461">
        <v>8</v>
      </c>
    </row>
    <row r="3462" spans="1:7" x14ac:dyDescent="0.2">
      <c r="A3462" t="s">
        <v>872</v>
      </c>
      <c r="B3462" t="s">
        <v>6</v>
      </c>
      <c r="C3462" t="s">
        <v>7</v>
      </c>
      <c r="D3462" t="s">
        <v>26</v>
      </c>
      <c r="E3462" t="s">
        <v>27</v>
      </c>
      <c r="F3462" t="s">
        <v>28</v>
      </c>
      <c r="G3462">
        <v>381</v>
      </c>
    </row>
    <row r="3463" spans="1:7" x14ac:dyDescent="0.2">
      <c r="A3463" t="s">
        <v>872</v>
      </c>
      <c r="B3463" t="s">
        <v>6</v>
      </c>
      <c r="C3463" t="s">
        <v>7</v>
      </c>
      <c r="D3463" t="s">
        <v>29</v>
      </c>
      <c r="E3463" t="s">
        <v>30</v>
      </c>
      <c r="F3463" t="s">
        <v>11</v>
      </c>
      <c r="G3463">
        <v>2</v>
      </c>
    </row>
    <row r="3464" spans="1:7" x14ac:dyDescent="0.2">
      <c r="A3464" t="s">
        <v>872</v>
      </c>
      <c r="B3464" t="s">
        <v>6</v>
      </c>
      <c r="C3464" t="s">
        <v>7</v>
      </c>
      <c r="D3464" t="s">
        <v>31</v>
      </c>
      <c r="E3464" t="s">
        <v>32</v>
      </c>
      <c r="F3464" t="s">
        <v>11</v>
      </c>
      <c r="G3464">
        <v>0</v>
      </c>
    </row>
    <row r="3465" spans="1:7" x14ac:dyDescent="0.2">
      <c r="A3465" t="s">
        <v>872</v>
      </c>
      <c r="B3465" t="s">
        <v>6</v>
      </c>
      <c r="C3465" t="s">
        <v>7</v>
      </c>
      <c r="D3465" t="s">
        <v>33</v>
      </c>
      <c r="E3465" t="s">
        <v>34</v>
      </c>
      <c r="F3465" t="s">
        <v>11</v>
      </c>
      <c r="G3465">
        <v>0</v>
      </c>
    </row>
    <row r="3466" spans="1:7" x14ac:dyDescent="0.2">
      <c r="A3466" t="s">
        <v>872</v>
      </c>
      <c r="B3466" t="s">
        <v>6</v>
      </c>
      <c r="C3466" t="s">
        <v>7</v>
      </c>
      <c r="D3466" t="s">
        <v>35</v>
      </c>
      <c r="E3466" t="s">
        <v>36</v>
      </c>
      <c r="F3466" t="s">
        <v>11</v>
      </c>
      <c r="G3466">
        <v>0</v>
      </c>
    </row>
    <row r="3467" spans="1:7" x14ac:dyDescent="0.2">
      <c r="A3467" t="s">
        <v>872</v>
      </c>
      <c r="B3467" t="s">
        <v>6</v>
      </c>
      <c r="C3467" t="s">
        <v>7</v>
      </c>
      <c r="D3467" t="s">
        <v>37</v>
      </c>
      <c r="E3467" t="s">
        <v>38</v>
      </c>
      <c r="F3467" t="s">
        <v>11</v>
      </c>
      <c r="G3467">
        <v>0</v>
      </c>
    </row>
    <row r="3468" spans="1:7" x14ac:dyDescent="0.2">
      <c r="A3468" t="s">
        <v>872</v>
      </c>
      <c r="B3468" t="s">
        <v>6</v>
      </c>
      <c r="C3468" t="s">
        <v>7</v>
      </c>
      <c r="D3468" t="s">
        <v>39</v>
      </c>
      <c r="E3468" t="s">
        <v>40</v>
      </c>
      <c r="F3468" t="s">
        <v>11</v>
      </c>
      <c r="G3468">
        <v>0</v>
      </c>
    </row>
    <row r="3469" spans="1:7" x14ac:dyDescent="0.2">
      <c r="A3469" t="s">
        <v>872</v>
      </c>
      <c r="B3469" t="s">
        <v>6</v>
      </c>
      <c r="C3469" t="s">
        <v>7</v>
      </c>
      <c r="D3469" t="s">
        <v>41</v>
      </c>
      <c r="E3469" t="s">
        <v>42</v>
      </c>
      <c r="F3469" t="s">
        <v>11</v>
      </c>
      <c r="G3469">
        <v>0</v>
      </c>
    </row>
    <row r="3470" spans="1:7" x14ac:dyDescent="0.2">
      <c r="A3470" t="s">
        <v>872</v>
      </c>
      <c r="B3470" t="s">
        <v>6</v>
      </c>
      <c r="C3470" t="s">
        <v>7</v>
      </c>
      <c r="D3470" t="s">
        <v>43</v>
      </c>
      <c r="E3470" t="s">
        <v>44</v>
      </c>
      <c r="F3470" t="s">
        <v>11</v>
      </c>
      <c r="G3470">
        <v>0</v>
      </c>
    </row>
    <row r="3471" spans="1:7" x14ac:dyDescent="0.2">
      <c r="A3471" t="s">
        <v>872</v>
      </c>
      <c r="B3471" t="s">
        <v>6</v>
      </c>
      <c r="C3471" t="s">
        <v>7</v>
      </c>
      <c r="D3471" t="s">
        <v>45</v>
      </c>
      <c r="G3471">
        <v>2</v>
      </c>
    </row>
    <row r="3472" spans="1:7" x14ac:dyDescent="0.2">
      <c r="A3472" t="s">
        <v>872</v>
      </c>
      <c r="B3472" t="s">
        <v>6</v>
      </c>
      <c r="C3472" t="s">
        <v>7</v>
      </c>
      <c r="D3472" t="s">
        <v>46</v>
      </c>
      <c r="G3472">
        <v>12</v>
      </c>
    </row>
    <row r="3473" spans="1:7" x14ac:dyDescent="0.2">
      <c r="A3473" t="s">
        <v>872</v>
      </c>
      <c r="B3473" t="s">
        <v>47</v>
      </c>
      <c r="C3473" t="s">
        <v>48</v>
      </c>
      <c r="D3473" t="s">
        <v>8</v>
      </c>
      <c r="G3473">
        <v>1674</v>
      </c>
    </row>
    <row r="3474" spans="1:7" x14ac:dyDescent="0.2">
      <c r="A3474" t="s">
        <v>872</v>
      </c>
      <c r="B3474" t="s">
        <v>47</v>
      </c>
      <c r="C3474" t="s">
        <v>48</v>
      </c>
      <c r="D3474" t="s">
        <v>49</v>
      </c>
      <c r="E3474" t="s">
        <v>50</v>
      </c>
      <c r="F3474" t="s">
        <v>51</v>
      </c>
      <c r="G3474">
        <v>97</v>
      </c>
    </row>
    <row r="3475" spans="1:7" x14ac:dyDescent="0.2">
      <c r="A3475" t="s">
        <v>872</v>
      </c>
      <c r="B3475" t="s">
        <v>47</v>
      </c>
      <c r="C3475" t="s">
        <v>48</v>
      </c>
      <c r="D3475" t="s">
        <v>52</v>
      </c>
      <c r="E3475" t="s">
        <v>53</v>
      </c>
      <c r="F3475" t="s">
        <v>22</v>
      </c>
      <c r="G3475">
        <v>1196</v>
      </c>
    </row>
    <row r="3476" spans="1:7" x14ac:dyDescent="0.2">
      <c r="A3476" t="s">
        <v>872</v>
      </c>
      <c r="B3476" t="s">
        <v>47</v>
      </c>
      <c r="C3476" t="s">
        <v>48</v>
      </c>
      <c r="D3476" t="s">
        <v>54</v>
      </c>
      <c r="E3476" t="s">
        <v>55</v>
      </c>
      <c r="F3476" t="s">
        <v>28</v>
      </c>
      <c r="G3476">
        <v>326</v>
      </c>
    </row>
    <row r="3477" spans="1:7" x14ac:dyDescent="0.2">
      <c r="A3477" t="s">
        <v>872</v>
      </c>
      <c r="B3477" t="s">
        <v>47</v>
      </c>
      <c r="C3477" t="s">
        <v>48</v>
      </c>
      <c r="D3477" t="s">
        <v>56</v>
      </c>
      <c r="E3477" t="s">
        <v>57</v>
      </c>
      <c r="F3477" t="s">
        <v>11</v>
      </c>
      <c r="G3477">
        <v>0</v>
      </c>
    </row>
    <row r="3478" spans="1:7" x14ac:dyDescent="0.2">
      <c r="A3478" t="s">
        <v>872</v>
      </c>
      <c r="B3478" t="s">
        <v>47</v>
      </c>
      <c r="C3478" t="s">
        <v>48</v>
      </c>
      <c r="D3478" t="s">
        <v>45</v>
      </c>
      <c r="G3478">
        <v>2</v>
      </c>
    </row>
    <row r="3479" spans="1:7" x14ac:dyDescent="0.2">
      <c r="A3479" t="s">
        <v>872</v>
      </c>
      <c r="B3479" t="s">
        <v>47</v>
      </c>
      <c r="C3479" t="s">
        <v>48</v>
      </c>
      <c r="D3479" t="s">
        <v>46</v>
      </c>
      <c r="G3479">
        <v>46</v>
      </c>
    </row>
    <row r="3480" spans="1:7" x14ac:dyDescent="0.2">
      <c r="A3480" t="s">
        <v>872</v>
      </c>
      <c r="B3480" t="s">
        <v>66</v>
      </c>
      <c r="C3480" t="s">
        <v>67</v>
      </c>
      <c r="D3480" t="s">
        <v>8</v>
      </c>
      <c r="G3480">
        <v>1674</v>
      </c>
    </row>
    <row r="3481" spans="1:7" x14ac:dyDescent="0.2">
      <c r="A3481" t="s">
        <v>872</v>
      </c>
      <c r="B3481" t="s">
        <v>66</v>
      </c>
      <c r="C3481" t="s">
        <v>67</v>
      </c>
      <c r="D3481" t="s">
        <v>68</v>
      </c>
      <c r="E3481" t="s">
        <v>69</v>
      </c>
      <c r="F3481" t="s">
        <v>28</v>
      </c>
      <c r="G3481">
        <v>325</v>
      </c>
    </row>
    <row r="3482" spans="1:7" x14ac:dyDescent="0.2">
      <c r="A3482" t="s">
        <v>872</v>
      </c>
      <c r="B3482" t="s">
        <v>66</v>
      </c>
      <c r="C3482" t="s">
        <v>67</v>
      </c>
      <c r="D3482" t="s">
        <v>70</v>
      </c>
      <c r="E3482" t="s">
        <v>71</v>
      </c>
      <c r="F3482" t="s">
        <v>16</v>
      </c>
      <c r="G3482">
        <v>55</v>
      </c>
    </row>
    <row r="3483" spans="1:7" x14ac:dyDescent="0.2">
      <c r="A3483" t="s">
        <v>872</v>
      </c>
      <c r="B3483" t="s">
        <v>66</v>
      </c>
      <c r="C3483" t="s">
        <v>67</v>
      </c>
      <c r="D3483" t="s">
        <v>72</v>
      </c>
      <c r="E3483" t="s">
        <v>73</v>
      </c>
      <c r="F3483" t="s">
        <v>22</v>
      </c>
      <c r="G3483">
        <v>1211</v>
      </c>
    </row>
    <row r="3484" spans="1:7" x14ac:dyDescent="0.2">
      <c r="A3484" t="s">
        <v>872</v>
      </c>
      <c r="B3484" t="s">
        <v>66</v>
      </c>
      <c r="C3484" t="s">
        <v>67</v>
      </c>
      <c r="D3484" t="s">
        <v>74</v>
      </c>
      <c r="E3484" t="s">
        <v>75</v>
      </c>
      <c r="F3484" t="s">
        <v>11</v>
      </c>
      <c r="G3484">
        <v>28</v>
      </c>
    </row>
    <row r="3485" spans="1:7" x14ac:dyDescent="0.2">
      <c r="A3485" t="s">
        <v>872</v>
      </c>
      <c r="B3485" t="s">
        <v>66</v>
      </c>
      <c r="C3485" t="s">
        <v>67</v>
      </c>
      <c r="D3485" t="s">
        <v>45</v>
      </c>
      <c r="G3485">
        <v>0</v>
      </c>
    </row>
    <row r="3486" spans="1:7" x14ac:dyDescent="0.2">
      <c r="A3486" t="s">
        <v>872</v>
      </c>
      <c r="B3486" t="s">
        <v>66</v>
      </c>
      <c r="C3486" t="s">
        <v>67</v>
      </c>
      <c r="D3486" t="s">
        <v>46</v>
      </c>
      <c r="G3486">
        <v>55</v>
      </c>
    </row>
    <row r="3487" spans="1:7" x14ac:dyDescent="0.2">
      <c r="A3487" t="s">
        <v>872</v>
      </c>
      <c r="B3487" t="s">
        <v>93</v>
      </c>
      <c r="C3487" t="s">
        <v>94</v>
      </c>
      <c r="D3487" t="s">
        <v>8</v>
      </c>
      <c r="G3487">
        <v>1672</v>
      </c>
    </row>
    <row r="3488" spans="1:7" x14ac:dyDescent="0.2">
      <c r="A3488" t="s">
        <v>872</v>
      </c>
      <c r="B3488" t="s">
        <v>93</v>
      </c>
      <c r="C3488" t="s">
        <v>94</v>
      </c>
      <c r="D3488" t="s">
        <v>95</v>
      </c>
      <c r="E3488" t="s">
        <v>96</v>
      </c>
      <c r="F3488" t="s">
        <v>22</v>
      </c>
      <c r="G3488">
        <v>925</v>
      </c>
    </row>
    <row r="3489" spans="1:7" x14ac:dyDescent="0.2">
      <c r="A3489" t="s">
        <v>872</v>
      </c>
      <c r="B3489" t="s">
        <v>93</v>
      </c>
      <c r="C3489" t="s">
        <v>94</v>
      </c>
      <c r="D3489" t="s">
        <v>97</v>
      </c>
      <c r="E3489" t="s">
        <v>98</v>
      </c>
      <c r="F3489" t="s">
        <v>51</v>
      </c>
      <c r="G3489">
        <v>28</v>
      </c>
    </row>
    <row r="3490" spans="1:7" x14ac:dyDescent="0.2">
      <c r="A3490" t="s">
        <v>872</v>
      </c>
      <c r="B3490" t="s">
        <v>93</v>
      </c>
      <c r="C3490" t="s">
        <v>94</v>
      </c>
      <c r="D3490" t="s">
        <v>99</v>
      </c>
      <c r="E3490" t="s">
        <v>100</v>
      </c>
      <c r="F3490" t="s">
        <v>28</v>
      </c>
      <c r="G3490">
        <v>287</v>
      </c>
    </row>
    <row r="3491" spans="1:7" x14ac:dyDescent="0.2">
      <c r="A3491" t="s">
        <v>872</v>
      </c>
      <c r="B3491" t="s">
        <v>93</v>
      </c>
      <c r="C3491" t="s">
        <v>94</v>
      </c>
      <c r="D3491" t="s">
        <v>101</v>
      </c>
      <c r="E3491" t="s">
        <v>102</v>
      </c>
      <c r="F3491" t="s">
        <v>25</v>
      </c>
      <c r="G3491">
        <v>23</v>
      </c>
    </row>
    <row r="3492" spans="1:7" x14ac:dyDescent="0.2">
      <c r="A3492" t="s">
        <v>872</v>
      </c>
      <c r="B3492" t="s">
        <v>93</v>
      </c>
      <c r="C3492" t="s">
        <v>94</v>
      </c>
      <c r="D3492" t="s">
        <v>103</v>
      </c>
      <c r="E3492" t="s">
        <v>104</v>
      </c>
      <c r="F3492" t="s">
        <v>11</v>
      </c>
      <c r="G3492">
        <v>2</v>
      </c>
    </row>
    <row r="3493" spans="1:7" x14ac:dyDescent="0.2">
      <c r="A3493" t="s">
        <v>872</v>
      </c>
      <c r="B3493" t="s">
        <v>93</v>
      </c>
      <c r="C3493" t="s">
        <v>94</v>
      </c>
      <c r="D3493" t="s">
        <v>105</v>
      </c>
      <c r="E3493" t="s">
        <v>106</v>
      </c>
      <c r="F3493" t="s">
        <v>11</v>
      </c>
      <c r="G3493">
        <v>354</v>
      </c>
    </row>
    <row r="3494" spans="1:7" x14ac:dyDescent="0.2">
      <c r="A3494" t="s">
        <v>872</v>
      </c>
      <c r="B3494" t="s">
        <v>93</v>
      </c>
      <c r="C3494" t="s">
        <v>94</v>
      </c>
      <c r="D3494" t="s">
        <v>107</v>
      </c>
      <c r="E3494" t="s">
        <v>108</v>
      </c>
      <c r="F3494" t="s">
        <v>11</v>
      </c>
      <c r="G3494">
        <v>0</v>
      </c>
    </row>
    <row r="3495" spans="1:7" x14ac:dyDescent="0.2">
      <c r="A3495" t="s">
        <v>872</v>
      </c>
      <c r="B3495" t="s">
        <v>93</v>
      </c>
      <c r="C3495" t="s">
        <v>94</v>
      </c>
      <c r="D3495" t="s">
        <v>45</v>
      </c>
      <c r="G3495">
        <v>5</v>
      </c>
    </row>
    <row r="3496" spans="1:7" x14ac:dyDescent="0.2">
      <c r="A3496" t="s">
        <v>872</v>
      </c>
      <c r="B3496" t="s">
        <v>93</v>
      </c>
      <c r="C3496" t="s">
        <v>94</v>
      </c>
      <c r="D3496" t="s">
        <v>46</v>
      </c>
      <c r="G3496">
        <v>46</v>
      </c>
    </row>
    <row r="3497" spans="1:7" x14ac:dyDescent="0.2">
      <c r="A3497" t="s">
        <v>872</v>
      </c>
      <c r="B3497" t="s">
        <v>109</v>
      </c>
      <c r="C3497" t="s">
        <v>110</v>
      </c>
      <c r="D3497" t="s">
        <v>8</v>
      </c>
      <c r="G3497">
        <v>1672</v>
      </c>
    </row>
    <row r="3498" spans="1:7" x14ac:dyDescent="0.2">
      <c r="A3498" t="s">
        <v>872</v>
      </c>
      <c r="B3498" t="s">
        <v>109</v>
      </c>
      <c r="C3498" t="s">
        <v>110</v>
      </c>
      <c r="D3498" t="s">
        <v>111</v>
      </c>
      <c r="E3498" t="s">
        <v>112</v>
      </c>
      <c r="F3498" t="s">
        <v>22</v>
      </c>
      <c r="G3498">
        <v>1181</v>
      </c>
    </row>
    <row r="3499" spans="1:7" x14ac:dyDescent="0.2">
      <c r="A3499" t="s">
        <v>872</v>
      </c>
      <c r="B3499" t="s">
        <v>109</v>
      </c>
      <c r="C3499" t="s">
        <v>110</v>
      </c>
      <c r="D3499" t="s">
        <v>113</v>
      </c>
      <c r="E3499" t="s">
        <v>114</v>
      </c>
      <c r="F3499" t="s">
        <v>28</v>
      </c>
      <c r="G3499">
        <v>282</v>
      </c>
    </row>
    <row r="3500" spans="1:7" x14ac:dyDescent="0.2">
      <c r="A3500" t="s">
        <v>872</v>
      </c>
      <c r="B3500" t="s">
        <v>109</v>
      </c>
      <c r="C3500" t="s">
        <v>110</v>
      </c>
      <c r="D3500" t="s">
        <v>115</v>
      </c>
      <c r="E3500" t="s">
        <v>116</v>
      </c>
      <c r="F3500" t="s">
        <v>25</v>
      </c>
      <c r="G3500">
        <v>44</v>
      </c>
    </row>
    <row r="3501" spans="1:7" x14ac:dyDescent="0.2">
      <c r="A3501" t="s">
        <v>872</v>
      </c>
      <c r="B3501" t="s">
        <v>109</v>
      </c>
      <c r="C3501" t="s">
        <v>110</v>
      </c>
      <c r="D3501" t="s">
        <v>117</v>
      </c>
      <c r="E3501" t="s">
        <v>118</v>
      </c>
      <c r="F3501" t="s">
        <v>11</v>
      </c>
      <c r="G3501">
        <v>25</v>
      </c>
    </row>
    <row r="3502" spans="1:7" x14ac:dyDescent="0.2">
      <c r="A3502" t="s">
        <v>872</v>
      </c>
      <c r="B3502" t="s">
        <v>109</v>
      </c>
      <c r="C3502" t="s">
        <v>110</v>
      </c>
      <c r="D3502" t="s">
        <v>119</v>
      </c>
      <c r="E3502" t="s">
        <v>120</v>
      </c>
      <c r="F3502" t="s">
        <v>88</v>
      </c>
      <c r="G3502">
        <v>71</v>
      </c>
    </row>
    <row r="3503" spans="1:7" x14ac:dyDescent="0.2">
      <c r="A3503" t="s">
        <v>872</v>
      </c>
      <c r="B3503" t="s">
        <v>109</v>
      </c>
      <c r="C3503" t="s">
        <v>110</v>
      </c>
      <c r="D3503" t="s">
        <v>45</v>
      </c>
      <c r="G3503">
        <v>0</v>
      </c>
    </row>
    <row r="3504" spans="1:7" x14ac:dyDescent="0.2">
      <c r="A3504" t="s">
        <v>872</v>
      </c>
      <c r="B3504" t="s">
        <v>109</v>
      </c>
      <c r="C3504" t="s">
        <v>110</v>
      </c>
      <c r="D3504" t="s">
        <v>46</v>
      </c>
      <c r="G3504">
        <v>69</v>
      </c>
    </row>
    <row r="3505" spans="1:7" x14ac:dyDescent="0.2">
      <c r="A3505" t="s">
        <v>872</v>
      </c>
      <c r="B3505" t="s">
        <v>121</v>
      </c>
      <c r="C3505" t="s">
        <v>122</v>
      </c>
      <c r="D3505" t="s">
        <v>8</v>
      </c>
      <c r="G3505">
        <v>1672</v>
      </c>
    </row>
    <row r="3506" spans="1:7" x14ac:dyDescent="0.2">
      <c r="A3506" t="s">
        <v>872</v>
      </c>
      <c r="B3506" t="s">
        <v>121</v>
      </c>
      <c r="C3506" t="s">
        <v>122</v>
      </c>
      <c r="D3506" t="s">
        <v>123</v>
      </c>
      <c r="E3506" t="s">
        <v>124</v>
      </c>
      <c r="F3506" t="s">
        <v>22</v>
      </c>
      <c r="G3506">
        <v>1208</v>
      </c>
    </row>
    <row r="3507" spans="1:7" x14ac:dyDescent="0.2">
      <c r="A3507" t="s">
        <v>872</v>
      </c>
      <c r="B3507" t="s">
        <v>121</v>
      </c>
      <c r="C3507" t="s">
        <v>122</v>
      </c>
      <c r="D3507" t="s">
        <v>125</v>
      </c>
      <c r="E3507" t="s">
        <v>126</v>
      </c>
      <c r="F3507" t="s">
        <v>16</v>
      </c>
      <c r="G3507">
        <v>59</v>
      </c>
    </row>
    <row r="3508" spans="1:7" x14ac:dyDescent="0.2">
      <c r="A3508" t="s">
        <v>872</v>
      </c>
      <c r="B3508" t="s">
        <v>121</v>
      </c>
      <c r="C3508" t="s">
        <v>122</v>
      </c>
      <c r="D3508" t="s">
        <v>127</v>
      </c>
      <c r="E3508" t="s">
        <v>128</v>
      </c>
      <c r="F3508" t="s">
        <v>28</v>
      </c>
      <c r="G3508">
        <v>309</v>
      </c>
    </row>
    <row r="3509" spans="1:7" x14ac:dyDescent="0.2">
      <c r="A3509" t="s">
        <v>872</v>
      </c>
      <c r="B3509" t="s">
        <v>121</v>
      </c>
      <c r="C3509" t="s">
        <v>122</v>
      </c>
      <c r="D3509" t="s">
        <v>45</v>
      </c>
      <c r="G3509">
        <v>0</v>
      </c>
    </row>
    <row r="3510" spans="1:7" x14ac:dyDescent="0.2">
      <c r="A3510" t="s">
        <v>872</v>
      </c>
      <c r="B3510" t="s">
        <v>121</v>
      </c>
      <c r="C3510" t="s">
        <v>122</v>
      </c>
      <c r="D3510" t="s">
        <v>46</v>
      </c>
      <c r="G3510">
        <v>96</v>
      </c>
    </row>
    <row r="3511" spans="1:7" x14ac:dyDescent="0.2">
      <c r="A3511" t="s">
        <v>872</v>
      </c>
      <c r="B3511" t="s">
        <v>129</v>
      </c>
      <c r="C3511" t="s">
        <v>130</v>
      </c>
      <c r="D3511" t="s">
        <v>8</v>
      </c>
      <c r="G3511">
        <v>1672</v>
      </c>
    </row>
    <row r="3512" spans="1:7" x14ac:dyDescent="0.2">
      <c r="A3512" t="s">
        <v>872</v>
      </c>
      <c r="B3512" t="s">
        <v>129</v>
      </c>
      <c r="C3512" t="s">
        <v>130</v>
      </c>
      <c r="D3512" t="s">
        <v>131</v>
      </c>
      <c r="E3512" t="s">
        <v>132</v>
      </c>
      <c r="F3512" t="s">
        <v>133</v>
      </c>
      <c r="G3512">
        <v>51</v>
      </c>
    </row>
    <row r="3513" spans="1:7" x14ac:dyDescent="0.2">
      <c r="A3513" t="s">
        <v>872</v>
      </c>
      <c r="B3513" t="s">
        <v>129</v>
      </c>
      <c r="C3513" t="s">
        <v>130</v>
      </c>
      <c r="D3513" t="s">
        <v>134</v>
      </c>
      <c r="E3513" t="s">
        <v>135</v>
      </c>
      <c r="F3513" t="s">
        <v>22</v>
      </c>
      <c r="G3513">
        <v>1226</v>
      </c>
    </row>
    <row r="3514" spans="1:7" x14ac:dyDescent="0.2">
      <c r="A3514" t="s">
        <v>872</v>
      </c>
      <c r="B3514" t="s">
        <v>129</v>
      </c>
      <c r="C3514" t="s">
        <v>130</v>
      </c>
      <c r="D3514" t="s">
        <v>136</v>
      </c>
      <c r="E3514" t="s">
        <v>137</v>
      </c>
      <c r="F3514" t="s">
        <v>28</v>
      </c>
      <c r="G3514">
        <v>305</v>
      </c>
    </row>
    <row r="3515" spans="1:7" x14ac:dyDescent="0.2">
      <c r="A3515" t="s">
        <v>872</v>
      </c>
      <c r="B3515" t="s">
        <v>129</v>
      </c>
      <c r="C3515" t="s">
        <v>130</v>
      </c>
      <c r="D3515" t="s">
        <v>45</v>
      </c>
      <c r="G3515">
        <v>0</v>
      </c>
    </row>
    <row r="3516" spans="1:7" x14ac:dyDescent="0.2">
      <c r="A3516" t="s">
        <v>872</v>
      </c>
      <c r="B3516" t="s">
        <v>129</v>
      </c>
      <c r="C3516" t="s">
        <v>130</v>
      </c>
      <c r="D3516" t="s">
        <v>46</v>
      </c>
      <c r="G3516">
        <v>90</v>
      </c>
    </row>
    <row r="3517" spans="1:7" x14ac:dyDescent="0.2">
      <c r="A3517" t="s">
        <v>872</v>
      </c>
      <c r="B3517" t="s">
        <v>210</v>
      </c>
      <c r="C3517" t="s">
        <v>211</v>
      </c>
      <c r="D3517" t="s">
        <v>8</v>
      </c>
      <c r="G3517">
        <v>148</v>
      </c>
    </row>
    <row r="3518" spans="1:7" x14ac:dyDescent="0.2">
      <c r="A3518" t="s">
        <v>872</v>
      </c>
      <c r="B3518" t="s">
        <v>210</v>
      </c>
      <c r="C3518" t="s">
        <v>211</v>
      </c>
      <c r="D3518" t="s">
        <v>212</v>
      </c>
      <c r="E3518" t="s">
        <v>213</v>
      </c>
      <c r="F3518" t="s">
        <v>11</v>
      </c>
      <c r="G3518">
        <v>5</v>
      </c>
    </row>
    <row r="3519" spans="1:7" x14ac:dyDescent="0.2">
      <c r="A3519" t="s">
        <v>872</v>
      </c>
      <c r="B3519" t="s">
        <v>210</v>
      </c>
      <c r="C3519" t="s">
        <v>211</v>
      </c>
      <c r="D3519" t="s">
        <v>214</v>
      </c>
      <c r="E3519" t="s">
        <v>215</v>
      </c>
      <c r="F3519" t="s">
        <v>28</v>
      </c>
      <c r="G3519">
        <v>26</v>
      </c>
    </row>
    <row r="3520" spans="1:7" x14ac:dyDescent="0.2">
      <c r="A3520" t="s">
        <v>872</v>
      </c>
      <c r="B3520" t="s">
        <v>210</v>
      </c>
      <c r="C3520" t="s">
        <v>211</v>
      </c>
      <c r="D3520" t="s">
        <v>216</v>
      </c>
      <c r="E3520" t="s">
        <v>217</v>
      </c>
      <c r="F3520" t="s">
        <v>22</v>
      </c>
      <c r="G3520">
        <v>113</v>
      </c>
    </row>
    <row r="3521" spans="1:7" x14ac:dyDescent="0.2">
      <c r="A3521" t="s">
        <v>872</v>
      </c>
      <c r="B3521" t="s">
        <v>210</v>
      </c>
      <c r="C3521" t="s">
        <v>211</v>
      </c>
      <c r="D3521" t="s">
        <v>45</v>
      </c>
      <c r="G3521">
        <v>0</v>
      </c>
    </row>
    <row r="3522" spans="1:7" x14ac:dyDescent="0.2">
      <c r="A3522" t="s">
        <v>872</v>
      </c>
      <c r="B3522" t="s">
        <v>210</v>
      </c>
      <c r="C3522" t="s">
        <v>211</v>
      </c>
      <c r="D3522" t="s">
        <v>46</v>
      </c>
      <c r="G3522">
        <v>4</v>
      </c>
    </row>
    <row r="3523" spans="1:7" x14ac:dyDescent="0.2">
      <c r="A3523" t="s">
        <v>872</v>
      </c>
      <c r="B3523" t="s">
        <v>218</v>
      </c>
      <c r="C3523" t="s">
        <v>219</v>
      </c>
      <c r="D3523" t="s">
        <v>8</v>
      </c>
      <c r="G3523">
        <v>1524</v>
      </c>
    </row>
    <row r="3524" spans="1:7" x14ac:dyDescent="0.2">
      <c r="A3524" t="s">
        <v>872</v>
      </c>
      <c r="B3524" t="s">
        <v>218</v>
      </c>
      <c r="C3524" t="s">
        <v>219</v>
      </c>
      <c r="D3524" t="s">
        <v>220</v>
      </c>
      <c r="E3524" t="s">
        <v>221</v>
      </c>
      <c r="F3524" t="s">
        <v>22</v>
      </c>
      <c r="G3524">
        <v>1163</v>
      </c>
    </row>
    <row r="3525" spans="1:7" x14ac:dyDescent="0.2">
      <c r="A3525" t="s">
        <v>872</v>
      </c>
      <c r="B3525" t="s">
        <v>218</v>
      </c>
      <c r="C3525" t="s">
        <v>219</v>
      </c>
      <c r="D3525" t="s">
        <v>45</v>
      </c>
      <c r="G3525">
        <v>0</v>
      </c>
    </row>
    <row r="3526" spans="1:7" x14ac:dyDescent="0.2">
      <c r="A3526" t="s">
        <v>872</v>
      </c>
      <c r="B3526" t="s">
        <v>218</v>
      </c>
      <c r="C3526" t="s">
        <v>219</v>
      </c>
      <c r="D3526" t="s">
        <v>46</v>
      </c>
      <c r="G3526">
        <v>361</v>
      </c>
    </row>
    <row r="3527" spans="1:7" x14ac:dyDescent="0.2">
      <c r="A3527" t="s">
        <v>872</v>
      </c>
      <c r="B3527" t="s">
        <v>612</v>
      </c>
      <c r="C3527" t="s">
        <v>613</v>
      </c>
      <c r="D3527" t="s">
        <v>8</v>
      </c>
      <c r="G3527">
        <v>1672</v>
      </c>
    </row>
    <row r="3528" spans="1:7" x14ac:dyDescent="0.2">
      <c r="A3528" t="s">
        <v>872</v>
      </c>
      <c r="B3528" t="s">
        <v>612</v>
      </c>
      <c r="C3528" t="s">
        <v>613</v>
      </c>
      <c r="D3528" t="s">
        <v>614</v>
      </c>
      <c r="E3528" t="s">
        <v>615</v>
      </c>
      <c r="F3528" t="s">
        <v>22</v>
      </c>
      <c r="G3528">
        <v>1171</v>
      </c>
    </row>
    <row r="3529" spans="1:7" x14ac:dyDescent="0.2">
      <c r="A3529" t="s">
        <v>872</v>
      </c>
      <c r="B3529" t="s">
        <v>612</v>
      </c>
      <c r="C3529" t="s">
        <v>613</v>
      </c>
      <c r="D3529" t="s">
        <v>616</v>
      </c>
      <c r="E3529" t="s">
        <v>617</v>
      </c>
      <c r="F3529" t="s">
        <v>28</v>
      </c>
      <c r="G3529">
        <v>413</v>
      </c>
    </row>
    <row r="3530" spans="1:7" x14ac:dyDescent="0.2">
      <c r="A3530" t="s">
        <v>872</v>
      </c>
      <c r="B3530" t="s">
        <v>612</v>
      </c>
      <c r="C3530" t="s">
        <v>613</v>
      </c>
      <c r="D3530" t="s">
        <v>45</v>
      </c>
      <c r="G3530">
        <v>0</v>
      </c>
    </row>
    <row r="3531" spans="1:7" x14ac:dyDescent="0.2">
      <c r="A3531" t="s">
        <v>872</v>
      </c>
      <c r="B3531" t="s">
        <v>612</v>
      </c>
      <c r="C3531" t="s">
        <v>613</v>
      </c>
      <c r="D3531" t="s">
        <v>46</v>
      </c>
      <c r="G3531">
        <v>88</v>
      </c>
    </row>
    <row r="3532" spans="1:7" x14ac:dyDescent="0.2">
      <c r="A3532" t="s">
        <v>872</v>
      </c>
      <c r="B3532" t="s">
        <v>688</v>
      </c>
      <c r="C3532" t="s">
        <v>689</v>
      </c>
      <c r="D3532" t="s">
        <v>8</v>
      </c>
      <c r="G3532">
        <v>1672</v>
      </c>
    </row>
    <row r="3533" spans="1:7" x14ac:dyDescent="0.2">
      <c r="A3533" t="s">
        <v>872</v>
      </c>
      <c r="B3533" t="s">
        <v>688</v>
      </c>
      <c r="C3533" t="s">
        <v>689</v>
      </c>
      <c r="D3533" t="s">
        <v>690</v>
      </c>
      <c r="E3533" t="s">
        <v>691</v>
      </c>
      <c r="F3533" t="s">
        <v>22</v>
      </c>
      <c r="G3533">
        <v>1221</v>
      </c>
    </row>
    <row r="3534" spans="1:7" x14ac:dyDescent="0.2">
      <c r="A3534" t="s">
        <v>872</v>
      </c>
      <c r="B3534" t="s">
        <v>688</v>
      </c>
      <c r="C3534" t="s">
        <v>689</v>
      </c>
      <c r="D3534" t="s">
        <v>45</v>
      </c>
      <c r="G3534">
        <v>0</v>
      </c>
    </row>
    <row r="3535" spans="1:7" x14ac:dyDescent="0.2">
      <c r="A3535" t="s">
        <v>872</v>
      </c>
      <c r="B3535" t="s">
        <v>688</v>
      </c>
      <c r="C3535" t="s">
        <v>689</v>
      </c>
      <c r="D3535" t="s">
        <v>46</v>
      </c>
      <c r="G3535">
        <v>451</v>
      </c>
    </row>
    <row r="3536" spans="1:7" x14ac:dyDescent="0.2">
      <c r="A3536" t="s">
        <v>872</v>
      </c>
      <c r="B3536" t="s">
        <v>692</v>
      </c>
      <c r="C3536" t="s">
        <v>693</v>
      </c>
      <c r="D3536" t="s">
        <v>8</v>
      </c>
      <c r="G3536">
        <v>1672</v>
      </c>
    </row>
    <row r="3537" spans="1:7" x14ac:dyDescent="0.2">
      <c r="A3537" t="s">
        <v>872</v>
      </c>
      <c r="B3537" t="s">
        <v>692</v>
      </c>
      <c r="C3537" t="s">
        <v>693</v>
      </c>
      <c r="D3537" t="s">
        <v>694</v>
      </c>
      <c r="E3537" t="s">
        <v>695</v>
      </c>
      <c r="G3537">
        <v>1095</v>
      </c>
    </row>
    <row r="3538" spans="1:7" x14ac:dyDescent="0.2">
      <c r="A3538" t="s">
        <v>872</v>
      </c>
      <c r="B3538" t="s">
        <v>692</v>
      </c>
      <c r="C3538" t="s">
        <v>693</v>
      </c>
      <c r="D3538" t="s">
        <v>696</v>
      </c>
      <c r="E3538" t="s">
        <v>697</v>
      </c>
      <c r="G3538">
        <v>255</v>
      </c>
    </row>
    <row r="3539" spans="1:7" x14ac:dyDescent="0.2">
      <c r="A3539" t="s">
        <v>872</v>
      </c>
      <c r="B3539" t="s">
        <v>692</v>
      </c>
      <c r="C3539" t="s">
        <v>693</v>
      </c>
      <c r="D3539" t="s">
        <v>45</v>
      </c>
      <c r="G3539">
        <v>0</v>
      </c>
    </row>
    <row r="3540" spans="1:7" x14ac:dyDescent="0.2">
      <c r="A3540" t="s">
        <v>872</v>
      </c>
      <c r="B3540" t="s">
        <v>692</v>
      </c>
      <c r="C3540" t="s">
        <v>693</v>
      </c>
      <c r="D3540" t="s">
        <v>46</v>
      </c>
      <c r="G3540">
        <v>322</v>
      </c>
    </row>
    <row r="3541" spans="1:7" x14ac:dyDescent="0.2">
      <c r="A3541" t="s">
        <v>872</v>
      </c>
      <c r="B3541" t="s">
        <v>698</v>
      </c>
      <c r="C3541" t="s">
        <v>699</v>
      </c>
      <c r="D3541" t="s">
        <v>8</v>
      </c>
      <c r="G3541">
        <v>1672</v>
      </c>
    </row>
    <row r="3542" spans="1:7" x14ac:dyDescent="0.2">
      <c r="A3542" t="s">
        <v>872</v>
      </c>
      <c r="B3542" t="s">
        <v>698</v>
      </c>
      <c r="C3542" t="s">
        <v>699</v>
      </c>
      <c r="D3542" t="s">
        <v>694</v>
      </c>
      <c r="E3542" t="s">
        <v>700</v>
      </c>
      <c r="G3542">
        <v>1089</v>
      </c>
    </row>
    <row r="3543" spans="1:7" x14ac:dyDescent="0.2">
      <c r="A3543" t="s">
        <v>872</v>
      </c>
      <c r="B3543" t="s">
        <v>698</v>
      </c>
      <c r="C3543" t="s">
        <v>699</v>
      </c>
      <c r="D3543" t="s">
        <v>696</v>
      </c>
      <c r="E3543" t="s">
        <v>701</v>
      </c>
      <c r="G3543">
        <v>260</v>
      </c>
    </row>
    <row r="3544" spans="1:7" x14ac:dyDescent="0.2">
      <c r="A3544" t="s">
        <v>872</v>
      </c>
      <c r="B3544" t="s">
        <v>698</v>
      </c>
      <c r="C3544" t="s">
        <v>699</v>
      </c>
      <c r="D3544" t="s">
        <v>45</v>
      </c>
      <c r="G3544">
        <v>0</v>
      </c>
    </row>
    <row r="3545" spans="1:7" x14ac:dyDescent="0.2">
      <c r="A3545" t="s">
        <v>872</v>
      </c>
      <c r="B3545" t="s">
        <v>698</v>
      </c>
      <c r="C3545" t="s">
        <v>699</v>
      </c>
      <c r="D3545" t="s">
        <v>46</v>
      </c>
      <c r="G3545">
        <v>323</v>
      </c>
    </row>
    <row r="3546" spans="1:7" x14ac:dyDescent="0.2">
      <c r="A3546" t="s">
        <v>872</v>
      </c>
      <c r="B3546" t="s">
        <v>834</v>
      </c>
      <c r="C3546" t="s">
        <v>835</v>
      </c>
      <c r="D3546" t="s">
        <v>8</v>
      </c>
      <c r="G3546">
        <v>1672</v>
      </c>
    </row>
    <row r="3547" spans="1:7" x14ac:dyDescent="0.2">
      <c r="A3547" t="s">
        <v>872</v>
      </c>
      <c r="B3547" t="s">
        <v>834</v>
      </c>
      <c r="C3547" t="s">
        <v>835</v>
      </c>
      <c r="D3547" t="s">
        <v>836</v>
      </c>
      <c r="E3547" t="s">
        <v>837</v>
      </c>
      <c r="G3547">
        <v>1040</v>
      </c>
    </row>
    <row r="3548" spans="1:7" x14ac:dyDescent="0.2">
      <c r="A3548" t="s">
        <v>872</v>
      </c>
      <c r="B3548" t="s">
        <v>834</v>
      </c>
      <c r="C3548" t="s">
        <v>835</v>
      </c>
      <c r="D3548" t="s">
        <v>838</v>
      </c>
      <c r="E3548" t="s">
        <v>839</v>
      </c>
      <c r="G3548">
        <v>507</v>
      </c>
    </row>
    <row r="3549" spans="1:7" x14ac:dyDescent="0.2">
      <c r="A3549" t="s">
        <v>872</v>
      </c>
      <c r="B3549" t="s">
        <v>834</v>
      </c>
      <c r="C3549" t="s">
        <v>835</v>
      </c>
      <c r="D3549" t="s">
        <v>45</v>
      </c>
      <c r="G3549">
        <v>0</v>
      </c>
    </row>
    <row r="3550" spans="1:7" x14ac:dyDescent="0.2">
      <c r="A3550" t="s">
        <v>872</v>
      </c>
      <c r="B3550" t="s">
        <v>834</v>
      </c>
      <c r="C3550" t="s">
        <v>835</v>
      </c>
      <c r="D3550" t="s">
        <v>46</v>
      </c>
      <c r="G3550">
        <v>125</v>
      </c>
    </row>
    <row r="3551" spans="1:7" x14ac:dyDescent="0.2">
      <c r="A3551" t="s">
        <v>872</v>
      </c>
      <c r="B3551" t="s">
        <v>840</v>
      </c>
      <c r="C3551" t="s">
        <v>841</v>
      </c>
      <c r="D3551" t="s">
        <v>8</v>
      </c>
      <c r="G3551">
        <v>1672</v>
      </c>
    </row>
    <row r="3552" spans="1:7" x14ac:dyDescent="0.2">
      <c r="A3552" t="s">
        <v>872</v>
      </c>
      <c r="B3552" t="s">
        <v>840</v>
      </c>
      <c r="C3552" t="s">
        <v>841</v>
      </c>
      <c r="D3552" t="s">
        <v>836</v>
      </c>
      <c r="E3552" t="s">
        <v>842</v>
      </c>
      <c r="G3552">
        <v>1406</v>
      </c>
    </row>
    <row r="3553" spans="1:7" x14ac:dyDescent="0.2">
      <c r="A3553" t="s">
        <v>872</v>
      </c>
      <c r="B3553" t="s">
        <v>840</v>
      </c>
      <c r="C3553" t="s">
        <v>841</v>
      </c>
      <c r="D3553" t="s">
        <v>838</v>
      </c>
      <c r="E3553" t="s">
        <v>843</v>
      </c>
      <c r="G3553">
        <v>180</v>
      </c>
    </row>
    <row r="3554" spans="1:7" x14ac:dyDescent="0.2">
      <c r="A3554" t="s">
        <v>872</v>
      </c>
      <c r="B3554" t="s">
        <v>840</v>
      </c>
      <c r="C3554" t="s">
        <v>841</v>
      </c>
      <c r="D3554" t="s">
        <v>45</v>
      </c>
      <c r="G3554">
        <v>1</v>
      </c>
    </row>
    <row r="3555" spans="1:7" x14ac:dyDescent="0.2">
      <c r="A3555" t="s">
        <v>872</v>
      </c>
      <c r="B3555" t="s">
        <v>840</v>
      </c>
      <c r="C3555" t="s">
        <v>841</v>
      </c>
      <c r="D3555" t="s">
        <v>46</v>
      </c>
      <c r="G3555">
        <v>85</v>
      </c>
    </row>
    <row r="3556" spans="1:7" x14ac:dyDescent="0.2">
      <c r="A3556" t="s">
        <v>873</v>
      </c>
      <c r="B3556" t="s">
        <v>6</v>
      </c>
      <c r="C3556" t="s">
        <v>7</v>
      </c>
      <c r="D3556" t="s">
        <v>8</v>
      </c>
      <c r="G3556">
        <v>114612</v>
      </c>
    </row>
    <row r="3557" spans="1:7" x14ac:dyDescent="0.2">
      <c r="A3557" t="s">
        <v>873</v>
      </c>
      <c r="B3557" t="s">
        <v>6</v>
      </c>
      <c r="C3557" t="s">
        <v>7</v>
      </c>
      <c r="D3557" t="s">
        <v>9</v>
      </c>
      <c r="E3557" t="s">
        <v>10</v>
      </c>
      <c r="F3557" t="s">
        <v>11</v>
      </c>
      <c r="G3557">
        <v>189</v>
      </c>
    </row>
    <row r="3558" spans="1:7" x14ac:dyDescent="0.2">
      <c r="A3558" t="s">
        <v>873</v>
      </c>
      <c r="B3558" t="s">
        <v>6</v>
      </c>
      <c r="C3558" t="s">
        <v>7</v>
      </c>
      <c r="D3558" t="s">
        <v>12</v>
      </c>
      <c r="E3558" t="s">
        <v>13</v>
      </c>
      <c r="F3558" t="s">
        <v>11</v>
      </c>
      <c r="G3558">
        <v>234</v>
      </c>
    </row>
    <row r="3559" spans="1:7" x14ac:dyDescent="0.2">
      <c r="A3559" t="s">
        <v>873</v>
      </c>
      <c r="B3559" t="s">
        <v>6</v>
      </c>
      <c r="C3559" t="s">
        <v>7</v>
      </c>
      <c r="D3559" t="s">
        <v>14</v>
      </c>
      <c r="E3559" t="s">
        <v>15</v>
      </c>
      <c r="F3559" t="s">
        <v>16</v>
      </c>
      <c r="G3559">
        <v>580</v>
      </c>
    </row>
    <row r="3560" spans="1:7" x14ac:dyDescent="0.2">
      <c r="A3560" t="s">
        <v>873</v>
      </c>
      <c r="B3560" t="s">
        <v>6</v>
      </c>
      <c r="C3560" t="s">
        <v>7</v>
      </c>
      <c r="D3560" t="s">
        <v>17</v>
      </c>
      <c r="E3560" t="s">
        <v>18</v>
      </c>
      <c r="F3560" t="s">
        <v>19</v>
      </c>
      <c r="G3560">
        <v>644</v>
      </c>
    </row>
    <row r="3561" spans="1:7" x14ac:dyDescent="0.2">
      <c r="A3561" t="s">
        <v>873</v>
      </c>
      <c r="B3561" t="s">
        <v>6</v>
      </c>
      <c r="C3561" t="s">
        <v>7</v>
      </c>
      <c r="D3561" t="s">
        <v>20</v>
      </c>
      <c r="E3561" t="s">
        <v>21</v>
      </c>
      <c r="F3561" t="s">
        <v>22</v>
      </c>
      <c r="G3561">
        <v>67549</v>
      </c>
    </row>
    <row r="3562" spans="1:7" x14ac:dyDescent="0.2">
      <c r="A3562" t="s">
        <v>873</v>
      </c>
      <c r="B3562" t="s">
        <v>6</v>
      </c>
      <c r="C3562" t="s">
        <v>7</v>
      </c>
      <c r="D3562" t="s">
        <v>23</v>
      </c>
      <c r="E3562" t="s">
        <v>24</v>
      </c>
      <c r="F3562" t="s">
        <v>25</v>
      </c>
      <c r="G3562">
        <v>1325</v>
      </c>
    </row>
    <row r="3563" spans="1:7" x14ac:dyDescent="0.2">
      <c r="A3563" t="s">
        <v>873</v>
      </c>
      <c r="B3563" t="s">
        <v>6</v>
      </c>
      <c r="C3563" t="s">
        <v>7</v>
      </c>
      <c r="D3563" t="s">
        <v>26</v>
      </c>
      <c r="E3563" t="s">
        <v>27</v>
      </c>
      <c r="F3563" t="s">
        <v>28</v>
      </c>
      <c r="G3563">
        <v>41238</v>
      </c>
    </row>
    <row r="3564" spans="1:7" x14ac:dyDescent="0.2">
      <c r="A3564" t="s">
        <v>873</v>
      </c>
      <c r="B3564" t="s">
        <v>6</v>
      </c>
      <c r="C3564" t="s">
        <v>7</v>
      </c>
      <c r="D3564" t="s">
        <v>29</v>
      </c>
      <c r="E3564" t="s">
        <v>30</v>
      </c>
      <c r="F3564" t="s">
        <v>11</v>
      </c>
      <c r="G3564">
        <v>258</v>
      </c>
    </row>
    <row r="3565" spans="1:7" x14ac:dyDescent="0.2">
      <c r="A3565" t="s">
        <v>873</v>
      </c>
      <c r="B3565" t="s">
        <v>6</v>
      </c>
      <c r="C3565" t="s">
        <v>7</v>
      </c>
      <c r="D3565" t="s">
        <v>31</v>
      </c>
      <c r="E3565" t="s">
        <v>32</v>
      </c>
      <c r="F3565" t="s">
        <v>11</v>
      </c>
      <c r="G3565">
        <v>7</v>
      </c>
    </row>
    <row r="3566" spans="1:7" x14ac:dyDescent="0.2">
      <c r="A3566" t="s">
        <v>873</v>
      </c>
      <c r="B3566" t="s">
        <v>6</v>
      </c>
      <c r="C3566" t="s">
        <v>7</v>
      </c>
      <c r="D3566" t="s">
        <v>33</v>
      </c>
      <c r="E3566" t="s">
        <v>34</v>
      </c>
      <c r="F3566" t="s">
        <v>11</v>
      </c>
      <c r="G3566">
        <v>21</v>
      </c>
    </row>
    <row r="3567" spans="1:7" x14ac:dyDescent="0.2">
      <c r="A3567" t="s">
        <v>873</v>
      </c>
      <c r="B3567" t="s">
        <v>6</v>
      </c>
      <c r="C3567" t="s">
        <v>7</v>
      </c>
      <c r="D3567" t="s">
        <v>35</v>
      </c>
      <c r="E3567" t="s">
        <v>36</v>
      </c>
      <c r="F3567" t="s">
        <v>11</v>
      </c>
      <c r="G3567">
        <v>9</v>
      </c>
    </row>
    <row r="3568" spans="1:7" x14ac:dyDescent="0.2">
      <c r="A3568" t="s">
        <v>873</v>
      </c>
      <c r="B3568" t="s">
        <v>6</v>
      </c>
      <c r="C3568" t="s">
        <v>7</v>
      </c>
      <c r="D3568" t="s">
        <v>37</v>
      </c>
      <c r="E3568" t="s">
        <v>38</v>
      </c>
      <c r="F3568" t="s">
        <v>11</v>
      </c>
      <c r="G3568">
        <v>0</v>
      </c>
    </row>
    <row r="3569" spans="1:7" x14ac:dyDescent="0.2">
      <c r="A3569" t="s">
        <v>873</v>
      </c>
      <c r="B3569" t="s">
        <v>6</v>
      </c>
      <c r="C3569" t="s">
        <v>7</v>
      </c>
      <c r="D3569" t="s">
        <v>39</v>
      </c>
      <c r="E3569" t="s">
        <v>40</v>
      </c>
      <c r="F3569" t="s">
        <v>11</v>
      </c>
      <c r="G3569">
        <v>0</v>
      </c>
    </row>
    <row r="3570" spans="1:7" x14ac:dyDescent="0.2">
      <c r="A3570" t="s">
        <v>873</v>
      </c>
      <c r="B3570" t="s">
        <v>6</v>
      </c>
      <c r="C3570" t="s">
        <v>7</v>
      </c>
      <c r="D3570" t="s">
        <v>41</v>
      </c>
      <c r="E3570" t="s">
        <v>42</v>
      </c>
      <c r="F3570" t="s">
        <v>11</v>
      </c>
      <c r="G3570">
        <v>0</v>
      </c>
    </row>
    <row r="3571" spans="1:7" x14ac:dyDescent="0.2">
      <c r="A3571" t="s">
        <v>873</v>
      </c>
      <c r="B3571" t="s">
        <v>6</v>
      </c>
      <c r="C3571" t="s">
        <v>7</v>
      </c>
      <c r="D3571" t="s">
        <v>43</v>
      </c>
      <c r="E3571" t="s">
        <v>44</v>
      </c>
      <c r="F3571" t="s">
        <v>11</v>
      </c>
      <c r="G3571">
        <v>0</v>
      </c>
    </row>
    <row r="3572" spans="1:7" x14ac:dyDescent="0.2">
      <c r="A3572" t="s">
        <v>873</v>
      </c>
      <c r="B3572" t="s">
        <v>6</v>
      </c>
      <c r="C3572" t="s">
        <v>7</v>
      </c>
      <c r="D3572" t="s">
        <v>45</v>
      </c>
      <c r="G3572">
        <v>83</v>
      </c>
    </row>
    <row r="3573" spans="1:7" x14ac:dyDescent="0.2">
      <c r="A3573" t="s">
        <v>873</v>
      </c>
      <c r="B3573" t="s">
        <v>6</v>
      </c>
      <c r="C3573" t="s">
        <v>7</v>
      </c>
      <c r="D3573" t="s">
        <v>46</v>
      </c>
      <c r="G3573">
        <v>980</v>
      </c>
    </row>
    <row r="3574" spans="1:7" x14ac:dyDescent="0.2">
      <c r="A3574" t="s">
        <v>873</v>
      </c>
      <c r="B3574" t="s">
        <v>47</v>
      </c>
      <c r="C3574" t="s">
        <v>48</v>
      </c>
      <c r="D3574" t="s">
        <v>8</v>
      </c>
      <c r="G3574">
        <v>114612</v>
      </c>
    </row>
    <row r="3575" spans="1:7" x14ac:dyDescent="0.2">
      <c r="A3575" t="s">
        <v>873</v>
      </c>
      <c r="B3575" t="s">
        <v>47</v>
      </c>
      <c r="C3575" t="s">
        <v>48</v>
      </c>
      <c r="D3575" t="s">
        <v>49</v>
      </c>
      <c r="E3575" t="s">
        <v>50</v>
      </c>
      <c r="F3575" t="s">
        <v>51</v>
      </c>
      <c r="G3575">
        <v>5932</v>
      </c>
    </row>
    <row r="3576" spans="1:7" x14ac:dyDescent="0.2">
      <c r="A3576" t="s">
        <v>873</v>
      </c>
      <c r="B3576" t="s">
        <v>47</v>
      </c>
      <c r="C3576" t="s">
        <v>48</v>
      </c>
      <c r="D3576" t="s">
        <v>52</v>
      </c>
      <c r="E3576" t="s">
        <v>53</v>
      </c>
      <c r="F3576" t="s">
        <v>22</v>
      </c>
      <c r="G3576">
        <v>67713</v>
      </c>
    </row>
    <row r="3577" spans="1:7" x14ac:dyDescent="0.2">
      <c r="A3577" t="s">
        <v>873</v>
      </c>
      <c r="B3577" t="s">
        <v>47</v>
      </c>
      <c r="C3577" t="s">
        <v>48</v>
      </c>
      <c r="D3577" t="s">
        <v>54</v>
      </c>
      <c r="E3577" t="s">
        <v>55</v>
      </c>
      <c r="F3577" t="s">
        <v>28</v>
      </c>
      <c r="G3577">
        <v>35286</v>
      </c>
    </row>
    <row r="3578" spans="1:7" x14ac:dyDescent="0.2">
      <c r="A3578" t="s">
        <v>873</v>
      </c>
      <c r="B3578" t="s">
        <v>47</v>
      </c>
      <c r="C3578" t="s">
        <v>48</v>
      </c>
      <c r="D3578" t="s">
        <v>56</v>
      </c>
      <c r="E3578" t="s">
        <v>57</v>
      </c>
      <c r="F3578" t="s">
        <v>11</v>
      </c>
      <c r="G3578">
        <v>18</v>
      </c>
    </row>
    <row r="3579" spans="1:7" x14ac:dyDescent="0.2">
      <c r="A3579" t="s">
        <v>873</v>
      </c>
      <c r="B3579" t="s">
        <v>47</v>
      </c>
      <c r="C3579" t="s">
        <v>48</v>
      </c>
      <c r="D3579" t="s">
        <v>45</v>
      </c>
      <c r="G3579">
        <v>12</v>
      </c>
    </row>
    <row r="3580" spans="1:7" x14ac:dyDescent="0.2">
      <c r="A3580" t="s">
        <v>873</v>
      </c>
      <c r="B3580" t="s">
        <v>47</v>
      </c>
      <c r="C3580" t="s">
        <v>48</v>
      </c>
      <c r="D3580" t="s">
        <v>46</v>
      </c>
      <c r="G3580">
        <v>5063</v>
      </c>
    </row>
    <row r="3581" spans="1:7" x14ac:dyDescent="0.2">
      <c r="A3581" t="s">
        <v>873</v>
      </c>
      <c r="B3581" t="s">
        <v>58</v>
      </c>
      <c r="C3581" t="s">
        <v>59</v>
      </c>
      <c r="D3581" t="s">
        <v>8</v>
      </c>
      <c r="G3581">
        <v>114612</v>
      </c>
    </row>
    <row r="3582" spans="1:7" x14ac:dyDescent="0.2">
      <c r="A3582" t="s">
        <v>873</v>
      </c>
      <c r="B3582" t="s">
        <v>58</v>
      </c>
      <c r="C3582" t="s">
        <v>59</v>
      </c>
      <c r="D3582" t="s">
        <v>60</v>
      </c>
      <c r="E3582" t="s">
        <v>61</v>
      </c>
      <c r="F3582" t="s">
        <v>28</v>
      </c>
      <c r="G3582">
        <v>33508</v>
      </c>
    </row>
    <row r="3583" spans="1:7" x14ac:dyDescent="0.2">
      <c r="A3583" t="s">
        <v>873</v>
      </c>
      <c r="B3583" t="s">
        <v>58</v>
      </c>
      <c r="C3583" t="s">
        <v>59</v>
      </c>
      <c r="D3583" t="s">
        <v>62</v>
      </c>
      <c r="E3583" t="s">
        <v>63</v>
      </c>
      <c r="F3583" t="s">
        <v>25</v>
      </c>
      <c r="G3583">
        <v>5527</v>
      </c>
    </row>
    <row r="3584" spans="1:7" x14ac:dyDescent="0.2">
      <c r="A3584" t="s">
        <v>873</v>
      </c>
      <c r="B3584" t="s">
        <v>58</v>
      </c>
      <c r="C3584" t="s">
        <v>59</v>
      </c>
      <c r="D3584" t="s">
        <v>64</v>
      </c>
      <c r="E3584" t="s">
        <v>65</v>
      </c>
      <c r="F3584" t="s">
        <v>22</v>
      </c>
      <c r="G3584">
        <v>68854</v>
      </c>
    </row>
    <row r="3585" spans="1:7" x14ac:dyDescent="0.2">
      <c r="A3585" t="s">
        <v>873</v>
      </c>
      <c r="B3585" t="s">
        <v>58</v>
      </c>
      <c r="C3585" t="s">
        <v>59</v>
      </c>
      <c r="D3585" t="s">
        <v>45</v>
      </c>
      <c r="G3585">
        <v>23</v>
      </c>
    </row>
    <row r="3586" spans="1:7" x14ac:dyDescent="0.2">
      <c r="A3586" t="s">
        <v>873</v>
      </c>
      <c r="B3586" t="s">
        <v>58</v>
      </c>
      <c r="C3586" t="s">
        <v>59</v>
      </c>
      <c r="D3586" t="s">
        <v>46</v>
      </c>
      <c r="G3586">
        <v>6700</v>
      </c>
    </row>
    <row r="3587" spans="1:7" x14ac:dyDescent="0.2">
      <c r="A3587" t="s">
        <v>873</v>
      </c>
      <c r="B3587" t="s">
        <v>93</v>
      </c>
      <c r="C3587" t="s">
        <v>94</v>
      </c>
      <c r="D3587" t="s">
        <v>8</v>
      </c>
      <c r="G3587">
        <v>114611</v>
      </c>
    </row>
    <row r="3588" spans="1:7" x14ac:dyDescent="0.2">
      <c r="A3588" t="s">
        <v>873</v>
      </c>
      <c r="B3588" t="s">
        <v>93</v>
      </c>
      <c r="C3588" t="s">
        <v>94</v>
      </c>
      <c r="D3588" t="s">
        <v>95</v>
      </c>
      <c r="E3588" t="s">
        <v>96</v>
      </c>
      <c r="F3588" t="s">
        <v>22</v>
      </c>
      <c r="G3588">
        <v>59443</v>
      </c>
    </row>
    <row r="3589" spans="1:7" x14ac:dyDescent="0.2">
      <c r="A3589" t="s">
        <v>873</v>
      </c>
      <c r="B3589" t="s">
        <v>93</v>
      </c>
      <c r="C3589" t="s">
        <v>94</v>
      </c>
      <c r="D3589" t="s">
        <v>97</v>
      </c>
      <c r="E3589" t="s">
        <v>98</v>
      </c>
      <c r="F3589" t="s">
        <v>51</v>
      </c>
      <c r="G3589">
        <v>2397</v>
      </c>
    </row>
    <row r="3590" spans="1:7" x14ac:dyDescent="0.2">
      <c r="A3590" t="s">
        <v>873</v>
      </c>
      <c r="B3590" t="s">
        <v>93</v>
      </c>
      <c r="C3590" t="s">
        <v>94</v>
      </c>
      <c r="D3590" t="s">
        <v>99</v>
      </c>
      <c r="E3590" t="s">
        <v>100</v>
      </c>
      <c r="F3590" t="s">
        <v>28</v>
      </c>
      <c r="G3590">
        <v>30804</v>
      </c>
    </row>
    <row r="3591" spans="1:7" x14ac:dyDescent="0.2">
      <c r="A3591" t="s">
        <v>873</v>
      </c>
      <c r="B3591" t="s">
        <v>93</v>
      </c>
      <c r="C3591" t="s">
        <v>94</v>
      </c>
      <c r="D3591" t="s">
        <v>101</v>
      </c>
      <c r="E3591" t="s">
        <v>102</v>
      </c>
      <c r="F3591" t="s">
        <v>25</v>
      </c>
      <c r="G3591">
        <v>3714</v>
      </c>
    </row>
    <row r="3592" spans="1:7" x14ac:dyDescent="0.2">
      <c r="A3592" t="s">
        <v>873</v>
      </c>
      <c r="B3592" t="s">
        <v>93</v>
      </c>
      <c r="C3592" t="s">
        <v>94</v>
      </c>
      <c r="D3592" t="s">
        <v>103</v>
      </c>
      <c r="E3592" t="s">
        <v>104</v>
      </c>
      <c r="F3592" t="s">
        <v>11</v>
      </c>
      <c r="G3592">
        <v>485</v>
      </c>
    </row>
    <row r="3593" spans="1:7" x14ac:dyDescent="0.2">
      <c r="A3593" t="s">
        <v>873</v>
      </c>
      <c r="B3593" t="s">
        <v>93</v>
      </c>
      <c r="C3593" t="s">
        <v>94</v>
      </c>
      <c r="D3593" t="s">
        <v>105</v>
      </c>
      <c r="E3593" t="s">
        <v>106</v>
      </c>
      <c r="F3593" t="s">
        <v>11</v>
      </c>
      <c r="G3593">
        <v>13726</v>
      </c>
    </row>
    <row r="3594" spans="1:7" x14ac:dyDescent="0.2">
      <c r="A3594" t="s">
        <v>873</v>
      </c>
      <c r="B3594" t="s">
        <v>93</v>
      </c>
      <c r="C3594" t="s">
        <v>94</v>
      </c>
      <c r="D3594" t="s">
        <v>107</v>
      </c>
      <c r="E3594" t="s">
        <v>108</v>
      </c>
      <c r="F3594" t="s">
        <v>11</v>
      </c>
      <c r="G3594">
        <v>49</v>
      </c>
    </row>
    <row r="3595" spans="1:7" x14ac:dyDescent="0.2">
      <c r="A3595" t="s">
        <v>873</v>
      </c>
      <c r="B3595" t="s">
        <v>93</v>
      </c>
      <c r="C3595" t="s">
        <v>94</v>
      </c>
      <c r="D3595" t="s">
        <v>45</v>
      </c>
      <c r="G3595">
        <v>53</v>
      </c>
    </row>
    <row r="3596" spans="1:7" x14ac:dyDescent="0.2">
      <c r="A3596" t="s">
        <v>873</v>
      </c>
      <c r="B3596" t="s">
        <v>93</v>
      </c>
      <c r="C3596" t="s">
        <v>94</v>
      </c>
      <c r="D3596" t="s">
        <v>46</v>
      </c>
      <c r="G3596">
        <v>3596</v>
      </c>
    </row>
    <row r="3597" spans="1:7" x14ac:dyDescent="0.2">
      <c r="A3597" t="s">
        <v>873</v>
      </c>
      <c r="B3597" t="s">
        <v>109</v>
      </c>
      <c r="C3597" t="s">
        <v>110</v>
      </c>
      <c r="D3597" t="s">
        <v>8</v>
      </c>
      <c r="G3597">
        <v>114611</v>
      </c>
    </row>
    <row r="3598" spans="1:7" x14ac:dyDescent="0.2">
      <c r="A3598" t="s">
        <v>873</v>
      </c>
      <c r="B3598" t="s">
        <v>109</v>
      </c>
      <c r="C3598" t="s">
        <v>110</v>
      </c>
      <c r="D3598" t="s">
        <v>111</v>
      </c>
      <c r="E3598" t="s">
        <v>112</v>
      </c>
      <c r="F3598" t="s">
        <v>22</v>
      </c>
      <c r="G3598">
        <v>62805</v>
      </c>
    </row>
    <row r="3599" spans="1:7" x14ac:dyDescent="0.2">
      <c r="A3599" t="s">
        <v>873</v>
      </c>
      <c r="B3599" t="s">
        <v>109</v>
      </c>
      <c r="C3599" t="s">
        <v>110</v>
      </c>
      <c r="D3599" t="s">
        <v>113</v>
      </c>
      <c r="E3599" t="s">
        <v>114</v>
      </c>
      <c r="F3599" t="s">
        <v>28</v>
      </c>
      <c r="G3599">
        <v>30593</v>
      </c>
    </row>
    <row r="3600" spans="1:7" x14ac:dyDescent="0.2">
      <c r="A3600" t="s">
        <v>873</v>
      </c>
      <c r="B3600" t="s">
        <v>109</v>
      </c>
      <c r="C3600" t="s">
        <v>110</v>
      </c>
      <c r="D3600" t="s">
        <v>115</v>
      </c>
      <c r="E3600" t="s">
        <v>116</v>
      </c>
      <c r="F3600" t="s">
        <v>25</v>
      </c>
      <c r="G3600">
        <v>4631</v>
      </c>
    </row>
    <row r="3601" spans="1:7" x14ac:dyDescent="0.2">
      <c r="A3601" t="s">
        <v>873</v>
      </c>
      <c r="B3601" t="s">
        <v>109</v>
      </c>
      <c r="C3601" t="s">
        <v>110</v>
      </c>
      <c r="D3601" t="s">
        <v>117</v>
      </c>
      <c r="E3601" t="s">
        <v>118</v>
      </c>
      <c r="F3601" t="s">
        <v>11</v>
      </c>
      <c r="G3601">
        <v>3417</v>
      </c>
    </row>
    <row r="3602" spans="1:7" x14ac:dyDescent="0.2">
      <c r="A3602" t="s">
        <v>873</v>
      </c>
      <c r="B3602" t="s">
        <v>109</v>
      </c>
      <c r="C3602" t="s">
        <v>110</v>
      </c>
      <c r="D3602" t="s">
        <v>119</v>
      </c>
      <c r="E3602" t="s">
        <v>120</v>
      </c>
      <c r="F3602" t="s">
        <v>88</v>
      </c>
      <c r="G3602">
        <v>6753</v>
      </c>
    </row>
    <row r="3603" spans="1:7" x14ac:dyDescent="0.2">
      <c r="A3603" t="s">
        <v>873</v>
      </c>
      <c r="B3603" t="s">
        <v>109</v>
      </c>
      <c r="C3603" t="s">
        <v>110</v>
      </c>
      <c r="D3603" t="s">
        <v>45</v>
      </c>
      <c r="G3603">
        <v>18</v>
      </c>
    </row>
    <row r="3604" spans="1:7" x14ac:dyDescent="0.2">
      <c r="A3604" t="s">
        <v>873</v>
      </c>
      <c r="B3604" t="s">
        <v>109</v>
      </c>
      <c r="C3604" t="s">
        <v>110</v>
      </c>
      <c r="D3604" t="s">
        <v>46</v>
      </c>
      <c r="G3604">
        <v>6394</v>
      </c>
    </row>
    <row r="3605" spans="1:7" x14ac:dyDescent="0.2">
      <c r="A3605" t="s">
        <v>873</v>
      </c>
      <c r="B3605" t="s">
        <v>121</v>
      </c>
      <c r="C3605" t="s">
        <v>122</v>
      </c>
      <c r="D3605" t="s">
        <v>8</v>
      </c>
      <c r="G3605">
        <v>114611</v>
      </c>
    </row>
    <row r="3606" spans="1:7" x14ac:dyDescent="0.2">
      <c r="A3606" t="s">
        <v>873</v>
      </c>
      <c r="B3606" t="s">
        <v>121</v>
      </c>
      <c r="C3606" t="s">
        <v>122</v>
      </c>
      <c r="D3606" t="s">
        <v>123</v>
      </c>
      <c r="E3606" t="s">
        <v>124</v>
      </c>
      <c r="F3606" t="s">
        <v>22</v>
      </c>
      <c r="G3606">
        <v>66878</v>
      </c>
    </row>
    <row r="3607" spans="1:7" x14ac:dyDescent="0.2">
      <c r="A3607" t="s">
        <v>873</v>
      </c>
      <c r="B3607" t="s">
        <v>121</v>
      </c>
      <c r="C3607" t="s">
        <v>122</v>
      </c>
      <c r="D3607" t="s">
        <v>125</v>
      </c>
      <c r="E3607" t="s">
        <v>126</v>
      </c>
      <c r="F3607" t="s">
        <v>16</v>
      </c>
      <c r="G3607">
        <v>5787</v>
      </c>
    </row>
    <row r="3608" spans="1:7" x14ac:dyDescent="0.2">
      <c r="A3608" t="s">
        <v>873</v>
      </c>
      <c r="B3608" t="s">
        <v>121</v>
      </c>
      <c r="C3608" t="s">
        <v>122</v>
      </c>
      <c r="D3608" t="s">
        <v>127</v>
      </c>
      <c r="E3608" t="s">
        <v>128</v>
      </c>
      <c r="F3608" t="s">
        <v>28</v>
      </c>
      <c r="G3608">
        <v>33430</v>
      </c>
    </row>
    <row r="3609" spans="1:7" x14ac:dyDescent="0.2">
      <c r="A3609" t="s">
        <v>873</v>
      </c>
      <c r="B3609" t="s">
        <v>121</v>
      </c>
      <c r="C3609" t="s">
        <v>122</v>
      </c>
      <c r="D3609" t="s">
        <v>45</v>
      </c>
      <c r="G3609">
        <v>9</v>
      </c>
    </row>
    <row r="3610" spans="1:7" x14ac:dyDescent="0.2">
      <c r="A3610" t="s">
        <v>873</v>
      </c>
      <c r="B3610" t="s">
        <v>121</v>
      </c>
      <c r="C3610" t="s">
        <v>122</v>
      </c>
      <c r="D3610" t="s">
        <v>46</v>
      </c>
      <c r="G3610">
        <v>8507</v>
      </c>
    </row>
    <row r="3611" spans="1:7" x14ac:dyDescent="0.2">
      <c r="A3611" t="s">
        <v>873</v>
      </c>
      <c r="B3611" t="s">
        <v>129</v>
      </c>
      <c r="C3611" t="s">
        <v>130</v>
      </c>
      <c r="D3611" t="s">
        <v>8</v>
      </c>
      <c r="G3611">
        <v>114611</v>
      </c>
    </row>
    <row r="3612" spans="1:7" x14ac:dyDescent="0.2">
      <c r="A3612" t="s">
        <v>873</v>
      </c>
      <c r="B3612" t="s">
        <v>129</v>
      </c>
      <c r="C3612" t="s">
        <v>130</v>
      </c>
      <c r="D3612" t="s">
        <v>131</v>
      </c>
      <c r="E3612" t="s">
        <v>132</v>
      </c>
      <c r="F3612" t="s">
        <v>133</v>
      </c>
      <c r="G3612">
        <v>5993</v>
      </c>
    </row>
    <row r="3613" spans="1:7" x14ac:dyDescent="0.2">
      <c r="A3613" t="s">
        <v>873</v>
      </c>
      <c r="B3613" t="s">
        <v>129</v>
      </c>
      <c r="C3613" t="s">
        <v>130</v>
      </c>
      <c r="D3613" t="s">
        <v>134</v>
      </c>
      <c r="E3613" t="s">
        <v>135</v>
      </c>
      <c r="F3613" t="s">
        <v>22</v>
      </c>
      <c r="G3613">
        <v>67086</v>
      </c>
    </row>
    <row r="3614" spans="1:7" x14ac:dyDescent="0.2">
      <c r="A3614" t="s">
        <v>873</v>
      </c>
      <c r="B3614" t="s">
        <v>129</v>
      </c>
      <c r="C3614" t="s">
        <v>130</v>
      </c>
      <c r="D3614" t="s">
        <v>136</v>
      </c>
      <c r="E3614" t="s">
        <v>137</v>
      </c>
      <c r="F3614" t="s">
        <v>28</v>
      </c>
      <c r="G3614">
        <v>32950</v>
      </c>
    </row>
    <row r="3615" spans="1:7" x14ac:dyDescent="0.2">
      <c r="A3615" t="s">
        <v>873</v>
      </c>
      <c r="B3615" t="s">
        <v>129</v>
      </c>
      <c r="C3615" t="s">
        <v>130</v>
      </c>
      <c r="D3615" t="s">
        <v>45</v>
      </c>
      <c r="G3615">
        <v>4</v>
      </c>
    </row>
    <row r="3616" spans="1:7" x14ac:dyDescent="0.2">
      <c r="A3616" t="s">
        <v>873</v>
      </c>
      <c r="B3616" t="s">
        <v>129</v>
      </c>
      <c r="C3616" t="s">
        <v>130</v>
      </c>
      <c r="D3616" t="s">
        <v>46</v>
      </c>
      <c r="G3616">
        <v>8578</v>
      </c>
    </row>
    <row r="3617" spans="1:7" x14ac:dyDescent="0.2">
      <c r="A3617" t="s">
        <v>873</v>
      </c>
      <c r="B3617" t="s">
        <v>144</v>
      </c>
      <c r="C3617" t="s">
        <v>145</v>
      </c>
      <c r="D3617" t="s">
        <v>8</v>
      </c>
      <c r="G3617">
        <v>38723</v>
      </c>
    </row>
    <row r="3618" spans="1:7" x14ac:dyDescent="0.2">
      <c r="A3618" t="s">
        <v>873</v>
      </c>
      <c r="B3618" t="s">
        <v>144</v>
      </c>
      <c r="C3618" t="s">
        <v>145</v>
      </c>
      <c r="D3618" t="s">
        <v>146</v>
      </c>
      <c r="E3618" t="s">
        <v>147</v>
      </c>
      <c r="F3618" t="s">
        <v>28</v>
      </c>
      <c r="G3618">
        <v>15052</v>
      </c>
    </row>
    <row r="3619" spans="1:7" x14ac:dyDescent="0.2">
      <c r="A3619" t="s">
        <v>873</v>
      </c>
      <c r="B3619" t="s">
        <v>144</v>
      </c>
      <c r="C3619" t="s">
        <v>145</v>
      </c>
      <c r="D3619" t="s">
        <v>148</v>
      </c>
      <c r="E3619" t="s">
        <v>149</v>
      </c>
      <c r="F3619" t="s">
        <v>22</v>
      </c>
      <c r="G3619">
        <v>21497</v>
      </c>
    </row>
    <row r="3620" spans="1:7" x14ac:dyDescent="0.2">
      <c r="A3620" t="s">
        <v>873</v>
      </c>
      <c r="B3620" t="s">
        <v>144</v>
      </c>
      <c r="C3620" t="s">
        <v>145</v>
      </c>
      <c r="D3620" t="s">
        <v>45</v>
      </c>
      <c r="G3620">
        <v>3</v>
      </c>
    </row>
    <row r="3621" spans="1:7" x14ac:dyDescent="0.2">
      <c r="A3621" t="s">
        <v>873</v>
      </c>
      <c r="B3621" t="s">
        <v>144</v>
      </c>
      <c r="C3621" t="s">
        <v>145</v>
      </c>
      <c r="D3621" t="s">
        <v>46</v>
      </c>
      <c r="G3621">
        <v>2171</v>
      </c>
    </row>
    <row r="3622" spans="1:7" x14ac:dyDescent="0.2">
      <c r="A3622" t="s">
        <v>873</v>
      </c>
      <c r="B3622" t="s">
        <v>150</v>
      </c>
      <c r="C3622" t="s">
        <v>151</v>
      </c>
      <c r="D3622" t="s">
        <v>8</v>
      </c>
      <c r="G3622">
        <v>43881</v>
      </c>
    </row>
    <row r="3623" spans="1:7" x14ac:dyDescent="0.2">
      <c r="A3623" t="s">
        <v>873</v>
      </c>
      <c r="B3623" t="s">
        <v>150</v>
      </c>
      <c r="C3623" t="s">
        <v>151</v>
      </c>
      <c r="D3623" t="s">
        <v>152</v>
      </c>
      <c r="E3623" t="s">
        <v>153</v>
      </c>
      <c r="F3623" t="s">
        <v>22</v>
      </c>
      <c r="G3623">
        <v>29588</v>
      </c>
    </row>
    <row r="3624" spans="1:7" x14ac:dyDescent="0.2">
      <c r="A3624" t="s">
        <v>873</v>
      </c>
      <c r="B3624" t="s">
        <v>150</v>
      </c>
      <c r="C3624" t="s">
        <v>151</v>
      </c>
      <c r="D3624" t="s">
        <v>45</v>
      </c>
      <c r="G3624">
        <v>0</v>
      </c>
    </row>
    <row r="3625" spans="1:7" x14ac:dyDescent="0.2">
      <c r="A3625" t="s">
        <v>873</v>
      </c>
      <c r="B3625" t="s">
        <v>150</v>
      </c>
      <c r="C3625" t="s">
        <v>151</v>
      </c>
      <c r="D3625" t="s">
        <v>46</v>
      </c>
      <c r="G3625">
        <v>14293</v>
      </c>
    </row>
    <row r="3626" spans="1:7" x14ac:dyDescent="0.2">
      <c r="A3626" t="s">
        <v>873</v>
      </c>
      <c r="B3626" t="s">
        <v>256</v>
      </c>
      <c r="C3626" t="s">
        <v>257</v>
      </c>
      <c r="D3626" t="s">
        <v>8</v>
      </c>
      <c r="G3626">
        <v>13491</v>
      </c>
    </row>
    <row r="3627" spans="1:7" x14ac:dyDescent="0.2">
      <c r="A3627" t="s">
        <v>873</v>
      </c>
      <c r="B3627" t="s">
        <v>256</v>
      </c>
      <c r="C3627" t="s">
        <v>257</v>
      </c>
      <c r="D3627" t="s">
        <v>258</v>
      </c>
      <c r="E3627" t="s">
        <v>259</v>
      </c>
      <c r="F3627" t="s">
        <v>22</v>
      </c>
      <c r="G3627">
        <v>9893</v>
      </c>
    </row>
    <row r="3628" spans="1:7" x14ac:dyDescent="0.2">
      <c r="A3628" t="s">
        <v>873</v>
      </c>
      <c r="B3628" t="s">
        <v>256</v>
      </c>
      <c r="C3628" t="s">
        <v>257</v>
      </c>
      <c r="D3628" t="s">
        <v>260</v>
      </c>
      <c r="E3628" t="s">
        <v>261</v>
      </c>
      <c r="F3628" t="s">
        <v>28</v>
      </c>
      <c r="G3628">
        <v>2601</v>
      </c>
    </row>
    <row r="3629" spans="1:7" x14ac:dyDescent="0.2">
      <c r="A3629" t="s">
        <v>873</v>
      </c>
      <c r="B3629" t="s">
        <v>256</v>
      </c>
      <c r="C3629" t="s">
        <v>257</v>
      </c>
      <c r="D3629" t="s">
        <v>45</v>
      </c>
      <c r="G3629">
        <v>0</v>
      </c>
    </row>
    <row r="3630" spans="1:7" x14ac:dyDescent="0.2">
      <c r="A3630" t="s">
        <v>873</v>
      </c>
      <c r="B3630" t="s">
        <v>256</v>
      </c>
      <c r="C3630" t="s">
        <v>257</v>
      </c>
      <c r="D3630" t="s">
        <v>46</v>
      </c>
      <c r="G3630">
        <v>997</v>
      </c>
    </row>
    <row r="3631" spans="1:7" x14ac:dyDescent="0.2">
      <c r="A3631" t="s">
        <v>873</v>
      </c>
      <c r="B3631" t="s">
        <v>262</v>
      </c>
      <c r="C3631" t="s">
        <v>263</v>
      </c>
      <c r="D3631" t="s">
        <v>8</v>
      </c>
      <c r="G3631">
        <v>18567</v>
      </c>
    </row>
    <row r="3632" spans="1:7" x14ac:dyDescent="0.2">
      <c r="A3632" t="s">
        <v>873</v>
      </c>
      <c r="B3632" t="s">
        <v>262</v>
      </c>
      <c r="C3632" t="s">
        <v>263</v>
      </c>
      <c r="D3632" t="s">
        <v>264</v>
      </c>
      <c r="E3632" t="s">
        <v>265</v>
      </c>
      <c r="F3632" t="s">
        <v>22</v>
      </c>
      <c r="G3632">
        <v>13190</v>
      </c>
    </row>
    <row r="3633" spans="1:7" x14ac:dyDescent="0.2">
      <c r="A3633" t="s">
        <v>873</v>
      </c>
      <c r="B3633" t="s">
        <v>262</v>
      </c>
      <c r="C3633" t="s">
        <v>263</v>
      </c>
      <c r="D3633" t="s">
        <v>45</v>
      </c>
      <c r="G3633">
        <v>0</v>
      </c>
    </row>
    <row r="3634" spans="1:7" x14ac:dyDescent="0.2">
      <c r="A3634" t="s">
        <v>873</v>
      </c>
      <c r="B3634" t="s">
        <v>262</v>
      </c>
      <c r="C3634" t="s">
        <v>263</v>
      </c>
      <c r="D3634" t="s">
        <v>46</v>
      </c>
      <c r="G3634">
        <v>5377</v>
      </c>
    </row>
    <row r="3635" spans="1:7" x14ac:dyDescent="0.2">
      <c r="A3635" t="s">
        <v>873</v>
      </c>
      <c r="B3635" t="s">
        <v>266</v>
      </c>
      <c r="C3635" t="s">
        <v>267</v>
      </c>
      <c r="D3635" t="s">
        <v>8</v>
      </c>
      <c r="G3635">
        <v>19772</v>
      </c>
    </row>
    <row r="3636" spans="1:7" x14ac:dyDescent="0.2">
      <c r="A3636" t="s">
        <v>873</v>
      </c>
      <c r="B3636" t="s">
        <v>266</v>
      </c>
      <c r="C3636" t="s">
        <v>267</v>
      </c>
      <c r="D3636" t="s">
        <v>268</v>
      </c>
      <c r="E3636" t="s">
        <v>269</v>
      </c>
      <c r="F3636" t="s">
        <v>22</v>
      </c>
      <c r="G3636">
        <v>12695</v>
      </c>
    </row>
    <row r="3637" spans="1:7" x14ac:dyDescent="0.2">
      <c r="A3637" t="s">
        <v>873</v>
      </c>
      <c r="B3637" t="s">
        <v>266</v>
      </c>
      <c r="C3637" t="s">
        <v>267</v>
      </c>
      <c r="D3637" t="s">
        <v>45</v>
      </c>
      <c r="G3637">
        <v>0</v>
      </c>
    </row>
    <row r="3638" spans="1:7" x14ac:dyDescent="0.2">
      <c r="A3638" t="s">
        <v>873</v>
      </c>
      <c r="B3638" t="s">
        <v>266</v>
      </c>
      <c r="C3638" t="s">
        <v>267</v>
      </c>
      <c r="D3638" t="s">
        <v>46</v>
      </c>
      <c r="G3638">
        <v>7077</v>
      </c>
    </row>
    <row r="3639" spans="1:7" x14ac:dyDescent="0.2">
      <c r="A3639" t="s">
        <v>873</v>
      </c>
      <c r="B3639" t="s">
        <v>270</v>
      </c>
      <c r="C3639" t="s">
        <v>271</v>
      </c>
      <c r="D3639" t="s">
        <v>8</v>
      </c>
      <c r="G3639">
        <v>17368</v>
      </c>
    </row>
    <row r="3640" spans="1:7" x14ac:dyDescent="0.2">
      <c r="A3640" t="s">
        <v>873</v>
      </c>
      <c r="B3640" t="s">
        <v>270</v>
      </c>
      <c r="C3640" t="s">
        <v>271</v>
      </c>
      <c r="D3640" t="s">
        <v>272</v>
      </c>
      <c r="E3640" t="s">
        <v>273</v>
      </c>
      <c r="F3640" t="s">
        <v>28</v>
      </c>
      <c r="G3640">
        <v>5996</v>
      </c>
    </row>
    <row r="3641" spans="1:7" x14ac:dyDescent="0.2">
      <c r="A3641" t="s">
        <v>873</v>
      </c>
      <c r="B3641" t="s">
        <v>270</v>
      </c>
      <c r="C3641" t="s">
        <v>271</v>
      </c>
      <c r="D3641" t="s">
        <v>274</v>
      </c>
      <c r="E3641" t="s">
        <v>275</v>
      </c>
      <c r="F3641" t="s">
        <v>25</v>
      </c>
      <c r="G3641">
        <v>799</v>
      </c>
    </row>
    <row r="3642" spans="1:7" x14ac:dyDescent="0.2">
      <c r="A3642" t="s">
        <v>873</v>
      </c>
      <c r="B3642" t="s">
        <v>270</v>
      </c>
      <c r="C3642" t="s">
        <v>271</v>
      </c>
      <c r="D3642" t="s">
        <v>276</v>
      </c>
      <c r="E3642" t="s">
        <v>277</v>
      </c>
      <c r="F3642" t="s">
        <v>22</v>
      </c>
      <c r="G3642">
        <v>9497</v>
      </c>
    </row>
    <row r="3643" spans="1:7" x14ac:dyDescent="0.2">
      <c r="A3643" t="s">
        <v>873</v>
      </c>
      <c r="B3643" t="s">
        <v>270</v>
      </c>
      <c r="C3643" t="s">
        <v>271</v>
      </c>
      <c r="D3643" t="s">
        <v>45</v>
      </c>
      <c r="G3643">
        <v>2</v>
      </c>
    </row>
    <row r="3644" spans="1:7" x14ac:dyDescent="0.2">
      <c r="A3644" t="s">
        <v>873</v>
      </c>
      <c r="B3644" t="s">
        <v>270</v>
      </c>
      <c r="C3644" t="s">
        <v>271</v>
      </c>
      <c r="D3644" t="s">
        <v>46</v>
      </c>
      <c r="G3644">
        <v>1074</v>
      </c>
    </row>
    <row r="3645" spans="1:7" x14ac:dyDescent="0.2">
      <c r="A3645" t="s">
        <v>873</v>
      </c>
      <c r="B3645" t="s">
        <v>278</v>
      </c>
      <c r="C3645" t="s">
        <v>279</v>
      </c>
      <c r="D3645" t="s">
        <v>8</v>
      </c>
      <c r="G3645">
        <v>16299</v>
      </c>
    </row>
    <row r="3646" spans="1:7" x14ac:dyDescent="0.2">
      <c r="A3646" t="s">
        <v>873</v>
      </c>
      <c r="B3646" t="s">
        <v>278</v>
      </c>
      <c r="C3646" t="s">
        <v>279</v>
      </c>
      <c r="D3646" t="s">
        <v>280</v>
      </c>
      <c r="E3646" t="s">
        <v>281</v>
      </c>
      <c r="F3646" t="s">
        <v>22</v>
      </c>
      <c r="G3646">
        <v>8018</v>
      </c>
    </row>
    <row r="3647" spans="1:7" x14ac:dyDescent="0.2">
      <c r="A3647" t="s">
        <v>873</v>
      </c>
      <c r="B3647" t="s">
        <v>278</v>
      </c>
      <c r="C3647" t="s">
        <v>279</v>
      </c>
      <c r="D3647" t="s">
        <v>282</v>
      </c>
      <c r="E3647" t="s">
        <v>283</v>
      </c>
      <c r="F3647" t="s">
        <v>28</v>
      </c>
      <c r="G3647">
        <v>7709</v>
      </c>
    </row>
    <row r="3648" spans="1:7" x14ac:dyDescent="0.2">
      <c r="A3648" t="s">
        <v>873</v>
      </c>
      <c r="B3648" t="s">
        <v>278</v>
      </c>
      <c r="C3648" t="s">
        <v>279</v>
      </c>
      <c r="D3648" t="s">
        <v>45</v>
      </c>
      <c r="G3648">
        <v>1</v>
      </c>
    </row>
    <row r="3649" spans="1:7" x14ac:dyDescent="0.2">
      <c r="A3649" t="s">
        <v>873</v>
      </c>
      <c r="B3649" t="s">
        <v>278</v>
      </c>
      <c r="C3649" t="s">
        <v>279</v>
      </c>
      <c r="D3649" t="s">
        <v>46</v>
      </c>
      <c r="G3649">
        <v>571</v>
      </c>
    </row>
    <row r="3650" spans="1:7" x14ac:dyDescent="0.2">
      <c r="A3650" t="s">
        <v>873</v>
      </c>
      <c r="B3650" t="s">
        <v>284</v>
      </c>
      <c r="C3650" t="s">
        <v>285</v>
      </c>
      <c r="D3650" t="s">
        <v>8</v>
      </c>
      <c r="G3650">
        <v>11193</v>
      </c>
    </row>
    <row r="3651" spans="1:7" x14ac:dyDescent="0.2">
      <c r="A3651" t="s">
        <v>873</v>
      </c>
      <c r="B3651" t="s">
        <v>284</v>
      </c>
      <c r="C3651" t="s">
        <v>285</v>
      </c>
      <c r="D3651" t="s">
        <v>286</v>
      </c>
      <c r="E3651" t="s">
        <v>287</v>
      </c>
      <c r="F3651" t="s">
        <v>22</v>
      </c>
      <c r="G3651">
        <v>7600</v>
      </c>
    </row>
    <row r="3652" spans="1:7" x14ac:dyDescent="0.2">
      <c r="A3652" t="s">
        <v>873</v>
      </c>
      <c r="B3652" t="s">
        <v>284</v>
      </c>
      <c r="C3652" t="s">
        <v>285</v>
      </c>
      <c r="D3652" t="s">
        <v>45</v>
      </c>
      <c r="G3652">
        <v>0</v>
      </c>
    </row>
    <row r="3653" spans="1:7" x14ac:dyDescent="0.2">
      <c r="A3653" t="s">
        <v>873</v>
      </c>
      <c r="B3653" t="s">
        <v>284</v>
      </c>
      <c r="C3653" t="s">
        <v>285</v>
      </c>
      <c r="D3653" t="s">
        <v>46</v>
      </c>
      <c r="G3653">
        <v>3593</v>
      </c>
    </row>
    <row r="3654" spans="1:7" x14ac:dyDescent="0.2">
      <c r="A3654" t="s">
        <v>873</v>
      </c>
      <c r="B3654" t="s">
        <v>288</v>
      </c>
      <c r="C3654" t="s">
        <v>289</v>
      </c>
      <c r="D3654" t="s">
        <v>8</v>
      </c>
      <c r="G3654">
        <v>17921</v>
      </c>
    </row>
    <row r="3655" spans="1:7" x14ac:dyDescent="0.2">
      <c r="A3655" t="s">
        <v>873</v>
      </c>
      <c r="B3655" t="s">
        <v>288</v>
      </c>
      <c r="C3655" t="s">
        <v>289</v>
      </c>
      <c r="D3655" t="s">
        <v>290</v>
      </c>
      <c r="E3655" t="s">
        <v>291</v>
      </c>
      <c r="F3655" t="s">
        <v>22</v>
      </c>
      <c r="G3655">
        <v>12312</v>
      </c>
    </row>
    <row r="3656" spans="1:7" x14ac:dyDescent="0.2">
      <c r="A3656" t="s">
        <v>873</v>
      </c>
      <c r="B3656" t="s">
        <v>288</v>
      </c>
      <c r="C3656" t="s">
        <v>289</v>
      </c>
      <c r="D3656" t="s">
        <v>292</v>
      </c>
      <c r="E3656" t="s">
        <v>293</v>
      </c>
      <c r="F3656" t="s">
        <v>28</v>
      </c>
      <c r="G3656">
        <v>4704</v>
      </c>
    </row>
    <row r="3657" spans="1:7" x14ac:dyDescent="0.2">
      <c r="A3657" t="s">
        <v>873</v>
      </c>
      <c r="B3657" t="s">
        <v>288</v>
      </c>
      <c r="C3657" t="s">
        <v>289</v>
      </c>
      <c r="D3657" t="s">
        <v>45</v>
      </c>
      <c r="G3657">
        <v>4</v>
      </c>
    </row>
    <row r="3658" spans="1:7" x14ac:dyDescent="0.2">
      <c r="A3658" t="s">
        <v>873</v>
      </c>
      <c r="B3658" t="s">
        <v>288</v>
      </c>
      <c r="C3658" t="s">
        <v>289</v>
      </c>
      <c r="D3658" t="s">
        <v>46</v>
      </c>
      <c r="G3658">
        <v>901</v>
      </c>
    </row>
    <row r="3659" spans="1:7" x14ac:dyDescent="0.2">
      <c r="A3659" t="s">
        <v>873</v>
      </c>
      <c r="B3659" t="s">
        <v>648</v>
      </c>
      <c r="C3659" t="s">
        <v>649</v>
      </c>
      <c r="D3659" t="s">
        <v>8</v>
      </c>
      <c r="G3659">
        <v>17835</v>
      </c>
    </row>
    <row r="3660" spans="1:7" x14ac:dyDescent="0.2">
      <c r="A3660" t="s">
        <v>873</v>
      </c>
      <c r="B3660" t="s">
        <v>648</v>
      </c>
      <c r="C3660" t="s">
        <v>649</v>
      </c>
      <c r="D3660" t="s">
        <v>650</v>
      </c>
      <c r="E3660" t="s">
        <v>651</v>
      </c>
      <c r="F3660" t="s">
        <v>22</v>
      </c>
      <c r="G3660">
        <v>10537</v>
      </c>
    </row>
    <row r="3661" spans="1:7" x14ac:dyDescent="0.2">
      <c r="A3661" t="s">
        <v>873</v>
      </c>
      <c r="B3661" t="s">
        <v>648</v>
      </c>
      <c r="C3661" t="s">
        <v>649</v>
      </c>
      <c r="D3661" t="s">
        <v>652</v>
      </c>
      <c r="E3661" t="s">
        <v>653</v>
      </c>
      <c r="F3661" t="s">
        <v>133</v>
      </c>
      <c r="G3661">
        <v>5077</v>
      </c>
    </row>
    <row r="3662" spans="1:7" x14ac:dyDescent="0.2">
      <c r="A3662" t="s">
        <v>873</v>
      </c>
      <c r="B3662" t="s">
        <v>648</v>
      </c>
      <c r="C3662" t="s">
        <v>649</v>
      </c>
      <c r="D3662" t="s">
        <v>45</v>
      </c>
      <c r="G3662">
        <v>0</v>
      </c>
    </row>
    <row r="3663" spans="1:7" x14ac:dyDescent="0.2">
      <c r="A3663" t="s">
        <v>873</v>
      </c>
      <c r="B3663" t="s">
        <v>648</v>
      </c>
      <c r="C3663" t="s">
        <v>649</v>
      </c>
      <c r="D3663" t="s">
        <v>46</v>
      </c>
      <c r="G3663">
        <v>2221</v>
      </c>
    </row>
    <row r="3664" spans="1:7" x14ac:dyDescent="0.2">
      <c r="A3664" t="s">
        <v>873</v>
      </c>
      <c r="B3664" t="s">
        <v>692</v>
      </c>
      <c r="C3664" t="s">
        <v>693</v>
      </c>
      <c r="D3664" t="s">
        <v>8</v>
      </c>
      <c r="G3664">
        <v>114611</v>
      </c>
    </row>
    <row r="3665" spans="1:7" x14ac:dyDescent="0.2">
      <c r="A3665" t="s">
        <v>873</v>
      </c>
      <c r="B3665" t="s">
        <v>692</v>
      </c>
      <c r="C3665" t="s">
        <v>693</v>
      </c>
      <c r="D3665" t="s">
        <v>694</v>
      </c>
      <c r="E3665" t="s">
        <v>695</v>
      </c>
      <c r="G3665">
        <v>70131</v>
      </c>
    </row>
    <row r="3666" spans="1:7" x14ac:dyDescent="0.2">
      <c r="A3666" t="s">
        <v>873</v>
      </c>
      <c r="B3666" t="s">
        <v>692</v>
      </c>
      <c r="C3666" t="s">
        <v>693</v>
      </c>
      <c r="D3666" t="s">
        <v>696</v>
      </c>
      <c r="E3666" t="s">
        <v>697</v>
      </c>
      <c r="G3666">
        <v>21721</v>
      </c>
    </row>
    <row r="3667" spans="1:7" x14ac:dyDescent="0.2">
      <c r="A3667" t="s">
        <v>873</v>
      </c>
      <c r="B3667" t="s">
        <v>692</v>
      </c>
      <c r="C3667" t="s">
        <v>693</v>
      </c>
      <c r="D3667" t="s">
        <v>45</v>
      </c>
      <c r="G3667">
        <v>9</v>
      </c>
    </row>
    <row r="3668" spans="1:7" x14ac:dyDescent="0.2">
      <c r="A3668" t="s">
        <v>873</v>
      </c>
      <c r="B3668" t="s">
        <v>692</v>
      </c>
      <c r="C3668" t="s">
        <v>693</v>
      </c>
      <c r="D3668" t="s">
        <v>46</v>
      </c>
      <c r="G3668">
        <v>22750</v>
      </c>
    </row>
    <row r="3669" spans="1:7" x14ac:dyDescent="0.2">
      <c r="A3669" t="s">
        <v>873</v>
      </c>
      <c r="B3669" t="s">
        <v>698</v>
      </c>
      <c r="C3669" t="s">
        <v>699</v>
      </c>
      <c r="D3669" t="s">
        <v>8</v>
      </c>
      <c r="G3669">
        <v>114611</v>
      </c>
    </row>
    <row r="3670" spans="1:7" x14ac:dyDescent="0.2">
      <c r="A3670" t="s">
        <v>873</v>
      </c>
      <c r="B3670" t="s">
        <v>698</v>
      </c>
      <c r="C3670" t="s">
        <v>699</v>
      </c>
      <c r="D3670" t="s">
        <v>694</v>
      </c>
      <c r="E3670" t="s">
        <v>700</v>
      </c>
      <c r="G3670">
        <v>69413</v>
      </c>
    </row>
    <row r="3671" spans="1:7" x14ac:dyDescent="0.2">
      <c r="A3671" t="s">
        <v>873</v>
      </c>
      <c r="B3671" t="s">
        <v>698</v>
      </c>
      <c r="C3671" t="s">
        <v>699</v>
      </c>
      <c r="D3671" t="s">
        <v>696</v>
      </c>
      <c r="E3671" t="s">
        <v>701</v>
      </c>
      <c r="G3671">
        <v>21235</v>
      </c>
    </row>
    <row r="3672" spans="1:7" x14ac:dyDescent="0.2">
      <c r="A3672" t="s">
        <v>873</v>
      </c>
      <c r="B3672" t="s">
        <v>698</v>
      </c>
      <c r="C3672" t="s">
        <v>699</v>
      </c>
      <c r="D3672" t="s">
        <v>45</v>
      </c>
      <c r="G3672">
        <v>13</v>
      </c>
    </row>
    <row r="3673" spans="1:7" x14ac:dyDescent="0.2">
      <c r="A3673" t="s">
        <v>873</v>
      </c>
      <c r="B3673" t="s">
        <v>698</v>
      </c>
      <c r="C3673" t="s">
        <v>699</v>
      </c>
      <c r="D3673" t="s">
        <v>46</v>
      </c>
      <c r="G3673">
        <v>23950</v>
      </c>
    </row>
    <row r="3674" spans="1:7" x14ac:dyDescent="0.2">
      <c r="A3674" t="s">
        <v>873</v>
      </c>
      <c r="B3674" t="s">
        <v>710</v>
      </c>
      <c r="C3674" t="s">
        <v>711</v>
      </c>
      <c r="D3674" t="s">
        <v>8</v>
      </c>
      <c r="G3674">
        <v>114611</v>
      </c>
    </row>
    <row r="3675" spans="1:7" x14ac:dyDescent="0.2">
      <c r="A3675" t="s">
        <v>873</v>
      </c>
      <c r="B3675" t="s">
        <v>710</v>
      </c>
      <c r="C3675" t="s">
        <v>711</v>
      </c>
      <c r="D3675" t="s">
        <v>694</v>
      </c>
      <c r="E3675" t="s">
        <v>712</v>
      </c>
      <c r="G3675">
        <v>68291</v>
      </c>
    </row>
    <row r="3676" spans="1:7" x14ac:dyDescent="0.2">
      <c r="A3676" t="s">
        <v>873</v>
      </c>
      <c r="B3676" t="s">
        <v>710</v>
      </c>
      <c r="C3676" t="s">
        <v>711</v>
      </c>
      <c r="D3676" t="s">
        <v>696</v>
      </c>
      <c r="E3676" t="s">
        <v>713</v>
      </c>
      <c r="G3676">
        <v>22298</v>
      </c>
    </row>
    <row r="3677" spans="1:7" x14ac:dyDescent="0.2">
      <c r="A3677" t="s">
        <v>873</v>
      </c>
      <c r="B3677" t="s">
        <v>710</v>
      </c>
      <c r="C3677" t="s">
        <v>711</v>
      </c>
      <c r="D3677" t="s">
        <v>45</v>
      </c>
      <c r="G3677">
        <v>21</v>
      </c>
    </row>
    <row r="3678" spans="1:7" x14ac:dyDescent="0.2">
      <c r="A3678" t="s">
        <v>873</v>
      </c>
      <c r="B3678" t="s">
        <v>710</v>
      </c>
      <c r="C3678" t="s">
        <v>711</v>
      </c>
      <c r="D3678" t="s">
        <v>46</v>
      </c>
      <c r="G3678">
        <v>24001</v>
      </c>
    </row>
    <row r="3679" spans="1:7" x14ac:dyDescent="0.2">
      <c r="A3679" t="s">
        <v>873</v>
      </c>
      <c r="B3679" t="s">
        <v>714</v>
      </c>
      <c r="C3679" t="s">
        <v>715</v>
      </c>
      <c r="D3679" t="s">
        <v>8</v>
      </c>
      <c r="G3679">
        <v>114611</v>
      </c>
    </row>
    <row r="3680" spans="1:7" x14ac:dyDescent="0.2">
      <c r="A3680" t="s">
        <v>873</v>
      </c>
      <c r="B3680" t="s">
        <v>714</v>
      </c>
      <c r="C3680" t="s">
        <v>715</v>
      </c>
      <c r="D3680" t="s">
        <v>694</v>
      </c>
      <c r="E3680" t="s">
        <v>716</v>
      </c>
      <c r="G3680">
        <v>67368</v>
      </c>
    </row>
    <row r="3681" spans="1:7" x14ac:dyDescent="0.2">
      <c r="A3681" t="s">
        <v>873</v>
      </c>
      <c r="B3681" t="s">
        <v>714</v>
      </c>
      <c r="C3681" t="s">
        <v>715</v>
      </c>
      <c r="D3681" t="s">
        <v>696</v>
      </c>
      <c r="E3681" t="s">
        <v>717</v>
      </c>
      <c r="G3681">
        <v>22815</v>
      </c>
    </row>
    <row r="3682" spans="1:7" x14ac:dyDescent="0.2">
      <c r="A3682" t="s">
        <v>873</v>
      </c>
      <c r="B3682" t="s">
        <v>714</v>
      </c>
      <c r="C3682" t="s">
        <v>715</v>
      </c>
      <c r="D3682" t="s">
        <v>45</v>
      </c>
      <c r="G3682">
        <v>12</v>
      </c>
    </row>
    <row r="3683" spans="1:7" x14ac:dyDescent="0.2">
      <c r="A3683" t="s">
        <v>873</v>
      </c>
      <c r="B3683" t="s">
        <v>714</v>
      </c>
      <c r="C3683" t="s">
        <v>715</v>
      </c>
      <c r="D3683" t="s">
        <v>46</v>
      </c>
      <c r="G3683">
        <v>24416</v>
      </c>
    </row>
    <row r="3684" spans="1:7" x14ac:dyDescent="0.2">
      <c r="A3684" t="s">
        <v>873</v>
      </c>
      <c r="B3684" t="s">
        <v>718</v>
      </c>
      <c r="C3684" t="s">
        <v>719</v>
      </c>
      <c r="D3684" t="s">
        <v>8</v>
      </c>
      <c r="G3684">
        <v>114611</v>
      </c>
    </row>
    <row r="3685" spans="1:7" x14ac:dyDescent="0.2">
      <c r="A3685" t="s">
        <v>873</v>
      </c>
      <c r="B3685" t="s">
        <v>718</v>
      </c>
      <c r="C3685" t="s">
        <v>719</v>
      </c>
      <c r="D3685" t="s">
        <v>694</v>
      </c>
      <c r="E3685" t="s">
        <v>720</v>
      </c>
      <c r="G3685">
        <v>69669</v>
      </c>
    </row>
    <row r="3686" spans="1:7" x14ac:dyDescent="0.2">
      <c r="A3686" t="s">
        <v>873</v>
      </c>
      <c r="B3686" t="s">
        <v>718</v>
      </c>
      <c r="C3686" t="s">
        <v>719</v>
      </c>
      <c r="D3686" t="s">
        <v>696</v>
      </c>
      <c r="E3686" t="s">
        <v>721</v>
      </c>
      <c r="G3686">
        <v>21670</v>
      </c>
    </row>
    <row r="3687" spans="1:7" x14ac:dyDescent="0.2">
      <c r="A3687" t="s">
        <v>873</v>
      </c>
      <c r="B3687" t="s">
        <v>718</v>
      </c>
      <c r="C3687" t="s">
        <v>719</v>
      </c>
      <c r="D3687" t="s">
        <v>45</v>
      </c>
      <c r="G3687">
        <v>12</v>
      </c>
    </row>
    <row r="3688" spans="1:7" x14ac:dyDescent="0.2">
      <c r="A3688" t="s">
        <v>873</v>
      </c>
      <c r="B3688" t="s">
        <v>718</v>
      </c>
      <c r="C3688" t="s">
        <v>719</v>
      </c>
      <c r="D3688" t="s">
        <v>46</v>
      </c>
      <c r="G3688">
        <v>23260</v>
      </c>
    </row>
    <row r="3689" spans="1:7" x14ac:dyDescent="0.2">
      <c r="A3689" t="s">
        <v>873</v>
      </c>
      <c r="B3689" t="s">
        <v>722</v>
      </c>
      <c r="C3689" t="s">
        <v>723</v>
      </c>
      <c r="D3689" t="s">
        <v>8</v>
      </c>
      <c r="G3689">
        <v>114611</v>
      </c>
    </row>
    <row r="3690" spans="1:7" x14ac:dyDescent="0.2">
      <c r="A3690" t="s">
        <v>873</v>
      </c>
      <c r="B3690" t="s">
        <v>722</v>
      </c>
      <c r="C3690" t="s">
        <v>723</v>
      </c>
      <c r="D3690" t="s">
        <v>694</v>
      </c>
      <c r="E3690" t="s">
        <v>724</v>
      </c>
      <c r="G3690">
        <v>70492</v>
      </c>
    </row>
    <row r="3691" spans="1:7" x14ac:dyDescent="0.2">
      <c r="A3691" t="s">
        <v>873</v>
      </c>
      <c r="B3691" t="s">
        <v>722</v>
      </c>
      <c r="C3691" t="s">
        <v>723</v>
      </c>
      <c r="D3691" t="s">
        <v>696</v>
      </c>
      <c r="E3691" t="s">
        <v>725</v>
      </c>
      <c r="G3691">
        <v>20223</v>
      </c>
    </row>
    <row r="3692" spans="1:7" x14ac:dyDescent="0.2">
      <c r="A3692" t="s">
        <v>873</v>
      </c>
      <c r="B3692" t="s">
        <v>722</v>
      </c>
      <c r="C3692" t="s">
        <v>723</v>
      </c>
      <c r="D3692" t="s">
        <v>45</v>
      </c>
      <c r="G3692">
        <v>16</v>
      </c>
    </row>
    <row r="3693" spans="1:7" x14ac:dyDescent="0.2">
      <c r="A3693" t="s">
        <v>873</v>
      </c>
      <c r="B3693" t="s">
        <v>722</v>
      </c>
      <c r="C3693" t="s">
        <v>723</v>
      </c>
      <c r="D3693" t="s">
        <v>46</v>
      </c>
      <c r="G3693">
        <v>23880</v>
      </c>
    </row>
    <row r="3694" spans="1:7" x14ac:dyDescent="0.2">
      <c r="A3694" t="s">
        <v>873</v>
      </c>
      <c r="B3694" t="s">
        <v>726</v>
      </c>
      <c r="C3694" t="s">
        <v>727</v>
      </c>
      <c r="D3694" t="s">
        <v>8</v>
      </c>
      <c r="G3694">
        <v>114611</v>
      </c>
    </row>
    <row r="3695" spans="1:7" x14ac:dyDescent="0.2">
      <c r="A3695" t="s">
        <v>873</v>
      </c>
      <c r="B3695" t="s">
        <v>726</v>
      </c>
      <c r="C3695" t="s">
        <v>727</v>
      </c>
      <c r="D3695" t="s">
        <v>694</v>
      </c>
      <c r="E3695" t="s">
        <v>728</v>
      </c>
      <c r="G3695">
        <v>71916</v>
      </c>
    </row>
    <row r="3696" spans="1:7" x14ac:dyDescent="0.2">
      <c r="A3696" t="s">
        <v>873</v>
      </c>
      <c r="B3696" t="s">
        <v>726</v>
      </c>
      <c r="C3696" t="s">
        <v>727</v>
      </c>
      <c r="D3696" t="s">
        <v>696</v>
      </c>
      <c r="E3696" t="s">
        <v>729</v>
      </c>
      <c r="G3696">
        <v>19145</v>
      </c>
    </row>
    <row r="3697" spans="1:7" x14ac:dyDescent="0.2">
      <c r="A3697" t="s">
        <v>873</v>
      </c>
      <c r="B3697" t="s">
        <v>726</v>
      </c>
      <c r="C3697" t="s">
        <v>727</v>
      </c>
      <c r="D3697" t="s">
        <v>45</v>
      </c>
      <c r="G3697">
        <v>10</v>
      </c>
    </row>
    <row r="3698" spans="1:7" x14ac:dyDescent="0.2">
      <c r="A3698" t="s">
        <v>873</v>
      </c>
      <c r="B3698" t="s">
        <v>726</v>
      </c>
      <c r="C3698" t="s">
        <v>727</v>
      </c>
      <c r="D3698" t="s">
        <v>46</v>
      </c>
      <c r="G3698">
        <v>23540</v>
      </c>
    </row>
    <row r="3699" spans="1:7" x14ac:dyDescent="0.2">
      <c r="A3699" t="s">
        <v>873</v>
      </c>
      <c r="B3699" t="s">
        <v>806</v>
      </c>
      <c r="C3699" t="s">
        <v>807</v>
      </c>
      <c r="D3699" t="s">
        <v>8</v>
      </c>
      <c r="G3699">
        <v>114611</v>
      </c>
    </row>
    <row r="3700" spans="1:7" x14ac:dyDescent="0.2">
      <c r="A3700" t="s">
        <v>873</v>
      </c>
      <c r="B3700" t="s">
        <v>806</v>
      </c>
      <c r="C3700" t="s">
        <v>807</v>
      </c>
      <c r="D3700" t="s">
        <v>694</v>
      </c>
      <c r="E3700" t="s">
        <v>808</v>
      </c>
      <c r="G3700">
        <v>70645</v>
      </c>
    </row>
    <row r="3701" spans="1:7" x14ac:dyDescent="0.2">
      <c r="A3701" t="s">
        <v>873</v>
      </c>
      <c r="B3701" t="s">
        <v>806</v>
      </c>
      <c r="C3701" t="s">
        <v>807</v>
      </c>
      <c r="D3701" t="s">
        <v>696</v>
      </c>
      <c r="E3701" t="s">
        <v>809</v>
      </c>
      <c r="G3701">
        <v>20384</v>
      </c>
    </row>
    <row r="3702" spans="1:7" x14ac:dyDescent="0.2">
      <c r="A3702" t="s">
        <v>873</v>
      </c>
      <c r="B3702" t="s">
        <v>806</v>
      </c>
      <c r="C3702" t="s">
        <v>807</v>
      </c>
      <c r="D3702" t="s">
        <v>45</v>
      </c>
      <c r="G3702">
        <v>7</v>
      </c>
    </row>
    <row r="3703" spans="1:7" x14ac:dyDescent="0.2">
      <c r="A3703" t="s">
        <v>873</v>
      </c>
      <c r="B3703" t="s">
        <v>806</v>
      </c>
      <c r="C3703" t="s">
        <v>807</v>
      </c>
      <c r="D3703" t="s">
        <v>46</v>
      </c>
      <c r="G3703">
        <v>23575</v>
      </c>
    </row>
    <row r="3704" spans="1:7" x14ac:dyDescent="0.2">
      <c r="A3704" t="s">
        <v>873</v>
      </c>
      <c r="B3704" t="s">
        <v>834</v>
      </c>
      <c r="C3704" t="s">
        <v>835</v>
      </c>
      <c r="D3704" t="s">
        <v>8</v>
      </c>
      <c r="G3704">
        <v>114611</v>
      </c>
    </row>
    <row r="3705" spans="1:7" x14ac:dyDescent="0.2">
      <c r="A3705" t="s">
        <v>873</v>
      </c>
      <c r="B3705" t="s">
        <v>834</v>
      </c>
      <c r="C3705" t="s">
        <v>835</v>
      </c>
      <c r="D3705" t="s">
        <v>836</v>
      </c>
      <c r="E3705" t="s">
        <v>837</v>
      </c>
      <c r="G3705">
        <v>71505</v>
      </c>
    </row>
    <row r="3706" spans="1:7" x14ac:dyDescent="0.2">
      <c r="A3706" t="s">
        <v>873</v>
      </c>
      <c r="B3706" t="s">
        <v>834</v>
      </c>
      <c r="C3706" t="s">
        <v>835</v>
      </c>
      <c r="D3706" t="s">
        <v>838</v>
      </c>
      <c r="E3706" t="s">
        <v>839</v>
      </c>
      <c r="G3706">
        <v>33988</v>
      </c>
    </row>
    <row r="3707" spans="1:7" x14ac:dyDescent="0.2">
      <c r="A3707" t="s">
        <v>873</v>
      </c>
      <c r="B3707" t="s">
        <v>834</v>
      </c>
      <c r="C3707" t="s">
        <v>835</v>
      </c>
      <c r="D3707" t="s">
        <v>45</v>
      </c>
      <c r="G3707">
        <v>34</v>
      </c>
    </row>
    <row r="3708" spans="1:7" x14ac:dyDescent="0.2">
      <c r="A3708" t="s">
        <v>873</v>
      </c>
      <c r="B3708" t="s">
        <v>834</v>
      </c>
      <c r="C3708" t="s">
        <v>835</v>
      </c>
      <c r="D3708" t="s">
        <v>46</v>
      </c>
      <c r="G3708">
        <v>9084</v>
      </c>
    </row>
    <row r="3709" spans="1:7" x14ac:dyDescent="0.2">
      <c r="A3709" t="s">
        <v>873</v>
      </c>
      <c r="B3709" t="s">
        <v>840</v>
      </c>
      <c r="C3709" t="s">
        <v>841</v>
      </c>
      <c r="D3709" t="s">
        <v>8</v>
      </c>
      <c r="G3709">
        <v>114611</v>
      </c>
    </row>
    <row r="3710" spans="1:7" x14ac:dyDescent="0.2">
      <c r="A3710" t="s">
        <v>873</v>
      </c>
      <c r="B3710" t="s">
        <v>840</v>
      </c>
      <c r="C3710" t="s">
        <v>841</v>
      </c>
      <c r="D3710" t="s">
        <v>836</v>
      </c>
      <c r="E3710" t="s">
        <v>842</v>
      </c>
      <c r="G3710">
        <v>88051</v>
      </c>
    </row>
    <row r="3711" spans="1:7" x14ac:dyDescent="0.2">
      <c r="A3711" t="s">
        <v>873</v>
      </c>
      <c r="B3711" t="s">
        <v>840</v>
      </c>
      <c r="C3711" t="s">
        <v>841</v>
      </c>
      <c r="D3711" t="s">
        <v>838</v>
      </c>
      <c r="E3711" t="s">
        <v>843</v>
      </c>
      <c r="G3711">
        <v>17747</v>
      </c>
    </row>
    <row r="3712" spans="1:7" x14ac:dyDescent="0.2">
      <c r="A3712" t="s">
        <v>873</v>
      </c>
      <c r="B3712" t="s">
        <v>840</v>
      </c>
      <c r="C3712" t="s">
        <v>841</v>
      </c>
      <c r="D3712" t="s">
        <v>45</v>
      </c>
      <c r="G3712">
        <v>25</v>
      </c>
    </row>
    <row r="3713" spans="1:7" x14ac:dyDescent="0.2">
      <c r="A3713" t="s">
        <v>873</v>
      </c>
      <c r="B3713" t="s">
        <v>840</v>
      </c>
      <c r="C3713" t="s">
        <v>841</v>
      </c>
      <c r="D3713" t="s">
        <v>46</v>
      </c>
      <c r="G3713">
        <v>8788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Sheet2</vt:lpstr>
      <vt:lpstr>Cleaning Log</vt:lpstr>
      <vt:lpstr>Precinct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A Thomas</cp:lastModifiedBy>
  <dcterms:created xsi:type="dcterms:W3CDTF">2025-02-07T02:39:12Z</dcterms:created>
  <dcterms:modified xsi:type="dcterms:W3CDTF">2025-02-07T02:39:12Z</dcterms:modified>
</cp:coreProperties>
</file>