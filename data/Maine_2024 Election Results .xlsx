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DFF06BC2-909A-9643-90ED-3E0F2C733523}" xr6:coauthVersionLast="47" xr6:coauthVersionMax="47" xr10:uidLastSave="{00000000-0000-0000-0000-000000000000}"/>
  <bookViews>
    <workbookView xWindow="0" yWindow="500" windowWidth="28800" windowHeight="16300" xr2:uid="{51FAB4E4-2A55-4567-97FE-BF2FEB12BC63}"/>
  </bookViews>
  <sheets>
    <sheet name="President &amp; VP" sheetId="1" r:id="rId1"/>
    <sheet name="Cleaning Log" sheetId="2" r:id="rId2"/>
  </sheets>
  <definedNames>
    <definedName name="_xlnm.Print_Area" localSheetId="0">'President &amp; VP'!$A$1:$J$550</definedName>
    <definedName name="_xlnm.Print_Titles" localSheetId="0">'President &amp; VP'!$1:$3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7" i="1" l="1"/>
  <c r="M548" i="1"/>
  <c r="M549" i="1"/>
  <c r="K547" i="1"/>
  <c r="K548" i="1"/>
  <c r="K549" i="1"/>
  <c r="J540" i="1"/>
  <c r="J437" i="1"/>
  <c r="J438" i="1"/>
  <c r="J415" i="1"/>
  <c r="J302" i="1"/>
  <c r="J301" i="1"/>
  <c r="J191" i="1"/>
  <c r="J161" i="1"/>
  <c r="J157" i="1"/>
  <c r="J6" i="1"/>
  <c r="J7" i="1"/>
  <c r="J8" i="1"/>
  <c r="J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H546" i="1"/>
  <c r="F463" i="1"/>
  <c r="G463" i="1"/>
  <c r="H463" i="1"/>
  <c r="C435" i="1"/>
  <c r="D435" i="1"/>
  <c r="E435" i="1"/>
  <c r="F435" i="1"/>
  <c r="G435" i="1"/>
  <c r="E365" i="1"/>
  <c r="F365" i="1"/>
  <c r="G365" i="1"/>
  <c r="H365" i="1"/>
  <c r="F219" i="1"/>
  <c r="C188" i="1"/>
  <c r="D188" i="1"/>
  <c r="E188" i="1"/>
  <c r="F188" i="1"/>
  <c r="G188" i="1"/>
  <c r="C147" i="1"/>
  <c r="D147" i="1"/>
  <c r="E147" i="1"/>
  <c r="F147" i="1"/>
  <c r="G147" i="1"/>
  <c r="H147" i="1"/>
  <c r="I147" i="1"/>
  <c r="F123" i="1"/>
  <c r="G123" i="1"/>
  <c r="I123" i="1"/>
  <c r="D123" i="1"/>
  <c r="H123" i="1"/>
  <c r="G18" i="1"/>
  <c r="H18" i="1"/>
  <c r="C546" i="1"/>
  <c r="D546" i="1"/>
  <c r="E546" i="1"/>
  <c r="F546" i="1"/>
  <c r="G546" i="1"/>
  <c r="I546" i="1"/>
  <c r="C515" i="1"/>
  <c r="D515" i="1"/>
  <c r="E515" i="1"/>
  <c r="F515" i="1"/>
  <c r="G515" i="1"/>
  <c r="H515" i="1"/>
  <c r="I515" i="1"/>
  <c r="C463" i="1"/>
  <c r="D463" i="1"/>
  <c r="E463" i="1"/>
  <c r="I463" i="1"/>
  <c r="H435" i="1"/>
  <c r="I435" i="1"/>
  <c r="C397" i="1"/>
  <c r="D397" i="1"/>
  <c r="E397" i="1"/>
  <c r="F397" i="1"/>
  <c r="G397" i="1"/>
  <c r="H397" i="1"/>
  <c r="I397" i="1"/>
  <c r="C385" i="1"/>
  <c r="D385" i="1"/>
  <c r="E385" i="1"/>
  <c r="F385" i="1"/>
  <c r="G385" i="1"/>
  <c r="H385" i="1"/>
  <c r="I385" i="1"/>
  <c r="C365" i="1"/>
  <c r="D365" i="1"/>
  <c r="I365" i="1"/>
  <c r="C298" i="1"/>
  <c r="D298" i="1"/>
  <c r="E298" i="1"/>
  <c r="F298" i="1"/>
  <c r="G298" i="1"/>
  <c r="H298" i="1"/>
  <c r="I298" i="1"/>
  <c r="C260" i="1"/>
  <c r="D260" i="1"/>
  <c r="E260" i="1"/>
  <c r="F260" i="1"/>
  <c r="G260" i="1"/>
  <c r="H260" i="1"/>
  <c r="I260" i="1"/>
  <c r="C239" i="1"/>
  <c r="D239" i="1"/>
  <c r="E239" i="1"/>
  <c r="F239" i="1"/>
  <c r="G239" i="1"/>
  <c r="H239" i="1"/>
  <c r="I239" i="1"/>
  <c r="C219" i="1"/>
  <c r="D219" i="1"/>
  <c r="E219" i="1"/>
  <c r="G219" i="1"/>
  <c r="H219" i="1"/>
  <c r="I219" i="1"/>
  <c r="H188" i="1"/>
  <c r="I188" i="1"/>
  <c r="C93" i="1"/>
  <c r="D93" i="1"/>
  <c r="E93" i="1"/>
  <c r="F93" i="1"/>
  <c r="G93" i="1"/>
  <c r="H93" i="1"/>
  <c r="I93" i="1"/>
  <c r="C18" i="1"/>
  <c r="D18" i="1"/>
  <c r="E18" i="1"/>
  <c r="F18" i="1"/>
  <c r="I18" i="1"/>
  <c r="J5" i="1"/>
  <c r="J9" i="1"/>
  <c r="J10" i="1"/>
  <c r="J11" i="1"/>
  <c r="J12" i="1"/>
  <c r="J13" i="1"/>
  <c r="J14" i="1"/>
  <c r="J15" i="1"/>
  <c r="J16" i="1"/>
  <c r="J17" i="1"/>
  <c r="J20" i="1"/>
  <c r="J21" i="1"/>
  <c r="J22" i="1"/>
  <c r="J34" i="1"/>
  <c r="J83" i="1"/>
  <c r="J24" i="1"/>
  <c r="J25" i="1"/>
  <c r="J93" i="1" s="1"/>
  <c r="J80" i="1"/>
  <c r="J26" i="1"/>
  <c r="J27" i="1"/>
  <c r="J28" i="1"/>
  <c r="J29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69" i="1"/>
  <c r="J82" i="1"/>
  <c r="J54" i="1"/>
  <c r="J55" i="1"/>
  <c r="J57" i="1"/>
  <c r="J58" i="1"/>
  <c r="J59" i="1"/>
  <c r="J60" i="1"/>
  <c r="J61" i="1"/>
  <c r="J62" i="1"/>
  <c r="J30" i="1"/>
  <c r="J64" i="1"/>
  <c r="J65" i="1"/>
  <c r="J66" i="1"/>
  <c r="J67" i="1"/>
  <c r="J68" i="1"/>
  <c r="J70" i="1"/>
  <c r="J71" i="1"/>
  <c r="J63" i="1"/>
  <c r="J72" i="1"/>
  <c r="J73" i="1"/>
  <c r="J316" i="1"/>
  <c r="J56" i="1"/>
  <c r="J74" i="1"/>
  <c r="J75" i="1"/>
  <c r="J76" i="1"/>
  <c r="J77" i="1"/>
  <c r="J78" i="1"/>
  <c r="J79" i="1"/>
  <c r="J84" i="1"/>
  <c r="J85" i="1"/>
  <c r="J86" i="1"/>
  <c r="J87" i="1"/>
  <c r="J88" i="1"/>
  <c r="J89" i="1"/>
  <c r="J90" i="1"/>
  <c r="J91" i="1"/>
  <c r="J81" i="1"/>
  <c r="J92" i="1"/>
  <c r="J95" i="1"/>
  <c r="J96" i="1"/>
  <c r="J97" i="1"/>
  <c r="J98" i="1"/>
  <c r="J99" i="1"/>
  <c r="J100" i="1"/>
  <c r="J101" i="1"/>
  <c r="J102" i="1"/>
  <c r="J103" i="1"/>
  <c r="J104" i="1"/>
  <c r="J125" i="1"/>
  <c r="J146" i="1"/>
  <c r="J126" i="1"/>
  <c r="J127" i="1"/>
  <c r="J128" i="1"/>
  <c r="J147" i="1" s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9" i="1"/>
  <c r="J150" i="1"/>
  <c r="J182" i="1"/>
  <c r="J151" i="1"/>
  <c r="J152" i="1"/>
  <c r="J153" i="1"/>
  <c r="J154" i="1"/>
  <c r="J155" i="1"/>
  <c r="J156" i="1"/>
  <c r="J158" i="1"/>
  <c r="J159" i="1"/>
  <c r="J160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3" i="1"/>
  <c r="J184" i="1"/>
  <c r="J185" i="1"/>
  <c r="J186" i="1"/>
  <c r="J187" i="1"/>
  <c r="J190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21" i="1"/>
  <c r="J239" i="1" s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41" i="1"/>
  <c r="J242" i="1"/>
  <c r="J243" i="1"/>
  <c r="J244" i="1"/>
  <c r="J245" i="1"/>
  <c r="J260" i="1" s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2" i="1"/>
  <c r="J263" i="1"/>
  <c r="J298" i="1" s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300" i="1"/>
  <c r="J303" i="1"/>
  <c r="J304" i="1"/>
  <c r="J305" i="1"/>
  <c r="J306" i="1"/>
  <c r="J340" i="1"/>
  <c r="J307" i="1"/>
  <c r="J308" i="1"/>
  <c r="J309" i="1"/>
  <c r="J310" i="1"/>
  <c r="J311" i="1"/>
  <c r="J312" i="1"/>
  <c r="J313" i="1"/>
  <c r="J314" i="1"/>
  <c r="J315" i="1"/>
  <c r="J317" i="1"/>
  <c r="J318" i="1"/>
  <c r="J319" i="1"/>
  <c r="J320" i="1"/>
  <c r="J321" i="1"/>
  <c r="J322" i="1"/>
  <c r="J323" i="1"/>
  <c r="J324" i="1"/>
  <c r="J325" i="1"/>
  <c r="J326" i="1"/>
  <c r="J327" i="1"/>
  <c r="J329" i="1"/>
  <c r="J330" i="1"/>
  <c r="J331" i="1"/>
  <c r="J332" i="1"/>
  <c r="J334" i="1"/>
  <c r="J335" i="1"/>
  <c r="J336" i="1"/>
  <c r="J337" i="1"/>
  <c r="J338" i="1"/>
  <c r="J339" i="1"/>
  <c r="J344" i="1"/>
  <c r="J341" i="1"/>
  <c r="J342" i="1"/>
  <c r="J343" i="1"/>
  <c r="J345" i="1"/>
  <c r="J346" i="1"/>
  <c r="J347" i="1"/>
  <c r="J348" i="1"/>
  <c r="J349" i="1"/>
  <c r="J350" i="1"/>
  <c r="J351" i="1"/>
  <c r="J352" i="1"/>
  <c r="J353" i="1"/>
  <c r="J354" i="1"/>
  <c r="J355" i="1"/>
  <c r="J328" i="1"/>
  <c r="J357" i="1"/>
  <c r="J358" i="1"/>
  <c r="J359" i="1"/>
  <c r="J23" i="1"/>
  <c r="J360" i="1"/>
  <c r="J361" i="1"/>
  <c r="J333" i="1"/>
  <c r="J362" i="1"/>
  <c r="J356" i="1"/>
  <c r="J363" i="1"/>
  <c r="J364" i="1"/>
  <c r="J367" i="1"/>
  <c r="J385" i="1" s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7" i="1"/>
  <c r="J397" i="1" s="1"/>
  <c r="J388" i="1"/>
  <c r="J389" i="1"/>
  <c r="J390" i="1"/>
  <c r="J391" i="1"/>
  <c r="J392" i="1"/>
  <c r="J393" i="1"/>
  <c r="J394" i="1"/>
  <c r="J395" i="1"/>
  <c r="J396" i="1"/>
  <c r="J399" i="1"/>
  <c r="J435" i="1" s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6" i="1"/>
  <c r="J417" i="1"/>
  <c r="J418" i="1"/>
  <c r="J419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20" i="1"/>
  <c r="J433" i="1"/>
  <c r="J434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5" i="1"/>
  <c r="J466" i="1"/>
  <c r="J467" i="1"/>
  <c r="J468" i="1"/>
  <c r="J469" i="1"/>
  <c r="J470" i="1"/>
  <c r="J181" i="1"/>
  <c r="J473" i="1"/>
  <c r="J515" i="1" s="1"/>
  <c r="J472" i="1"/>
  <c r="J471" i="1"/>
  <c r="J474" i="1"/>
  <c r="J475" i="1"/>
  <c r="J476" i="1"/>
  <c r="J477" i="1"/>
  <c r="J478" i="1"/>
  <c r="J479" i="1"/>
  <c r="J480" i="1"/>
  <c r="J481" i="1"/>
  <c r="J483" i="1"/>
  <c r="J484" i="1"/>
  <c r="J485" i="1"/>
  <c r="J486" i="1"/>
  <c r="J488" i="1"/>
  <c r="J487" i="1"/>
  <c r="J489" i="1"/>
  <c r="J506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7" i="1"/>
  <c r="J508" i="1"/>
  <c r="J509" i="1"/>
  <c r="J510" i="1"/>
  <c r="J482" i="1"/>
  <c r="J511" i="1"/>
  <c r="J512" i="1"/>
  <c r="J513" i="1"/>
  <c r="J514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1" i="1"/>
  <c r="J542" i="1"/>
  <c r="J543" i="1"/>
  <c r="J544" i="1"/>
  <c r="J545" i="1"/>
  <c r="J548" i="1"/>
  <c r="J546" i="1" l="1"/>
  <c r="J463" i="1"/>
  <c r="J365" i="1"/>
  <c r="J219" i="1"/>
  <c r="F550" i="1"/>
  <c r="J188" i="1"/>
  <c r="J123" i="1"/>
  <c r="G550" i="1"/>
  <c r="E550" i="1"/>
  <c r="D550" i="1"/>
  <c r="H550" i="1"/>
  <c r="C550" i="1"/>
  <c r="J18" i="1"/>
  <c r="I550" i="1"/>
  <c r="J550" i="1"/>
  <c r="C123" i="1"/>
  <c r="E1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E36A64-C518-4F45-A7E1-9E464FCBA8CF}" keepAlive="1" name="Query - PRESIDENT AND VICE PRESIDENT" description="Connection to the 'PRESIDENT AND VICE PRESIDENT' query in the workbook." type="5" refreshedVersion="8" background="1" saveData="1">
    <dbPr connection="Provider=Microsoft.Mashup.OleDb.1;Data Source=$Workbook$;Location=&quot;PRESIDENT AND VICE PRESIDENT&quot;;Extended Properties=&quot;&quot;" command="SELECT * FROM [PRESIDENT AND VICE PRESIDENT]"/>
  </connection>
</connections>
</file>

<file path=xl/sharedStrings.xml><?xml version="1.0" encoding="utf-8"?>
<sst xmlns="http://schemas.openxmlformats.org/spreadsheetml/2006/main" count="1105" uniqueCount="579">
  <si>
    <t/>
  </si>
  <si>
    <t>BLANK</t>
  </si>
  <si>
    <t>AND</t>
  </si>
  <si>
    <t>Auburn</t>
  </si>
  <si>
    <t>Durham</t>
  </si>
  <si>
    <t>Greene</t>
  </si>
  <si>
    <t>Leeds</t>
  </si>
  <si>
    <t>Lewiston</t>
  </si>
  <si>
    <t>Lisbon</t>
  </si>
  <si>
    <t>Livermore</t>
  </si>
  <si>
    <t>Livermore Falls</t>
  </si>
  <si>
    <t>Mechanic Falls</t>
  </si>
  <si>
    <t>Minot</t>
  </si>
  <si>
    <t>Poland</t>
  </si>
  <si>
    <t>Sabattus</t>
  </si>
  <si>
    <t>Turner</t>
  </si>
  <si>
    <t>Wales</t>
  </si>
  <si>
    <t>ARO</t>
  </si>
  <si>
    <t>Allagash</t>
  </si>
  <si>
    <t>Amity</t>
  </si>
  <si>
    <t>Blaine</t>
  </si>
  <si>
    <t>Bridgewater</t>
  </si>
  <si>
    <t>Castle Hill</t>
  </si>
  <si>
    <t>Caswell</t>
  </si>
  <si>
    <t>Chapman</t>
  </si>
  <si>
    <t>Crystal</t>
  </si>
  <si>
    <t>Cyr Plantation</t>
  </si>
  <si>
    <t>Dyer Brook</t>
  </si>
  <si>
    <t>Easton</t>
  </si>
  <si>
    <t>Fort Fairfield</t>
  </si>
  <si>
    <t>Fort Kent</t>
  </si>
  <si>
    <t>Frenchville</t>
  </si>
  <si>
    <t>Garfield Plantation</t>
  </si>
  <si>
    <t>Glenwood Plantation</t>
  </si>
  <si>
    <t>Grand Isle</t>
  </si>
  <si>
    <t>Hamlin</t>
  </si>
  <si>
    <t>Hammond</t>
  </si>
  <si>
    <t>Haynesville</t>
  </si>
  <si>
    <t>Hersey</t>
  </si>
  <si>
    <t>Houlton</t>
  </si>
  <si>
    <t>Island Falls</t>
  </si>
  <si>
    <t>Limestone</t>
  </si>
  <si>
    <t>Linneus</t>
  </si>
  <si>
    <t>Littleton</t>
  </si>
  <si>
    <t>Ludlow</t>
  </si>
  <si>
    <t>Macwahoc Plantation</t>
  </si>
  <si>
    <t>Madawaska</t>
  </si>
  <si>
    <t>Mapleton</t>
  </si>
  <si>
    <t>Mars Hill</t>
  </si>
  <si>
    <t>Masardis</t>
  </si>
  <si>
    <t>Merrill</t>
  </si>
  <si>
    <t>Monticello</t>
  </si>
  <si>
    <t>Moro Plantation</t>
  </si>
  <si>
    <t>New Canada</t>
  </si>
  <si>
    <t>New Limerick</t>
  </si>
  <si>
    <t>New Sweden</t>
  </si>
  <si>
    <t>Oakfield</t>
  </si>
  <si>
    <t>Orient</t>
  </si>
  <si>
    <t>Perham</t>
  </si>
  <si>
    <t>Portage Lake</t>
  </si>
  <si>
    <t>Presque Isle</t>
  </si>
  <si>
    <t>Reed Plantation</t>
  </si>
  <si>
    <t>Saint Francis</t>
  </si>
  <si>
    <t>Saint John Plantation</t>
  </si>
  <si>
    <t>Sherman</t>
  </si>
  <si>
    <t>Smyrna</t>
  </si>
  <si>
    <t>Stockholm</t>
  </si>
  <si>
    <t>Wade</t>
  </si>
  <si>
    <t>Wallagrass</t>
  </si>
  <si>
    <t>Washburn</t>
  </si>
  <si>
    <t>Westfield</t>
  </si>
  <si>
    <t>Westmanland</t>
  </si>
  <si>
    <t>Winterville Plantation</t>
  </si>
  <si>
    <t>Woodland</t>
  </si>
  <si>
    <t>CUM</t>
  </si>
  <si>
    <t>Baldwin</t>
  </si>
  <si>
    <t>Bridgton</t>
  </si>
  <si>
    <t>Brunswick</t>
  </si>
  <si>
    <t>Cape Elizabeth</t>
  </si>
  <si>
    <t>Casco</t>
  </si>
  <si>
    <t>Chebeague Island</t>
  </si>
  <si>
    <t>Cumberland</t>
  </si>
  <si>
    <t>Falmouth</t>
  </si>
  <si>
    <t>Freeport</t>
  </si>
  <si>
    <t>Frye Island</t>
  </si>
  <si>
    <t>Gorham</t>
  </si>
  <si>
    <t>Gray</t>
  </si>
  <si>
    <t>Harpswell</t>
  </si>
  <si>
    <t>Harrison</t>
  </si>
  <si>
    <t>Long Island</t>
  </si>
  <si>
    <t>Naples</t>
  </si>
  <si>
    <t>New Gloucester</t>
  </si>
  <si>
    <t>North Yarmouth</t>
  </si>
  <si>
    <t>Portland</t>
  </si>
  <si>
    <t>Pownal</t>
  </si>
  <si>
    <t>Raymond</t>
  </si>
  <si>
    <t>Scarborough</t>
  </si>
  <si>
    <t>Sebago</t>
  </si>
  <si>
    <t>South Portland</t>
  </si>
  <si>
    <t>Standish</t>
  </si>
  <si>
    <t>Westbrook</t>
  </si>
  <si>
    <t>Windham</t>
  </si>
  <si>
    <t>Yarmouth</t>
  </si>
  <si>
    <t>FRA</t>
  </si>
  <si>
    <t>Avon</t>
  </si>
  <si>
    <t>Carrabassett Valley</t>
  </si>
  <si>
    <t>Carthage</t>
  </si>
  <si>
    <t>Chesterville</t>
  </si>
  <si>
    <t>Coplin Plantation</t>
  </si>
  <si>
    <t>Dallas Plantation</t>
  </si>
  <si>
    <t>Farmington</t>
  </si>
  <si>
    <t>Industry</t>
  </si>
  <si>
    <t>Jay</t>
  </si>
  <si>
    <t>Kingfield</t>
  </si>
  <si>
    <t>New Sharon</t>
  </si>
  <si>
    <t>New Vineyard</t>
  </si>
  <si>
    <t>Rangeley Plt</t>
  </si>
  <si>
    <t>Sandy River Plantation</t>
  </si>
  <si>
    <t>Temple</t>
  </si>
  <si>
    <t>Weld</t>
  </si>
  <si>
    <t>HAN</t>
  </si>
  <si>
    <t>Amherst</t>
  </si>
  <si>
    <t>Aurora</t>
  </si>
  <si>
    <t>Bar Harbor</t>
  </si>
  <si>
    <t>Blue Hill</t>
  </si>
  <si>
    <t>Brooklin</t>
  </si>
  <si>
    <t>Brooksville</t>
  </si>
  <si>
    <t>Bucksport</t>
  </si>
  <si>
    <t>Castine</t>
  </si>
  <si>
    <t>Cranberry Isles</t>
  </si>
  <si>
    <t>Dedham</t>
  </si>
  <si>
    <t>Deer Isle</t>
  </si>
  <si>
    <t>Eastbrook</t>
  </si>
  <si>
    <t>Frenchboro</t>
  </si>
  <si>
    <t>Great Pond</t>
  </si>
  <si>
    <t>Hancock</t>
  </si>
  <si>
    <t>Lamoine</t>
  </si>
  <si>
    <t>Mariaville</t>
  </si>
  <si>
    <t>Mount Desert</t>
  </si>
  <si>
    <t>Orland</t>
  </si>
  <si>
    <t>Osborn</t>
  </si>
  <si>
    <t>Otis</t>
  </si>
  <si>
    <t>Penobscot</t>
  </si>
  <si>
    <t>Sedgwick</t>
  </si>
  <si>
    <t>Sorrento</t>
  </si>
  <si>
    <t>Southwest Harbor</t>
  </si>
  <si>
    <t>Stonington</t>
  </si>
  <si>
    <t>Sullivan</t>
  </si>
  <si>
    <t>Surry</t>
  </si>
  <si>
    <t>Swan's Island</t>
  </si>
  <si>
    <t>Tremont</t>
  </si>
  <si>
    <t>Trenton</t>
  </si>
  <si>
    <t>Verona Island</t>
  </si>
  <si>
    <t>Waltham</t>
  </si>
  <si>
    <t>Winter Harbor</t>
  </si>
  <si>
    <t>KEN</t>
  </si>
  <si>
    <t>Augusta</t>
  </si>
  <si>
    <t>Belgrade</t>
  </si>
  <si>
    <t>Benton</t>
  </si>
  <si>
    <t>Chelsea</t>
  </si>
  <si>
    <t>China</t>
  </si>
  <si>
    <t>Clinton</t>
  </si>
  <si>
    <t>Farmingdale</t>
  </si>
  <si>
    <t>Fayette</t>
  </si>
  <si>
    <t>Gardiner</t>
  </si>
  <si>
    <t>Hallowell</t>
  </si>
  <si>
    <t>Litchfield</t>
  </si>
  <si>
    <t>Manchester</t>
  </si>
  <si>
    <t>Monmouth</t>
  </si>
  <si>
    <t>Mount Vernon</t>
  </si>
  <si>
    <t>Oakland</t>
  </si>
  <si>
    <t>Pittston</t>
  </si>
  <si>
    <t>Randolph</t>
  </si>
  <si>
    <t>Readfield</t>
  </si>
  <si>
    <t>Rome</t>
  </si>
  <si>
    <t>Sidney</t>
  </si>
  <si>
    <t>Vassalboro</t>
  </si>
  <si>
    <t>Vienna</t>
  </si>
  <si>
    <t>Waterville</t>
  </si>
  <si>
    <t>Wayne</t>
  </si>
  <si>
    <t>West Gardiner</t>
  </si>
  <si>
    <t>Windsor</t>
  </si>
  <si>
    <t>Winslow</t>
  </si>
  <si>
    <t>Winthrop</t>
  </si>
  <si>
    <t>KNO</t>
  </si>
  <si>
    <t>Appleton</t>
  </si>
  <si>
    <t>Camden</t>
  </si>
  <si>
    <t>Cushing</t>
  </si>
  <si>
    <t>Friendship</t>
  </si>
  <si>
    <t>Hope</t>
  </si>
  <si>
    <t>Isle Au Haut</t>
  </si>
  <si>
    <t>North Haven</t>
  </si>
  <si>
    <t>Owls Head</t>
  </si>
  <si>
    <t>Rockland</t>
  </si>
  <si>
    <t>Rockport</t>
  </si>
  <si>
    <t>South Thomaston</t>
  </si>
  <si>
    <t>St. George</t>
  </si>
  <si>
    <t>Thomaston</t>
  </si>
  <si>
    <t>Union</t>
  </si>
  <si>
    <t>Vinalhaven</t>
  </si>
  <si>
    <t>Warren</t>
  </si>
  <si>
    <t>Washington</t>
  </si>
  <si>
    <t>LIN</t>
  </si>
  <si>
    <t>Alna</t>
  </si>
  <si>
    <t>Boothbay</t>
  </si>
  <si>
    <t>Boothbay Harbor</t>
  </si>
  <si>
    <t>Bremen</t>
  </si>
  <si>
    <t>Damariscotta</t>
  </si>
  <si>
    <t>Dresden</t>
  </si>
  <si>
    <t>Edgecomb</t>
  </si>
  <si>
    <t>Jefferson</t>
  </si>
  <si>
    <t>Monhegan Island Plantation</t>
  </si>
  <si>
    <t>Newcastle</t>
  </si>
  <si>
    <t>Nobleboro</t>
  </si>
  <si>
    <t>Somerville</t>
  </si>
  <si>
    <t>South Bristol</t>
  </si>
  <si>
    <t>Southport</t>
  </si>
  <si>
    <t>Waldoboro</t>
  </si>
  <si>
    <t>Westport Island</t>
  </si>
  <si>
    <t>Whitefield</t>
  </si>
  <si>
    <t>Wiscasset</t>
  </si>
  <si>
    <t>OXF</t>
  </si>
  <si>
    <t>Albany Township</t>
  </si>
  <si>
    <t>Andover</t>
  </si>
  <si>
    <t>Brownfield</t>
  </si>
  <si>
    <t>Buckfield</t>
  </si>
  <si>
    <t>Byron</t>
  </si>
  <si>
    <t>Canton</t>
  </si>
  <si>
    <t>Denmark</t>
  </si>
  <si>
    <t>Dixfield</t>
  </si>
  <si>
    <t>Fryeburg</t>
  </si>
  <si>
    <t>Gilead</t>
  </si>
  <si>
    <t>Greenwood</t>
  </si>
  <si>
    <t>Hanover</t>
  </si>
  <si>
    <t>Hartford</t>
  </si>
  <si>
    <t>Hebron</t>
  </si>
  <si>
    <t>Hiram</t>
  </si>
  <si>
    <t>Lincoln Plantation</t>
  </si>
  <si>
    <t>Lovell</t>
  </si>
  <si>
    <t>Mexico</t>
  </si>
  <si>
    <t>Newry</t>
  </si>
  <si>
    <t>Norway</t>
  </si>
  <si>
    <t>Otisfield</t>
  </si>
  <si>
    <t>Oxford</t>
  </si>
  <si>
    <t>Paris</t>
  </si>
  <si>
    <t>Peru</t>
  </si>
  <si>
    <t>Porter</t>
  </si>
  <si>
    <t>Roxbury</t>
  </si>
  <si>
    <t>Rumford</t>
  </si>
  <si>
    <t>Stoneham</t>
  </si>
  <si>
    <t>Stow</t>
  </si>
  <si>
    <t>Sumner</t>
  </si>
  <si>
    <t>Sweden</t>
  </si>
  <si>
    <t>Upton</t>
  </si>
  <si>
    <t>Waterford</t>
  </si>
  <si>
    <t>West Paris</t>
  </si>
  <si>
    <t>PEN</t>
  </si>
  <si>
    <t>Alton</t>
  </si>
  <si>
    <t>Bangor</t>
  </si>
  <si>
    <t>Bradford</t>
  </si>
  <si>
    <t>Bradley</t>
  </si>
  <si>
    <t>Brewer</t>
  </si>
  <si>
    <t>Burlington</t>
  </si>
  <si>
    <t>Carmel</t>
  </si>
  <si>
    <t>Carroll Plantation</t>
  </si>
  <si>
    <t>Charleston</t>
  </si>
  <si>
    <t>Chester</t>
  </si>
  <si>
    <t>Clifton</t>
  </si>
  <si>
    <t>Corinna</t>
  </si>
  <si>
    <t>Corinth</t>
  </si>
  <si>
    <t>Dexter</t>
  </si>
  <si>
    <t>Dixmont</t>
  </si>
  <si>
    <t>East Millinocket</t>
  </si>
  <si>
    <t>Eddington</t>
  </si>
  <si>
    <t>Edinburg</t>
  </si>
  <si>
    <t>Enfield</t>
  </si>
  <si>
    <t>Etna</t>
  </si>
  <si>
    <t>Exeter</t>
  </si>
  <si>
    <t>Garland</t>
  </si>
  <si>
    <t>Glenburn</t>
  </si>
  <si>
    <t>Greenbush</t>
  </si>
  <si>
    <t>Hampden</t>
  </si>
  <si>
    <t>Hermon</t>
  </si>
  <si>
    <t>Holden</t>
  </si>
  <si>
    <t>Howland</t>
  </si>
  <si>
    <t>Hudson</t>
  </si>
  <si>
    <t>Kenduskeag</t>
  </si>
  <si>
    <t>Lakeville</t>
  </si>
  <si>
    <t>Lee</t>
  </si>
  <si>
    <t>Levant</t>
  </si>
  <si>
    <t>Lincoln</t>
  </si>
  <si>
    <t>Lowell</t>
  </si>
  <si>
    <t>Maxfield</t>
  </si>
  <si>
    <t>Mount Chase</t>
  </si>
  <si>
    <t>Newburgh</t>
  </si>
  <si>
    <t>Newport</t>
  </si>
  <si>
    <t>Orono</t>
  </si>
  <si>
    <t>Orrington</t>
  </si>
  <si>
    <t>Passadumkeag</t>
  </si>
  <si>
    <t>Patten</t>
  </si>
  <si>
    <t>Penobscot Nation Voting District</t>
  </si>
  <si>
    <t>Plymouth</t>
  </si>
  <si>
    <t>Seboeis Plantation</t>
  </si>
  <si>
    <t>Springfield</t>
  </si>
  <si>
    <t>Stacyville</t>
  </si>
  <si>
    <t>Stetson</t>
  </si>
  <si>
    <t>Veazie</t>
  </si>
  <si>
    <t>Webster Plantation</t>
  </si>
  <si>
    <t>Winn</t>
  </si>
  <si>
    <t>Woodville</t>
  </si>
  <si>
    <t>PIS</t>
  </si>
  <si>
    <t>Abbot</t>
  </si>
  <si>
    <t>Atkinson Township</t>
  </si>
  <si>
    <t>Beaver Cove</t>
  </si>
  <si>
    <t>Bowerbank</t>
  </si>
  <si>
    <t>Dover-Foxcroft</t>
  </si>
  <si>
    <t>Lake View Plantation</t>
  </si>
  <si>
    <t>Medford</t>
  </si>
  <si>
    <t>Monson</t>
  </si>
  <si>
    <t>Parkman</t>
  </si>
  <si>
    <t>Sangerville</t>
  </si>
  <si>
    <t>Sebec</t>
  </si>
  <si>
    <t>Shirley</t>
  </si>
  <si>
    <t>Wellington</t>
  </si>
  <si>
    <t>Willimantic</t>
  </si>
  <si>
    <t>SAG</t>
  </si>
  <si>
    <t>Arrowsic</t>
  </si>
  <si>
    <t>Bath</t>
  </si>
  <si>
    <t>Bowdoin</t>
  </si>
  <si>
    <t>Bowdoinham</t>
  </si>
  <si>
    <t>Georgetown</t>
  </si>
  <si>
    <t>Phippsburg</t>
  </si>
  <si>
    <t>Richmond</t>
  </si>
  <si>
    <t>Topsham</t>
  </si>
  <si>
    <t>West Bath</t>
  </si>
  <si>
    <t>Woolwich</t>
  </si>
  <si>
    <t>SOM</t>
  </si>
  <si>
    <t>Anson</t>
  </si>
  <si>
    <t>Athens</t>
  </si>
  <si>
    <t>Brighton Plantation</t>
  </si>
  <si>
    <t>Cambridge</t>
  </si>
  <si>
    <t>Canaan</t>
  </si>
  <si>
    <t>Caratunk</t>
  </si>
  <si>
    <t>Cornville</t>
  </si>
  <si>
    <t>Dennistown Plantation</t>
  </si>
  <si>
    <t>Detroit</t>
  </si>
  <si>
    <t>Embden</t>
  </si>
  <si>
    <t>Fairfield</t>
  </si>
  <si>
    <t>Harmony</t>
  </si>
  <si>
    <t>Hartland</t>
  </si>
  <si>
    <t>Highland Plantation</t>
  </si>
  <si>
    <t>Madison</t>
  </si>
  <si>
    <t>Mercer</t>
  </si>
  <si>
    <t>Moose River</t>
  </si>
  <si>
    <t>New Portland</t>
  </si>
  <si>
    <t>Norridgewock</t>
  </si>
  <si>
    <t>Palmyra</t>
  </si>
  <si>
    <t>Pittsfield</t>
  </si>
  <si>
    <t>Pleasant Ridge Plantation</t>
  </si>
  <si>
    <t>Ripley</t>
  </si>
  <si>
    <t>Rockwood Strip Twp</t>
  </si>
  <si>
    <t>Saint Albans</t>
  </si>
  <si>
    <t>Skowhegan</t>
  </si>
  <si>
    <t>Smithfield</t>
  </si>
  <si>
    <t>Starks</t>
  </si>
  <si>
    <t>The Forks Plantation</t>
  </si>
  <si>
    <t>West Forks Plantation</t>
  </si>
  <si>
    <t>WAL</t>
  </si>
  <si>
    <t>Belfast</t>
  </si>
  <si>
    <t>Belmont</t>
  </si>
  <si>
    <t>Brooks</t>
  </si>
  <si>
    <t>Burnham</t>
  </si>
  <si>
    <t>Frankfort</t>
  </si>
  <si>
    <t>Freedom</t>
  </si>
  <si>
    <t>Islesboro</t>
  </si>
  <si>
    <t>Jackson</t>
  </si>
  <si>
    <t>Knox</t>
  </si>
  <si>
    <t>Liberty</t>
  </si>
  <si>
    <t>Lincolnville</t>
  </si>
  <si>
    <t>Monroe</t>
  </si>
  <si>
    <t>Montville</t>
  </si>
  <si>
    <t>Morrill</t>
  </si>
  <si>
    <t>Northport</t>
  </si>
  <si>
    <t>Palermo</t>
  </si>
  <si>
    <t>Prospect</t>
  </si>
  <si>
    <t>Searsmont</t>
  </si>
  <si>
    <t>Searsport</t>
  </si>
  <si>
    <t>Stockton Springs</t>
  </si>
  <si>
    <t>Swanville</t>
  </si>
  <si>
    <t>Thorndike</t>
  </si>
  <si>
    <t>Troy</t>
  </si>
  <si>
    <t>Unity</t>
  </si>
  <si>
    <t>Waldo</t>
  </si>
  <si>
    <t>Winterport</t>
  </si>
  <si>
    <t>WAS</t>
  </si>
  <si>
    <t>Addison</t>
  </si>
  <si>
    <t>Alexander</t>
  </si>
  <si>
    <t>Baileyville</t>
  </si>
  <si>
    <t>Baring Plantation</t>
  </si>
  <si>
    <t>Beals</t>
  </si>
  <si>
    <t>Beddington</t>
  </si>
  <si>
    <t>Calais</t>
  </si>
  <si>
    <t>Charlotte</t>
  </si>
  <si>
    <t>Columbia</t>
  </si>
  <si>
    <t>Columbia Falls</t>
  </si>
  <si>
    <t>Cooper</t>
  </si>
  <si>
    <t>Crawford</t>
  </si>
  <si>
    <t>Cutler</t>
  </si>
  <si>
    <t>Deblois</t>
  </si>
  <si>
    <t>East Machias</t>
  </si>
  <si>
    <t>Eastport</t>
  </si>
  <si>
    <t>Grand Lake Stream Plantation</t>
  </si>
  <si>
    <t>Harrington</t>
  </si>
  <si>
    <t>Indian Township</t>
  </si>
  <si>
    <t>Jonesboro</t>
  </si>
  <si>
    <t>Jonesport</t>
  </si>
  <si>
    <t>Lubec</t>
  </si>
  <si>
    <t>Machias</t>
  </si>
  <si>
    <t>Machiasport</t>
  </si>
  <si>
    <t>Marshfield</t>
  </si>
  <si>
    <t>Meddybemps</t>
  </si>
  <si>
    <t>Northfield</t>
  </si>
  <si>
    <t>Pembroke</t>
  </si>
  <si>
    <t>Perry</t>
  </si>
  <si>
    <t>Pleasant Point Voting District</t>
  </si>
  <si>
    <t>Robbinston</t>
  </si>
  <si>
    <t>Roque Bluffs</t>
  </si>
  <si>
    <t>Talmadge</t>
  </si>
  <si>
    <t>Vanceboro</t>
  </si>
  <si>
    <t>Waite</t>
  </si>
  <si>
    <t>Wesley</t>
  </si>
  <si>
    <t>Whiting</t>
  </si>
  <si>
    <t>Whitneyville</t>
  </si>
  <si>
    <t>YOR</t>
  </si>
  <si>
    <t>Acton</t>
  </si>
  <si>
    <t>Alfred</t>
  </si>
  <si>
    <t>Arundel</t>
  </si>
  <si>
    <t>Berwick</t>
  </si>
  <si>
    <t>Biddeford</t>
  </si>
  <si>
    <t>Buxton</t>
  </si>
  <si>
    <t>Cornish</t>
  </si>
  <si>
    <t>Dayton</t>
  </si>
  <si>
    <t>Eliot</t>
  </si>
  <si>
    <t>Hollis</t>
  </si>
  <si>
    <t>Kennebunk</t>
  </si>
  <si>
    <t>Kennebunkport</t>
  </si>
  <si>
    <t>Kittery</t>
  </si>
  <si>
    <t>Lebanon</t>
  </si>
  <si>
    <t>Limerick</t>
  </si>
  <si>
    <t>Limington</t>
  </si>
  <si>
    <t>Lyman</t>
  </si>
  <si>
    <t>Newfield</t>
  </si>
  <si>
    <t>North Berwick</t>
  </si>
  <si>
    <t>Ogunquit</t>
  </si>
  <si>
    <t>Old Orchard Beach</t>
  </si>
  <si>
    <t>Parsonsfield</t>
  </si>
  <si>
    <t>Saco</t>
  </si>
  <si>
    <t>Sanford</t>
  </si>
  <si>
    <t>Shapleigh</t>
  </si>
  <si>
    <t>South Berwick</t>
  </si>
  <si>
    <t>Waterboro</t>
  </si>
  <si>
    <t>Wells</t>
  </si>
  <si>
    <t>York</t>
  </si>
  <si>
    <t>STATE UOCAVA</t>
  </si>
  <si>
    <t>Others</t>
  </si>
  <si>
    <t>TBC</t>
  </si>
  <si>
    <t>Harris, Kamala D.</t>
  </si>
  <si>
    <t>Oliver, Chase</t>
  </si>
  <si>
    <t xml:space="preserve">Stein, Jill </t>
  </si>
  <si>
    <t xml:space="preserve">Trump, Donald J. </t>
  </si>
  <si>
    <t>West, Cornel</t>
  </si>
  <si>
    <t>Walz, Tim</t>
  </si>
  <si>
    <t>Ter Maat, Mike</t>
  </si>
  <si>
    <t>Ware, Rudolph</t>
  </si>
  <si>
    <t>Vance, James  D.</t>
  </si>
  <si>
    <t>Abdullah, Melina</t>
  </si>
  <si>
    <t>Democratic</t>
  </si>
  <si>
    <t>Libertarian</t>
  </si>
  <si>
    <t>Green Independent</t>
  </si>
  <si>
    <t>Republican</t>
  </si>
  <si>
    <t>Justice For All</t>
  </si>
  <si>
    <t>CTY</t>
  </si>
  <si>
    <t>MUNICIPALITY</t>
  </si>
  <si>
    <t>AND Total</t>
  </si>
  <si>
    <t>ARO Total</t>
  </si>
  <si>
    <t>CUM Total</t>
  </si>
  <si>
    <t>FRA Total</t>
  </si>
  <si>
    <t>HAN Total</t>
  </si>
  <si>
    <t>KEN Total</t>
  </si>
  <si>
    <t>KNO Total</t>
  </si>
  <si>
    <t>LIN Total</t>
  </si>
  <si>
    <t>OXF Total</t>
  </si>
  <si>
    <t>PEN Total</t>
  </si>
  <si>
    <t>PIS Total</t>
  </si>
  <si>
    <t>SAG Total</t>
  </si>
  <si>
    <t>SOM Total</t>
  </si>
  <si>
    <t>WAL Total</t>
  </si>
  <si>
    <t>WAS Total</t>
  </si>
  <si>
    <t>YOR Total</t>
  </si>
  <si>
    <t>Statewide Total</t>
  </si>
  <si>
    <t>E Twp</t>
  </si>
  <si>
    <t>TD R2 WELS Twp</t>
  </si>
  <si>
    <t>T11 R4 WELS Twp</t>
  </si>
  <si>
    <t>Ashland/Twps</t>
  </si>
  <si>
    <t>Caribou/Connor Twp</t>
  </si>
  <si>
    <t>Eagle Lake/T15 R6 WELS Twp</t>
  </si>
  <si>
    <t>Benedicta Twp/Silver Ridge Twp</t>
  </si>
  <si>
    <t>Oxbow North Twp</t>
  </si>
  <si>
    <t>T7 R5 WELS Twp</t>
  </si>
  <si>
    <t>Cross Lake Twp</t>
  </si>
  <si>
    <t>Nashville Plt</t>
  </si>
  <si>
    <t>Drew Twp</t>
  </si>
  <si>
    <t xml:space="preserve">Madawaska Lake </t>
  </si>
  <si>
    <t>T15 R6 WELS Twp</t>
  </si>
  <si>
    <t>Van Buren/Van Buren Cove Twp</t>
  </si>
  <si>
    <t>Wyman Twp</t>
  </si>
  <si>
    <t>Eustis/Twps</t>
  </si>
  <si>
    <t>Phillips/Madrid Twp</t>
  </si>
  <si>
    <t>Rangeley/Twps</t>
  </si>
  <si>
    <t>Strong/Twps</t>
  </si>
  <si>
    <t>Wilton/Twps</t>
  </si>
  <si>
    <t>T3 ND Twp</t>
  </si>
  <si>
    <t>Ellsworth/Fletchers Landing Twp</t>
  </si>
  <si>
    <t>Franklin/Twps</t>
  </si>
  <si>
    <t>Gouldsboro/T7 SD Twp</t>
  </si>
  <si>
    <t>T22 MD Twp</t>
  </si>
  <si>
    <t>Albion/Unity Twp</t>
  </si>
  <si>
    <t>Bristol/Louds Island Twp</t>
  </si>
  <si>
    <t>Bethel/Mason Twp</t>
  </si>
  <si>
    <t>Woodstock/Milton Twp</t>
  </si>
  <si>
    <t>Mattamiscontis Twp</t>
  </si>
  <si>
    <t>Argyle Twp</t>
  </si>
  <si>
    <t>Herseytown Twp</t>
  </si>
  <si>
    <t>Kingman Twp</t>
  </si>
  <si>
    <t>Prentiss Twp</t>
  </si>
  <si>
    <t>Lagrange/Orneville Twp</t>
  </si>
  <si>
    <t>Mattawamkeag/Molunkus Twp</t>
  </si>
  <si>
    <t>Medway/Twps</t>
  </si>
  <si>
    <t>Milford/Greenfield Twp</t>
  </si>
  <si>
    <t>Millinocket/Twps</t>
  </si>
  <si>
    <t>Old Town/Argyle Twp</t>
  </si>
  <si>
    <t>Greenville/Twps</t>
  </si>
  <si>
    <t>Guilford/Kingsbury Plt</t>
  </si>
  <si>
    <t>Milo/Orneville Twp</t>
  </si>
  <si>
    <t>Bingham/Twps</t>
  </si>
  <si>
    <t>Lexington Twp</t>
  </si>
  <si>
    <t>Solon/Concord Twp</t>
  </si>
  <si>
    <t>Moxie Gore Twp</t>
  </si>
  <si>
    <t>Centerville Twp</t>
  </si>
  <si>
    <t>Cathance Twp</t>
  </si>
  <si>
    <t>Cherryfield/T10 SD Twp</t>
  </si>
  <si>
    <t>Greenlaw Chopping Twp</t>
  </si>
  <si>
    <t>Sakom Twp</t>
  </si>
  <si>
    <t>Topsfield/Codyville Twp</t>
  </si>
  <si>
    <t>Princeton/Big Lake Twp</t>
  </si>
  <si>
    <t>Day Block Twp</t>
  </si>
  <si>
    <t>Milbridge/T10 SD Twp</t>
  </si>
  <si>
    <t>Steuben/T7 SD Twp</t>
  </si>
  <si>
    <t>Hodgdon/Cary Twp</t>
  </si>
  <si>
    <t>Saint Agatha/Sinclair</t>
  </si>
  <si>
    <t>Weston/Bancroft Twp</t>
  </si>
  <si>
    <t>Danforth/Brookton Twp</t>
  </si>
  <si>
    <t>Dennysville/Edmunds Twp</t>
  </si>
  <si>
    <t>Matinicus Isle Plt</t>
  </si>
  <si>
    <t>Brownville/Twps</t>
  </si>
  <si>
    <t>Jackman/Twps</t>
  </si>
  <si>
    <t>Moscow/Twps</t>
  </si>
  <si>
    <t>1. Votes for each county were divided by municipality. I hid the rows showcasing the votes, but theres too much to count so I won't list them</t>
  </si>
  <si>
    <t>2. Added labels for each county (they were in the hidden columns)</t>
  </si>
  <si>
    <t>Total (minus blanks)</t>
  </si>
  <si>
    <t>Harris / Walz Percent</t>
  </si>
  <si>
    <t>Stein / Ware Percent</t>
  </si>
  <si>
    <t xml:space="preserve">Trump / Vance Percent </t>
  </si>
  <si>
    <t>X</t>
  </si>
  <si>
    <t>3. Hid irrelevant rows (547 - 549) and irrelevant columns (B, D, G)</t>
  </si>
  <si>
    <t>4. Calculated totals without blanks using formulas</t>
  </si>
  <si>
    <t>5. calculated percents using formulas</t>
  </si>
  <si>
    <t>6. Copy and pasted values over formulas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</si>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</sst>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5B15-070E-4F66-8574-A6E1568E2798}">
  <sheetPr>
    <pageSetUpPr fitToPage="1"/>
  </sheetPr>
  <dimension ref="A1:N550"/>
  <sheetViews>
    <sheetView tabSelected="1" zoomScale="110" zoomScaleNormal="110" workbookViewId="0">
      <selection activeCell="C553" sqref="C553"/>
    </sheetView>
  </sheetViews>
  <sheetFormatPr baseColWidth="10" defaultColWidth="8.83203125" defaultRowHeight="15" x14ac:dyDescent="0.2"/>
  <cols>
    <col min="1" max="1" width="5.33203125" customWidth="1"/>
    <col min="2" max="2" width="24.6640625" hidden="1" customWidth="1"/>
    <col min="3" max="3" width="15.83203125" customWidth="1"/>
    <col min="4" max="4" width="14.5" hidden="1" customWidth="1"/>
    <col min="5" max="5" width="18.5" customWidth="1"/>
    <col min="6" max="6" width="16.33203125" customWidth="1"/>
    <col min="7" max="7" width="16.33203125" hidden="1" customWidth="1"/>
    <col min="8" max="8" width="6.83203125" customWidth="1"/>
    <col min="9" max="9" width="6.6640625" customWidth="1"/>
    <col min="11" max="11" width="16.83203125" customWidth="1"/>
    <col min="12" max="12" width="18.83203125" customWidth="1"/>
    <col min="13" max="13" width="16.33203125" customWidth="1"/>
    <col min="14" max="14" width="18.83203125" customWidth="1"/>
  </cols>
  <sheetData>
    <row r="1" spans="1:14" s="1" customFormat="1" x14ac:dyDescent="0.2">
      <c r="A1" s="1" t="s">
        <v>481</v>
      </c>
      <c r="B1" s="1" t="s">
        <v>482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464</v>
      </c>
      <c r="I1" s="1" t="s">
        <v>1</v>
      </c>
      <c r="J1" s="1" t="s">
        <v>465</v>
      </c>
      <c r="K1" s="1" t="s">
        <v>569</v>
      </c>
      <c r="L1" s="1" t="s">
        <v>570</v>
      </c>
      <c r="M1" s="1" t="s">
        <v>571</v>
      </c>
      <c r="N1" s="1" t="s">
        <v>572</v>
      </c>
    </row>
    <row r="2" spans="1:14" s="1" customFormat="1" x14ac:dyDescent="0.2">
      <c r="A2" s="1" t="s">
        <v>0</v>
      </c>
      <c r="B2" s="1" t="s">
        <v>0</v>
      </c>
      <c r="C2" s="1" t="s">
        <v>471</v>
      </c>
      <c r="D2" s="1" t="s">
        <v>472</v>
      </c>
      <c r="E2" s="1" t="s">
        <v>473</v>
      </c>
      <c r="F2" s="1" t="s">
        <v>474</v>
      </c>
      <c r="G2" s="1" t="s">
        <v>475</v>
      </c>
      <c r="I2" s="1" t="s">
        <v>0</v>
      </c>
      <c r="K2" s="1" t="s">
        <v>573</v>
      </c>
      <c r="L2" s="1" t="s">
        <v>573</v>
      </c>
      <c r="M2" s="1" t="s">
        <v>573</v>
      </c>
      <c r="N2" s="1" t="s">
        <v>573</v>
      </c>
    </row>
    <row r="3" spans="1:14" s="1" customFormat="1" x14ac:dyDescent="0.2">
      <c r="A3" s="1" t="s">
        <v>0</v>
      </c>
      <c r="B3" s="1" t="s">
        <v>0</v>
      </c>
      <c r="C3" s="1" t="s">
        <v>476</v>
      </c>
      <c r="D3" s="1" t="s">
        <v>477</v>
      </c>
      <c r="E3" s="1" t="s">
        <v>478</v>
      </c>
      <c r="F3" s="1" t="s">
        <v>479</v>
      </c>
      <c r="G3" s="1" t="s">
        <v>480</v>
      </c>
      <c r="I3" s="1" t="s">
        <v>0</v>
      </c>
      <c r="K3" s="1" t="s">
        <v>573</v>
      </c>
      <c r="L3" s="1" t="s">
        <v>573</v>
      </c>
      <c r="M3" s="1" t="s">
        <v>573</v>
      </c>
      <c r="N3" s="1" t="s">
        <v>573</v>
      </c>
    </row>
    <row r="4" spans="1:14" hidden="1" x14ac:dyDescent="0.2">
      <c r="A4" t="s">
        <v>2</v>
      </c>
      <c r="B4" t="s">
        <v>3</v>
      </c>
      <c r="C4">
        <v>6468</v>
      </c>
      <c r="D4">
        <v>76</v>
      </c>
      <c r="E4">
        <v>125</v>
      </c>
      <c r="F4">
        <v>5647</v>
      </c>
      <c r="G4">
        <v>41</v>
      </c>
      <c r="H4">
        <v>7</v>
      </c>
      <c r="I4">
        <v>167</v>
      </c>
      <c r="J4">
        <f>SUM(C4:I4)</f>
        <v>12531</v>
      </c>
    </row>
    <row r="5" spans="1:14" hidden="1" x14ac:dyDescent="0.2">
      <c r="A5" t="s">
        <v>2</v>
      </c>
      <c r="B5" t="s">
        <v>4</v>
      </c>
      <c r="C5">
        <v>1455</v>
      </c>
      <c r="D5">
        <v>28</v>
      </c>
      <c r="E5">
        <v>33</v>
      </c>
      <c r="F5">
        <v>1425</v>
      </c>
      <c r="G5">
        <v>12</v>
      </c>
      <c r="H5">
        <v>0</v>
      </c>
      <c r="I5">
        <v>52</v>
      </c>
      <c r="J5">
        <f>SUM(C5:I5)</f>
        <v>3005</v>
      </c>
    </row>
    <row r="6" spans="1:14" hidden="1" x14ac:dyDescent="0.2">
      <c r="A6" t="s">
        <v>2</v>
      </c>
      <c r="B6" t="s">
        <v>5</v>
      </c>
      <c r="C6">
        <v>909</v>
      </c>
      <c r="D6">
        <v>19</v>
      </c>
      <c r="E6">
        <v>21</v>
      </c>
      <c r="F6">
        <v>1715</v>
      </c>
      <c r="G6">
        <v>7</v>
      </c>
      <c r="H6">
        <v>0</v>
      </c>
      <c r="I6">
        <v>25</v>
      </c>
      <c r="J6">
        <f t="shared" ref="J6:J8" si="0">SUM(C6:I6)</f>
        <v>2696</v>
      </c>
    </row>
    <row r="7" spans="1:14" hidden="1" x14ac:dyDescent="0.2">
      <c r="A7" t="s">
        <v>2</v>
      </c>
      <c r="B7" t="s">
        <v>6</v>
      </c>
      <c r="C7">
        <v>505</v>
      </c>
      <c r="D7">
        <v>8</v>
      </c>
      <c r="E7">
        <v>15</v>
      </c>
      <c r="F7">
        <v>904</v>
      </c>
      <c r="G7">
        <v>1</v>
      </c>
      <c r="H7">
        <v>1</v>
      </c>
      <c r="I7">
        <v>17</v>
      </c>
      <c r="J7">
        <f t="shared" si="0"/>
        <v>1451</v>
      </c>
    </row>
    <row r="8" spans="1:14" hidden="1" x14ac:dyDescent="0.2">
      <c r="A8" t="s">
        <v>2</v>
      </c>
      <c r="B8" t="s">
        <v>7</v>
      </c>
      <c r="C8">
        <v>8791</v>
      </c>
      <c r="D8">
        <v>98</v>
      </c>
      <c r="E8">
        <v>199</v>
      </c>
      <c r="F8">
        <v>7433</v>
      </c>
      <c r="G8">
        <v>86</v>
      </c>
      <c r="H8">
        <v>11</v>
      </c>
      <c r="I8">
        <v>232</v>
      </c>
      <c r="J8">
        <f t="shared" si="0"/>
        <v>16850</v>
      </c>
    </row>
    <row r="9" spans="1:14" hidden="1" x14ac:dyDescent="0.2">
      <c r="A9" t="s">
        <v>2</v>
      </c>
      <c r="B9" t="s">
        <v>8</v>
      </c>
      <c r="C9">
        <v>2232</v>
      </c>
      <c r="D9">
        <v>31</v>
      </c>
      <c r="E9">
        <v>63</v>
      </c>
      <c r="F9">
        <v>2786</v>
      </c>
      <c r="G9">
        <v>13</v>
      </c>
      <c r="H9">
        <v>5</v>
      </c>
      <c r="I9">
        <v>64</v>
      </c>
      <c r="J9">
        <f t="shared" ref="J9:J17" si="1">SUM(C9:I9)</f>
        <v>5194</v>
      </c>
    </row>
    <row r="10" spans="1:14" hidden="1" x14ac:dyDescent="0.2">
      <c r="A10" t="s">
        <v>2</v>
      </c>
      <c r="B10" t="s">
        <v>9</v>
      </c>
      <c r="C10">
        <v>565</v>
      </c>
      <c r="D10">
        <v>6</v>
      </c>
      <c r="E10">
        <v>18</v>
      </c>
      <c r="F10">
        <v>835</v>
      </c>
      <c r="G10">
        <v>2</v>
      </c>
      <c r="H10">
        <v>0</v>
      </c>
      <c r="I10">
        <v>15</v>
      </c>
      <c r="J10">
        <f t="shared" si="1"/>
        <v>1441</v>
      </c>
    </row>
    <row r="11" spans="1:14" hidden="1" x14ac:dyDescent="0.2">
      <c r="A11" t="s">
        <v>2</v>
      </c>
      <c r="B11" t="s">
        <v>10</v>
      </c>
      <c r="C11">
        <v>526</v>
      </c>
      <c r="D11">
        <v>8</v>
      </c>
      <c r="E11">
        <v>24</v>
      </c>
      <c r="F11">
        <v>856</v>
      </c>
      <c r="G11">
        <v>6</v>
      </c>
      <c r="H11">
        <v>0</v>
      </c>
      <c r="I11">
        <v>22</v>
      </c>
      <c r="J11">
        <f t="shared" si="1"/>
        <v>1442</v>
      </c>
    </row>
    <row r="12" spans="1:14" hidden="1" x14ac:dyDescent="0.2">
      <c r="A12" t="s">
        <v>2</v>
      </c>
      <c r="B12" t="s">
        <v>11</v>
      </c>
      <c r="C12">
        <v>698</v>
      </c>
      <c r="D12">
        <v>11</v>
      </c>
      <c r="E12">
        <v>21</v>
      </c>
      <c r="F12">
        <v>1058</v>
      </c>
      <c r="G12">
        <v>5</v>
      </c>
      <c r="H12">
        <v>0</v>
      </c>
      <c r="I12">
        <v>24</v>
      </c>
      <c r="J12">
        <f t="shared" si="1"/>
        <v>1817</v>
      </c>
    </row>
    <row r="13" spans="1:14" hidden="1" x14ac:dyDescent="0.2">
      <c r="A13" t="s">
        <v>2</v>
      </c>
      <c r="B13" t="s">
        <v>12</v>
      </c>
      <c r="C13">
        <v>701</v>
      </c>
      <c r="D13">
        <v>8</v>
      </c>
      <c r="E13">
        <v>18</v>
      </c>
      <c r="F13">
        <v>1120</v>
      </c>
      <c r="G13">
        <v>2</v>
      </c>
      <c r="H13">
        <v>0</v>
      </c>
      <c r="I13">
        <v>18</v>
      </c>
      <c r="J13">
        <f t="shared" si="1"/>
        <v>1867</v>
      </c>
    </row>
    <row r="14" spans="1:14" hidden="1" x14ac:dyDescent="0.2">
      <c r="A14" t="s">
        <v>2</v>
      </c>
      <c r="B14" t="s">
        <v>13</v>
      </c>
      <c r="C14">
        <v>1512</v>
      </c>
      <c r="D14">
        <v>34</v>
      </c>
      <c r="E14">
        <v>34</v>
      </c>
      <c r="F14">
        <v>1971</v>
      </c>
      <c r="G14">
        <v>5</v>
      </c>
      <c r="H14">
        <v>3</v>
      </c>
      <c r="I14">
        <v>41</v>
      </c>
      <c r="J14">
        <f t="shared" si="1"/>
        <v>3600</v>
      </c>
    </row>
    <row r="15" spans="1:14" hidden="1" x14ac:dyDescent="0.2">
      <c r="A15" t="s">
        <v>2</v>
      </c>
      <c r="B15" t="s">
        <v>14</v>
      </c>
      <c r="C15">
        <v>1059</v>
      </c>
      <c r="D15">
        <v>18</v>
      </c>
      <c r="E15">
        <v>28</v>
      </c>
      <c r="F15">
        <v>1913</v>
      </c>
      <c r="G15">
        <v>6</v>
      </c>
      <c r="H15">
        <v>2</v>
      </c>
      <c r="I15">
        <v>37</v>
      </c>
      <c r="J15">
        <f t="shared" si="1"/>
        <v>3063</v>
      </c>
    </row>
    <row r="16" spans="1:14" hidden="1" x14ac:dyDescent="0.2">
      <c r="A16" t="s">
        <v>2</v>
      </c>
      <c r="B16" t="s">
        <v>15</v>
      </c>
      <c r="C16">
        <v>1322</v>
      </c>
      <c r="D16">
        <v>20</v>
      </c>
      <c r="E16">
        <v>29</v>
      </c>
      <c r="F16">
        <v>2253</v>
      </c>
      <c r="G16">
        <v>1</v>
      </c>
      <c r="H16">
        <v>0</v>
      </c>
      <c r="I16">
        <v>46</v>
      </c>
      <c r="J16">
        <f t="shared" si="1"/>
        <v>3671</v>
      </c>
    </row>
    <row r="17" spans="1:14" hidden="1" x14ac:dyDescent="0.2">
      <c r="A17" t="s">
        <v>2</v>
      </c>
      <c r="B17" t="s">
        <v>16</v>
      </c>
      <c r="C17">
        <v>276</v>
      </c>
      <c r="D17">
        <v>5</v>
      </c>
      <c r="E17">
        <v>6</v>
      </c>
      <c r="F17">
        <v>689</v>
      </c>
      <c r="G17">
        <v>2</v>
      </c>
      <c r="H17">
        <v>1</v>
      </c>
      <c r="I17">
        <v>8</v>
      </c>
      <c r="J17">
        <f t="shared" si="1"/>
        <v>987</v>
      </c>
    </row>
    <row r="18" spans="1:14" s="1" customFormat="1" x14ac:dyDescent="0.2">
      <c r="A18" s="1" t="s">
        <v>2</v>
      </c>
      <c r="B18" s="1" t="s">
        <v>483</v>
      </c>
      <c r="C18" s="1">
        <f t="shared" ref="C18:J18" si="2">SUM(C4:C17)</f>
        <v>27019</v>
      </c>
      <c r="D18" s="1">
        <f t="shared" si="2"/>
        <v>370</v>
      </c>
      <c r="E18" s="1">
        <f t="shared" si="2"/>
        <v>634</v>
      </c>
      <c r="F18" s="1">
        <f t="shared" si="2"/>
        <v>30605</v>
      </c>
      <c r="G18" s="1">
        <f t="shared" si="2"/>
        <v>189</v>
      </c>
      <c r="H18" s="1">
        <f t="shared" si="2"/>
        <v>30</v>
      </c>
      <c r="I18" s="1">
        <f t="shared" si="2"/>
        <v>768</v>
      </c>
      <c r="J18" s="1">
        <f t="shared" si="2"/>
        <v>59615</v>
      </c>
      <c r="K18" s="1">
        <v>58847</v>
      </c>
      <c r="L18" s="3">
        <v>0.45913980321851583</v>
      </c>
      <c r="M18" s="3">
        <v>1.0773701293184019E-2</v>
      </c>
      <c r="N18" s="3">
        <v>0.52007748908185636</v>
      </c>
    </row>
    <row r="19" spans="1:14" hidden="1" x14ac:dyDescent="0.2">
      <c r="K19" s="1">
        <v>0</v>
      </c>
      <c r="L19" s="3" t="e">
        <v>#DIV/0!</v>
      </c>
      <c r="M19" s="3" t="e">
        <v>#DIV/0!</v>
      </c>
      <c r="N19" s="3" t="e">
        <v>#DIV/0!</v>
      </c>
    </row>
    <row r="20" spans="1:14" hidden="1" x14ac:dyDescent="0.2">
      <c r="A20" t="s">
        <v>17</v>
      </c>
      <c r="B20" t="s">
        <v>18</v>
      </c>
      <c r="C20">
        <v>60</v>
      </c>
      <c r="D20">
        <v>0</v>
      </c>
      <c r="E20">
        <v>0</v>
      </c>
      <c r="F20">
        <v>92</v>
      </c>
      <c r="G20">
        <v>0</v>
      </c>
      <c r="H20">
        <v>0</v>
      </c>
      <c r="I20">
        <v>2</v>
      </c>
      <c r="J20">
        <f t="shared" ref="J20:J51" si="3">SUM(C20:I20)</f>
        <v>154</v>
      </c>
      <c r="K20" s="1">
        <v>152</v>
      </c>
      <c r="L20" s="3">
        <v>0.39473684210526316</v>
      </c>
      <c r="M20" s="3">
        <v>0</v>
      </c>
      <c r="N20" s="3">
        <v>0.60526315789473684</v>
      </c>
    </row>
    <row r="21" spans="1:14" hidden="1" x14ac:dyDescent="0.2">
      <c r="A21" t="s">
        <v>17</v>
      </c>
      <c r="B21" t="s">
        <v>19</v>
      </c>
      <c r="C21">
        <v>31</v>
      </c>
      <c r="D21">
        <v>2</v>
      </c>
      <c r="E21">
        <v>0</v>
      </c>
      <c r="F21">
        <v>126</v>
      </c>
      <c r="G21">
        <v>1</v>
      </c>
      <c r="H21">
        <v>0</v>
      </c>
      <c r="I21">
        <v>0</v>
      </c>
      <c r="J21">
        <f t="shared" si="3"/>
        <v>160</v>
      </c>
      <c r="K21" s="1">
        <v>160</v>
      </c>
      <c r="L21" s="3">
        <v>0.19375000000000001</v>
      </c>
      <c r="M21" s="3">
        <v>0</v>
      </c>
      <c r="N21" s="3">
        <v>0.78749999999999998</v>
      </c>
    </row>
    <row r="22" spans="1:14" hidden="1" x14ac:dyDescent="0.2">
      <c r="A22" t="s">
        <v>17</v>
      </c>
      <c r="B22" t="s">
        <v>503</v>
      </c>
      <c r="C22">
        <v>224</v>
      </c>
      <c r="D22">
        <v>7</v>
      </c>
      <c r="E22">
        <v>5</v>
      </c>
      <c r="F22">
        <v>434</v>
      </c>
      <c r="G22">
        <v>0</v>
      </c>
      <c r="H22">
        <v>1</v>
      </c>
      <c r="I22">
        <v>10</v>
      </c>
      <c r="J22">
        <f t="shared" si="3"/>
        <v>681</v>
      </c>
      <c r="K22" s="1">
        <v>671</v>
      </c>
      <c r="L22" s="3">
        <v>0.33383010432190763</v>
      </c>
      <c r="M22" s="3">
        <v>7.4515648286140089E-3</v>
      </c>
      <c r="N22" s="3">
        <v>0.64679582712369599</v>
      </c>
    </row>
    <row r="23" spans="1:14" ht="32" hidden="1" x14ac:dyDescent="0.2">
      <c r="A23" t="s">
        <v>17</v>
      </c>
      <c r="B23" s="2" t="s">
        <v>506</v>
      </c>
      <c r="C23">
        <v>31</v>
      </c>
      <c r="D23">
        <v>0</v>
      </c>
      <c r="E23">
        <v>2</v>
      </c>
      <c r="F23">
        <v>135</v>
      </c>
      <c r="G23">
        <v>0</v>
      </c>
      <c r="H23">
        <v>0</v>
      </c>
      <c r="I23">
        <v>5</v>
      </c>
      <c r="J23">
        <f t="shared" si="3"/>
        <v>173</v>
      </c>
      <c r="K23" s="1">
        <v>168</v>
      </c>
      <c r="L23" s="3">
        <v>0.18452380952380953</v>
      </c>
      <c r="M23" s="3">
        <v>1.1904761904761904E-2</v>
      </c>
      <c r="N23" s="3">
        <v>0.8035714285714286</v>
      </c>
    </row>
    <row r="24" spans="1:14" hidden="1" x14ac:dyDescent="0.2">
      <c r="A24" t="s">
        <v>17</v>
      </c>
      <c r="B24" t="s">
        <v>20</v>
      </c>
      <c r="C24">
        <v>89</v>
      </c>
      <c r="D24">
        <v>4</v>
      </c>
      <c r="E24">
        <v>1</v>
      </c>
      <c r="F24">
        <v>285</v>
      </c>
      <c r="G24">
        <v>0</v>
      </c>
      <c r="H24">
        <v>0</v>
      </c>
      <c r="I24">
        <v>6</v>
      </c>
      <c r="J24">
        <f t="shared" si="3"/>
        <v>385</v>
      </c>
      <c r="K24" s="1">
        <v>379</v>
      </c>
      <c r="L24" s="3">
        <v>0.23482849604221637</v>
      </c>
      <c r="M24" s="3">
        <v>2.6385224274406332E-3</v>
      </c>
      <c r="N24" s="3">
        <v>0.75197889182058042</v>
      </c>
    </row>
    <row r="25" spans="1:14" hidden="1" x14ac:dyDescent="0.2">
      <c r="A25" t="s">
        <v>17</v>
      </c>
      <c r="B25" t="s">
        <v>21</v>
      </c>
      <c r="C25">
        <v>77</v>
      </c>
      <c r="D25">
        <v>2</v>
      </c>
      <c r="E25">
        <v>0</v>
      </c>
      <c r="F25">
        <v>220</v>
      </c>
      <c r="G25">
        <v>0</v>
      </c>
      <c r="H25">
        <v>0</v>
      </c>
      <c r="I25">
        <v>5</v>
      </c>
      <c r="J25">
        <f t="shared" si="3"/>
        <v>304</v>
      </c>
      <c r="K25" s="1">
        <v>299</v>
      </c>
      <c r="L25" s="3">
        <v>0.25752508361204013</v>
      </c>
      <c r="M25" s="3">
        <v>0</v>
      </c>
      <c r="N25" s="3">
        <v>0.73578595317725748</v>
      </c>
    </row>
    <row r="26" spans="1:14" hidden="1" x14ac:dyDescent="0.2">
      <c r="A26" t="s">
        <v>17</v>
      </c>
      <c r="B26" t="s">
        <v>504</v>
      </c>
      <c r="C26">
        <v>1553</v>
      </c>
      <c r="D26">
        <v>21</v>
      </c>
      <c r="E26">
        <v>19</v>
      </c>
      <c r="F26">
        <v>2336</v>
      </c>
      <c r="G26">
        <v>10</v>
      </c>
      <c r="H26">
        <v>0</v>
      </c>
      <c r="I26">
        <v>78</v>
      </c>
      <c r="J26">
        <f t="shared" si="3"/>
        <v>4017</v>
      </c>
      <c r="K26" s="1">
        <v>3939</v>
      </c>
      <c r="L26" s="3">
        <v>0.39426250317339429</v>
      </c>
      <c r="M26" s="3">
        <v>4.8235592790048234E-3</v>
      </c>
      <c r="N26" s="3">
        <v>0.5930439197765931</v>
      </c>
    </row>
    <row r="27" spans="1:14" hidden="1" x14ac:dyDescent="0.2">
      <c r="A27" t="s">
        <v>17</v>
      </c>
      <c r="B27" t="s">
        <v>22</v>
      </c>
      <c r="C27">
        <v>93</v>
      </c>
      <c r="D27">
        <v>1</v>
      </c>
      <c r="E27">
        <v>0</v>
      </c>
      <c r="F27">
        <v>124</v>
      </c>
      <c r="G27">
        <v>0</v>
      </c>
      <c r="H27">
        <v>0</v>
      </c>
      <c r="I27">
        <v>2</v>
      </c>
      <c r="J27">
        <f t="shared" si="3"/>
        <v>220</v>
      </c>
      <c r="K27" s="1">
        <v>218</v>
      </c>
      <c r="L27" s="3">
        <v>0.42660550458715596</v>
      </c>
      <c r="M27" s="3">
        <v>0</v>
      </c>
      <c r="N27" s="3">
        <v>0.56880733944954132</v>
      </c>
    </row>
    <row r="28" spans="1:14" hidden="1" x14ac:dyDescent="0.2">
      <c r="A28" t="s">
        <v>17</v>
      </c>
      <c r="B28" t="s">
        <v>23</v>
      </c>
      <c r="C28">
        <v>41</v>
      </c>
      <c r="D28">
        <v>0</v>
      </c>
      <c r="E28">
        <v>0</v>
      </c>
      <c r="F28">
        <v>83</v>
      </c>
      <c r="G28">
        <v>0</v>
      </c>
      <c r="H28">
        <v>0</v>
      </c>
      <c r="I28">
        <v>2</v>
      </c>
      <c r="J28">
        <f t="shared" si="3"/>
        <v>126</v>
      </c>
      <c r="K28" s="1">
        <v>124</v>
      </c>
      <c r="L28" s="3">
        <v>0.33064516129032256</v>
      </c>
      <c r="M28" s="3">
        <v>0</v>
      </c>
      <c r="N28" s="3">
        <v>0.66935483870967738</v>
      </c>
    </row>
    <row r="29" spans="1:14" hidden="1" x14ac:dyDescent="0.2">
      <c r="A29" t="s">
        <v>17</v>
      </c>
      <c r="B29" t="s">
        <v>24</v>
      </c>
      <c r="C29">
        <v>85</v>
      </c>
      <c r="D29">
        <v>1</v>
      </c>
      <c r="E29">
        <v>3</v>
      </c>
      <c r="F29">
        <v>180</v>
      </c>
      <c r="G29">
        <v>0</v>
      </c>
      <c r="H29">
        <v>0</v>
      </c>
      <c r="I29">
        <v>5</v>
      </c>
      <c r="J29">
        <f t="shared" si="3"/>
        <v>274</v>
      </c>
      <c r="K29" s="1">
        <v>269</v>
      </c>
      <c r="L29" s="3">
        <v>0.31598513011152418</v>
      </c>
      <c r="M29" s="3">
        <v>1.1152416356877323E-2</v>
      </c>
      <c r="N29" s="3">
        <v>0.66914498141263945</v>
      </c>
    </row>
    <row r="30" spans="1:14" hidden="1" x14ac:dyDescent="0.2">
      <c r="A30" t="s">
        <v>17</v>
      </c>
      <c r="B30" t="s">
        <v>509</v>
      </c>
      <c r="C30">
        <v>75</v>
      </c>
      <c r="D30">
        <v>3</v>
      </c>
      <c r="E30">
        <v>1</v>
      </c>
      <c r="F30">
        <v>81</v>
      </c>
      <c r="G30">
        <v>0</v>
      </c>
      <c r="H30">
        <v>0</v>
      </c>
      <c r="I30">
        <v>3</v>
      </c>
      <c r="J30">
        <f t="shared" si="3"/>
        <v>163</v>
      </c>
      <c r="K30" s="1">
        <v>160</v>
      </c>
      <c r="L30" s="3">
        <v>0.46875</v>
      </c>
      <c r="M30" s="3">
        <v>6.2500000000000003E-3</v>
      </c>
      <c r="N30" s="3">
        <v>0.50624999999999998</v>
      </c>
    </row>
    <row r="31" spans="1:14" hidden="1" x14ac:dyDescent="0.2">
      <c r="A31" t="s">
        <v>17</v>
      </c>
      <c r="B31" t="s">
        <v>25</v>
      </c>
      <c r="C31">
        <v>35</v>
      </c>
      <c r="D31">
        <v>0</v>
      </c>
      <c r="E31">
        <v>3</v>
      </c>
      <c r="F31">
        <v>118</v>
      </c>
      <c r="G31">
        <v>1</v>
      </c>
      <c r="H31">
        <v>0</v>
      </c>
      <c r="I31">
        <v>3</v>
      </c>
      <c r="J31">
        <f t="shared" si="3"/>
        <v>160</v>
      </c>
      <c r="K31" s="1">
        <v>157</v>
      </c>
      <c r="L31" s="3">
        <v>0.22292993630573249</v>
      </c>
      <c r="M31" s="3">
        <v>1.9108280254777069E-2</v>
      </c>
      <c r="N31" s="3">
        <v>0.75159235668789814</v>
      </c>
    </row>
    <row r="32" spans="1:14" hidden="1" x14ac:dyDescent="0.2">
      <c r="A32" t="s">
        <v>17</v>
      </c>
      <c r="B32" t="s">
        <v>26</v>
      </c>
      <c r="C32">
        <v>26</v>
      </c>
      <c r="D32">
        <v>1</v>
      </c>
      <c r="E32">
        <v>0</v>
      </c>
      <c r="F32">
        <v>32</v>
      </c>
      <c r="G32">
        <v>0</v>
      </c>
      <c r="H32">
        <v>0</v>
      </c>
      <c r="I32">
        <v>0</v>
      </c>
      <c r="J32">
        <f t="shared" si="3"/>
        <v>59</v>
      </c>
      <c r="K32" s="1">
        <v>59</v>
      </c>
      <c r="L32" s="3">
        <v>0.44067796610169491</v>
      </c>
      <c r="M32" s="3">
        <v>0</v>
      </c>
      <c r="N32" s="3">
        <v>0.5423728813559322</v>
      </c>
    </row>
    <row r="33" spans="1:14" hidden="1" x14ac:dyDescent="0.2">
      <c r="A33" t="s">
        <v>17</v>
      </c>
      <c r="B33" t="s">
        <v>27</v>
      </c>
      <c r="C33">
        <v>33</v>
      </c>
      <c r="D33">
        <v>1</v>
      </c>
      <c r="E33">
        <v>1</v>
      </c>
      <c r="F33">
        <v>114</v>
      </c>
      <c r="G33">
        <v>0</v>
      </c>
      <c r="H33">
        <v>0</v>
      </c>
      <c r="I33">
        <v>3</v>
      </c>
      <c r="J33">
        <f t="shared" si="3"/>
        <v>152</v>
      </c>
      <c r="K33" s="1">
        <v>149</v>
      </c>
      <c r="L33" s="3">
        <v>0.22147651006711411</v>
      </c>
      <c r="M33" s="3">
        <v>6.7114093959731542E-3</v>
      </c>
      <c r="N33" s="3">
        <v>0.7651006711409396</v>
      </c>
    </row>
    <row r="34" spans="1:14" hidden="1" x14ac:dyDescent="0.2">
      <c r="A34" t="s">
        <v>17</v>
      </c>
      <c r="B34" t="s">
        <v>500</v>
      </c>
      <c r="C34">
        <v>8</v>
      </c>
      <c r="D34">
        <v>0</v>
      </c>
      <c r="E34">
        <v>0</v>
      </c>
      <c r="F34">
        <v>31</v>
      </c>
      <c r="G34">
        <v>0</v>
      </c>
      <c r="H34">
        <v>0</v>
      </c>
      <c r="I34">
        <v>4</v>
      </c>
      <c r="J34">
        <f t="shared" si="3"/>
        <v>43</v>
      </c>
      <c r="K34" s="1">
        <v>39</v>
      </c>
      <c r="L34" s="3">
        <v>0.20512820512820512</v>
      </c>
      <c r="M34" s="3">
        <v>0</v>
      </c>
      <c r="N34" s="3">
        <v>0.79487179487179482</v>
      </c>
    </row>
    <row r="35" spans="1:14" hidden="1" x14ac:dyDescent="0.2">
      <c r="A35" t="s">
        <v>17</v>
      </c>
      <c r="B35" t="s">
        <v>505</v>
      </c>
      <c r="C35">
        <v>189</v>
      </c>
      <c r="D35">
        <v>2</v>
      </c>
      <c r="E35">
        <v>2</v>
      </c>
      <c r="F35">
        <v>283</v>
      </c>
      <c r="G35">
        <v>2</v>
      </c>
      <c r="H35">
        <v>0</v>
      </c>
      <c r="I35">
        <v>11</v>
      </c>
      <c r="J35">
        <f t="shared" si="3"/>
        <v>489</v>
      </c>
      <c r="K35" s="1">
        <v>478</v>
      </c>
      <c r="L35" s="3">
        <v>0.39539748953974896</v>
      </c>
      <c r="M35" s="3">
        <v>4.1841004184100415E-3</v>
      </c>
      <c r="N35" s="3">
        <v>0.59205020920502094</v>
      </c>
    </row>
    <row r="36" spans="1:14" hidden="1" x14ac:dyDescent="0.2">
      <c r="A36" t="s">
        <v>17</v>
      </c>
      <c r="B36" t="s">
        <v>28</v>
      </c>
      <c r="C36">
        <v>221</v>
      </c>
      <c r="D36">
        <v>3</v>
      </c>
      <c r="E36">
        <v>9</v>
      </c>
      <c r="F36">
        <v>475</v>
      </c>
      <c r="G36">
        <v>2</v>
      </c>
      <c r="H36">
        <v>1</v>
      </c>
      <c r="I36">
        <v>7</v>
      </c>
      <c r="J36">
        <f t="shared" si="3"/>
        <v>718</v>
      </c>
      <c r="K36" s="1">
        <v>711</v>
      </c>
      <c r="L36" s="3">
        <v>0.3108298171589311</v>
      </c>
      <c r="M36" s="3">
        <v>1.2658227848101266E-2</v>
      </c>
      <c r="N36" s="3">
        <v>0.66807313642756683</v>
      </c>
    </row>
    <row r="37" spans="1:14" hidden="1" x14ac:dyDescent="0.2">
      <c r="A37" t="s">
        <v>17</v>
      </c>
      <c r="B37" t="s">
        <v>29</v>
      </c>
      <c r="C37">
        <v>667</v>
      </c>
      <c r="D37">
        <v>5</v>
      </c>
      <c r="E37">
        <v>12</v>
      </c>
      <c r="F37">
        <v>975</v>
      </c>
      <c r="G37">
        <v>4</v>
      </c>
      <c r="H37">
        <v>0</v>
      </c>
      <c r="I37">
        <v>33</v>
      </c>
      <c r="J37">
        <f t="shared" si="3"/>
        <v>1696</v>
      </c>
      <c r="K37" s="1">
        <v>1663</v>
      </c>
      <c r="L37" s="3">
        <v>0.40108238123872519</v>
      </c>
      <c r="M37" s="3">
        <v>7.2158749248346366E-3</v>
      </c>
      <c r="N37" s="3">
        <v>0.58628983764281417</v>
      </c>
    </row>
    <row r="38" spans="1:14" hidden="1" x14ac:dyDescent="0.2">
      <c r="A38" t="s">
        <v>17</v>
      </c>
      <c r="B38" t="s">
        <v>30</v>
      </c>
      <c r="C38">
        <v>904</v>
      </c>
      <c r="D38">
        <v>6</v>
      </c>
      <c r="E38">
        <v>16</v>
      </c>
      <c r="F38">
        <v>1261</v>
      </c>
      <c r="G38">
        <v>4</v>
      </c>
      <c r="H38">
        <v>0</v>
      </c>
      <c r="I38">
        <v>40</v>
      </c>
      <c r="J38">
        <f t="shared" si="3"/>
        <v>2231</v>
      </c>
      <c r="K38" s="1">
        <v>2191</v>
      </c>
      <c r="L38" s="3">
        <v>0.41259698767685987</v>
      </c>
      <c r="M38" s="3">
        <v>7.3026015518028297E-3</v>
      </c>
      <c r="N38" s="3">
        <v>0.57553628480146057</v>
      </c>
    </row>
    <row r="39" spans="1:14" hidden="1" x14ac:dyDescent="0.2">
      <c r="A39" t="s">
        <v>17</v>
      </c>
      <c r="B39" t="s">
        <v>31</v>
      </c>
      <c r="C39">
        <v>214</v>
      </c>
      <c r="D39">
        <v>3</v>
      </c>
      <c r="E39">
        <v>3</v>
      </c>
      <c r="F39">
        <v>384</v>
      </c>
      <c r="G39">
        <v>2</v>
      </c>
      <c r="H39">
        <v>0</v>
      </c>
      <c r="I39">
        <v>19</v>
      </c>
      <c r="J39">
        <f t="shared" si="3"/>
        <v>625</v>
      </c>
      <c r="K39" s="1">
        <v>606</v>
      </c>
      <c r="L39" s="3">
        <v>0.35313531353135313</v>
      </c>
      <c r="M39" s="3">
        <v>4.9504950495049506E-3</v>
      </c>
      <c r="N39" s="3">
        <v>0.63366336633663367</v>
      </c>
    </row>
    <row r="40" spans="1:14" hidden="1" x14ac:dyDescent="0.2">
      <c r="A40" t="s">
        <v>17</v>
      </c>
      <c r="B40" t="s">
        <v>32</v>
      </c>
      <c r="C40">
        <v>13</v>
      </c>
      <c r="D40">
        <v>0</v>
      </c>
      <c r="E40">
        <v>2</v>
      </c>
      <c r="F40">
        <v>41</v>
      </c>
      <c r="G40">
        <v>0</v>
      </c>
      <c r="H40">
        <v>0</v>
      </c>
      <c r="I40">
        <v>0</v>
      </c>
      <c r="J40">
        <f t="shared" si="3"/>
        <v>56</v>
      </c>
      <c r="K40" s="1">
        <v>56</v>
      </c>
      <c r="L40" s="3">
        <v>0.23214285714285715</v>
      </c>
      <c r="M40" s="3">
        <v>3.5714285714285712E-2</v>
      </c>
      <c r="N40" s="3">
        <v>0.7321428571428571</v>
      </c>
    </row>
    <row r="41" spans="1:14" hidden="1" x14ac:dyDescent="0.2">
      <c r="A41" t="s">
        <v>17</v>
      </c>
      <c r="B41" t="s">
        <v>33</v>
      </c>
      <c r="C41">
        <v>2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f t="shared" si="3"/>
        <v>4</v>
      </c>
      <c r="K41" s="1">
        <v>4</v>
      </c>
      <c r="L41" s="3">
        <v>0.5</v>
      </c>
      <c r="M41" s="3">
        <v>0</v>
      </c>
      <c r="N41" s="3">
        <v>0.5</v>
      </c>
    </row>
    <row r="42" spans="1:14" hidden="1" x14ac:dyDescent="0.2">
      <c r="A42" t="s">
        <v>17</v>
      </c>
      <c r="B42" t="s">
        <v>34</v>
      </c>
      <c r="C42">
        <v>91</v>
      </c>
      <c r="D42">
        <v>1</v>
      </c>
      <c r="E42">
        <v>2</v>
      </c>
      <c r="F42">
        <v>134</v>
      </c>
      <c r="G42">
        <v>0</v>
      </c>
      <c r="H42">
        <v>0</v>
      </c>
      <c r="I42">
        <v>9</v>
      </c>
      <c r="J42">
        <f t="shared" si="3"/>
        <v>237</v>
      </c>
      <c r="K42" s="1">
        <v>228</v>
      </c>
      <c r="L42" s="3">
        <v>0.39912280701754388</v>
      </c>
      <c r="M42" s="3">
        <v>8.771929824561403E-3</v>
      </c>
      <c r="N42" s="3">
        <v>0.58771929824561409</v>
      </c>
    </row>
    <row r="43" spans="1:14" hidden="1" x14ac:dyDescent="0.2">
      <c r="A43" t="s">
        <v>17</v>
      </c>
      <c r="B43" t="s">
        <v>35</v>
      </c>
      <c r="C43">
        <v>41</v>
      </c>
      <c r="D43">
        <v>0</v>
      </c>
      <c r="E43">
        <v>0</v>
      </c>
      <c r="F43">
        <v>67</v>
      </c>
      <c r="G43">
        <v>0</v>
      </c>
      <c r="H43">
        <v>0</v>
      </c>
      <c r="I43">
        <v>2</v>
      </c>
      <c r="J43">
        <f t="shared" si="3"/>
        <v>110</v>
      </c>
      <c r="K43" s="1">
        <v>108</v>
      </c>
      <c r="L43" s="3">
        <v>0.37962962962962965</v>
      </c>
      <c r="M43" s="3">
        <v>0</v>
      </c>
      <c r="N43" s="3">
        <v>0.62037037037037035</v>
      </c>
    </row>
    <row r="44" spans="1:14" hidden="1" x14ac:dyDescent="0.2">
      <c r="A44" t="s">
        <v>17</v>
      </c>
      <c r="B44" t="s">
        <v>36</v>
      </c>
      <c r="C44">
        <v>12</v>
      </c>
      <c r="D44">
        <v>0</v>
      </c>
      <c r="E44">
        <v>1</v>
      </c>
      <c r="F44">
        <v>41</v>
      </c>
      <c r="G44">
        <v>1</v>
      </c>
      <c r="H44">
        <v>0</v>
      </c>
      <c r="I44">
        <v>0</v>
      </c>
      <c r="J44">
        <f t="shared" si="3"/>
        <v>55</v>
      </c>
      <c r="K44" s="1">
        <v>55</v>
      </c>
      <c r="L44" s="3">
        <v>0.21818181818181817</v>
      </c>
      <c r="M44" s="3">
        <v>1.8181818181818181E-2</v>
      </c>
      <c r="N44" s="3">
        <v>0.74545454545454548</v>
      </c>
    </row>
    <row r="45" spans="1:14" hidden="1" x14ac:dyDescent="0.2">
      <c r="A45" t="s">
        <v>17</v>
      </c>
      <c r="B45" t="s">
        <v>37</v>
      </c>
      <c r="C45">
        <v>11</v>
      </c>
      <c r="D45">
        <v>0</v>
      </c>
      <c r="E45">
        <v>0</v>
      </c>
      <c r="F45">
        <v>54</v>
      </c>
      <c r="G45">
        <v>0</v>
      </c>
      <c r="H45">
        <v>0</v>
      </c>
      <c r="I45">
        <v>2</v>
      </c>
      <c r="J45">
        <f t="shared" si="3"/>
        <v>67</v>
      </c>
      <c r="K45" s="1">
        <v>65</v>
      </c>
      <c r="L45" s="3">
        <v>0.16923076923076924</v>
      </c>
      <c r="M45" s="3">
        <v>0</v>
      </c>
      <c r="N45" s="3">
        <v>0.83076923076923082</v>
      </c>
    </row>
    <row r="46" spans="1:14" hidden="1" x14ac:dyDescent="0.2">
      <c r="A46" t="s">
        <v>17</v>
      </c>
      <c r="B46" t="s">
        <v>38</v>
      </c>
      <c r="C46">
        <v>11</v>
      </c>
      <c r="D46">
        <v>1</v>
      </c>
      <c r="E46">
        <v>0</v>
      </c>
      <c r="F46">
        <v>29</v>
      </c>
      <c r="G46">
        <v>0</v>
      </c>
      <c r="H46">
        <v>0</v>
      </c>
      <c r="I46">
        <v>1</v>
      </c>
      <c r="J46">
        <f t="shared" si="3"/>
        <v>42</v>
      </c>
      <c r="K46" s="1">
        <v>41</v>
      </c>
      <c r="L46" s="3">
        <v>0.26829268292682928</v>
      </c>
      <c r="M46" s="3">
        <v>0</v>
      </c>
      <c r="N46" s="3">
        <v>0.70731707317073167</v>
      </c>
    </row>
    <row r="47" spans="1:14" hidden="1" x14ac:dyDescent="0.2">
      <c r="A47" t="s">
        <v>17</v>
      </c>
      <c r="B47" t="s">
        <v>558</v>
      </c>
      <c r="C47">
        <v>171</v>
      </c>
      <c r="D47">
        <v>5</v>
      </c>
      <c r="E47">
        <v>4</v>
      </c>
      <c r="F47">
        <v>673</v>
      </c>
      <c r="G47">
        <v>0</v>
      </c>
      <c r="H47">
        <v>0</v>
      </c>
      <c r="I47">
        <v>6</v>
      </c>
      <c r="J47">
        <f t="shared" si="3"/>
        <v>859</v>
      </c>
      <c r="K47" s="1">
        <v>853</v>
      </c>
      <c r="L47" s="3">
        <v>0.20046893317702227</v>
      </c>
      <c r="M47" s="3">
        <v>4.6893317702227429E-3</v>
      </c>
      <c r="N47" s="3">
        <v>0.78898007033997652</v>
      </c>
    </row>
    <row r="48" spans="1:14" hidden="1" x14ac:dyDescent="0.2">
      <c r="A48" t="s">
        <v>17</v>
      </c>
      <c r="B48" t="s">
        <v>39</v>
      </c>
      <c r="C48">
        <v>983</v>
      </c>
      <c r="D48">
        <v>14</v>
      </c>
      <c r="E48">
        <v>19</v>
      </c>
      <c r="F48">
        <v>1672</v>
      </c>
      <c r="G48">
        <v>4</v>
      </c>
      <c r="H48">
        <v>0</v>
      </c>
      <c r="I48">
        <v>38</v>
      </c>
      <c r="J48">
        <f t="shared" si="3"/>
        <v>2730</v>
      </c>
      <c r="K48" s="1">
        <v>2692</v>
      </c>
      <c r="L48" s="3">
        <v>0.36515601783060919</v>
      </c>
      <c r="M48" s="3">
        <v>7.0579494799405647E-3</v>
      </c>
      <c r="N48" s="3">
        <v>0.6210995542347697</v>
      </c>
    </row>
    <row r="49" spans="1:14" hidden="1" x14ac:dyDescent="0.2">
      <c r="A49" t="s">
        <v>17</v>
      </c>
      <c r="B49" t="s">
        <v>40</v>
      </c>
      <c r="C49">
        <v>130</v>
      </c>
      <c r="D49">
        <v>1</v>
      </c>
      <c r="E49">
        <v>1</v>
      </c>
      <c r="F49">
        <v>306</v>
      </c>
      <c r="G49">
        <v>2</v>
      </c>
      <c r="H49">
        <v>0</v>
      </c>
      <c r="I49">
        <v>6</v>
      </c>
      <c r="J49">
        <f t="shared" si="3"/>
        <v>446</v>
      </c>
      <c r="K49" s="1">
        <v>440</v>
      </c>
      <c r="L49" s="3">
        <v>0.29545454545454547</v>
      </c>
      <c r="M49" s="3">
        <v>2.2727272727272726E-3</v>
      </c>
      <c r="N49" s="3">
        <v>0.69545454545454544</v>
      </c>
    </row>
    <row r="50" spans="1:14" hidden="1" x14ac:dyDescent="0.2">
      <c r="A50" t="s">
        <v>17</v>
      </c>
      <c r="B50" t="s">
        <v>41</v>
      </c>
      <c r="C50">
        <v>285</v>
      </c>
      <c r="D50">
        <v>4</v>
      </c>
      <c r="E50">
        <v>7</v>
      </c>
      <c r="F50">
        <v>453</v>
      </c>
      <c r="G50">
        <v>1</v>
      </c>
      <c r="H50">
        <v>0</v>
      </c>
      <c r="I50">
        <v>6</v>
      </c>
      <c r="J50">
        <f t="shared" si="3"/>
        <v>756</v>
      </c>
      <c r="K50" s="1">
        <v>750</v>
      </c>
      <c r="L50" s="3">
        <v>0.38</v>
      </c>
      <c r="M50" s="3">
        <v>9.3333333333333341E-3</v>
      </c>
      <c r="N50" s="3">
        <v>0.60399999999999998</v>
      </c>
    </row>
    <row r="51" spans="1:14" hidden="1" x14ac:dyDescent="0.2">
      <c r="A51" t="s">
        <v>17</v>
      </c>
      <c r="B51" t="s">
        <v>42</v>
      </c>
      <c r="C51">
        <v>80</v>
      </c>
      <c r="D51">
        <v>1</v>
      </c>
      <c r="E51">
        <v>3</v>
      </c>
      <c r="F51">
        <v>452</v>
      </c>
      <c r="G51">
        <v>0</v>
      </c>
      <c r="H51">
        <v>0</v>
      </c>
      <c r="I51">
        <v>6</v>
      </c>
      <c r="J51">
        <f t="shared" si="3"/>
        <v>542</v>
      </c>
      <c r="K51" s="1">
        <v>536</v>
      </c>
      <c r="L51" s="3">
        <v>0.14925373134328357</v>
      </c>
      <c r="M51" s="3">
        <v>5.597014925373134E-3</v>
      </c>
      <c r="N51" s="3">
        <v>0.84328358208955223</v>
      </c>
    </row>
    <row r="52" spans="1:14" hidden="1" x14ac:dyDescent="0.2">
      <c r="A52" t="s">
        <v>17</v>
      </c>
      <c r="B52" t="s">
        <v>43</v>
      </c>
      <c r="C52">
        <v>123</v>
      </c>
      <c r="D52">
        <v>4</v>
      </c>
      <c r="E52">
        <v>3</v>
      </c>
      <c r="F52">
        <v>396</v>
      </c>
      <c r="G52">
        <v>1</v>
      </c>
      <c r="H52">
        <v>0</v>
      </c>
      <c r="I52">
        <v>18</v>
      </c>
      <c r="J52">
        <f t="shared" ref="J52:J83" si="4">SUM(C52:I52)</f>
        <v>545</v>
      </c>
      <c r="K52" s="1">
        <v>527</v>
      </c>
      <c r="L52" s="3">
        <v>0.23339658444022771</v>
      </c>
      <c r="M52" s="3">
        <v>5.6925996204933585E-3</v>
      </c>
      <c r="N52" s="3">
        <v>0.75142314990512338</v>
      </c>
    </row>
    <row r="53" spans="1:14" hidden="1" x14ac:dyDescent="0.2">
      <c r="A53" t="s">
        <v>17</v>
      </c>
      <c r="B53" t="s">
        <v>44</v>
      </c>
      <c r="C53">
        <v>61</v>
      </c>
      <c r="D53">
        <v>3</v>
      </c>
      <c r="E53">
        <v>4</v>
      </c>
      <c r="F53">
        <v>185</v>
      </c>
      <c r="G53">
        <v>0</v>
      </c>
      <c r="H53">
        <v>0</v>
      </c>
      <c r="I53">
        <v>4</v>
      </c>
      <c r="J53">
        <f t="shared" si="4"/>
        <v>257</v>
      </c>
      <c r="K53" s="1">
        <v>253</v>
      </c>
      <c r="L53" s="3">
        <v>0.24110671936758893</v>
      </c>
      <c r="M53" s="3">
        <v>1.5810276679841896E-2</v>
      </c>
      <c r="N53" s="3">
        <v>0.73122529644268774</v>
      </c>
    </row>
    <row r="54" spans="1:14" hidden="1" x14ac:dyDescent="0.2">
      <c r="A54" t="s">
        <v>17</v>
      </c>
      <c r="B54" t="s">
        <v>45</v>
      </c>
      <c r="C54">
        <v>10</v>
      </c>
      <c r="D54">
        <v>0</v>
      </c>
      <c r="E54">
        <v>0</v>
      </c>
      <c r="F54">
        <v>29</v>
      </c>
      <c r="G54">
        <v>0</v>
      </c>
      <c r="H54">
        <v>0</v>
      </c>
      <c r="I54">
        <v>3</v>
      </c>
      <c r="J54">
        <f t="shared" si="4"/>
        <v>42</v>
      </c>
      <c r="K54" s="1">
        <v>39</v>
      </c>
      <c r="L54" s="3">
        <v>0.25641025641025639</v>
      </c>
      <c r="M54" s="3">
        <v>0</v>
      </c>
      <c r="N54" s="3">
        <v>0.74358974358974361</v>
      </c>
    </row>
    <row r="55" spans="1:14" hidden="1" x14ac:dyDescent="0.2">
      <c r="A55" t="s">
        <v>17</v>
      </c>
      <c r="B55" t="s">
        <v>46</v>
      </c>
      <c r="C55">
        <v>1018</v>
      </c>
      <c r="D55">
        <v>10</v>
      </c>
      <c r="E55">
        <v>13</v>
      </c>
      <c r="F55">
        <v>1076</v>
      </c>
      <c r="G55">
        <v>4</v>
      </c>
      <c r="H55">
        <v>0</v>
      </c>
      <c r="I55">
        <v>30</v>
      </c>
      <c r="J55">
        <f t="shared" si="4"/>
        <v>2151</v>
      </c>
      <c r="K55" s="1">
        <v>2121</v>
      </c>
      <c r="L55" s="3">
        <v>0.47996228194247997</v>
      </c>
      <c r="M55" s="3">
        <v>6.1291843470061289E-3</v>
      </c>
      <c r="N55" s="3">
        <v>0.50730787364450736</v>
      </c>
    </row>
    <row r="56" spans="1:14" hidden="1" x14ac:dyDescent="0.2">
      <c r="A56" t="s">
        <v>17</v>
      </c>
      <c r="B56" t="s">
        <v>512</v>
      </c>
      <c r="C56">
        <v>67</v>
      </c>
      <c r="D56">
        <v>0</v>
      </c>
      <c r="E56">
        <v>0</v>
      </c>
      <c r="F56">
        <v>43</v>
      </c>
      <c r="G56">
        <v>0</v>
      </c>
      <c r="H56">
        <v>0</v>
      </c>
      <c r="I56">
        <v>4</v>
      </c>
      <c r="J56">
        <f t="shared" si="4"/>
        <v>114</v>
      </c>
      <c r="K56" s="1">
        <v>110</v>
      </c>
      <c r="L56" s="3">
        <v>0.60909090909090913</v>
      </c>
      <c r="M56" s="3">
        <v>0</v>
      </c>
      <c r="N56" s="3">
        <v>0.39090909090909093</v>
      </c>
    </row>
    <row r="57" spans="1:14" hidden="1" x14ac:dyDescent="0.2">
      <c r="A57" t="s">
        <v>17</v>
      </c>
      <c r="B57" t="s">
        <v>47</v>
      </c>
      <c r="C57">
        <v>369</v>
      </c>
      <c r="D57">
        <v>9</v>
      </c>
      <c r="E57">
        <v>12</v>
      </c>
      <c r="F57">
        <v>792</v>
      </c>
      <c r="G57">
        <v>0</v>
      </c>
      <c r="H57">
        <v>0</v>
      </c>
      <c r="I57">
        <v>13</v>
      </c>
      <c r="J57">
        <f t="shared" si="4"/>
        <v>1195</v>
      </c>
      <c r="K57" s="1">
        <v>1182</v>
      </c>
      <c r="L57" s="3">
        <v>0.31218274111675126</v>
      </c>
      <c r="M57" s="3">
        <v>1.015228426395939E-2</v>
      </c>
      <c r="N57" s="3">
        <v>0.67005076142131981</v>
      </c>
    </row>
    <row r="58" spans="1:14" hidden="1" x14ac:dyDescent="0.2">
      <c r="A58" t="s">
        <v>17</v>
      </c>
      <c r="B58" t="s">
        <v>48</v>
      </c>
      <c r="C58">
        <v>211</v>
      </c>
      <c r="D58">
        <v>1</v>
      </c>
      <c r="E58">
        <v>4</v>
      </c>
      <c r="F58">
        <v>520</v>
      </c>
      <c r="G58">
        <v>3</v>
      </c>
      <c r="H58">
        <v>0</v>
      </c>
      <c r="I58">
        <v>11</v>
      </c>
      <c r="J58">
        <f t="shared" si="4"/>
        <v>750</v>
      </c>
      <c r="K58" s="1">
        <v>739</v>
      </c>
      <c r="L58" s="3">
        <v>0.28552097428958051</v>
      </c>
      <c r="M58" s="3">
        <v>5.4127198917456026E-3</v>
      </c>
      <c r="N58" s="3">
        <v>0.70365358592692828</v>
      </c>
    </row>
    <row r="59" spans="1:14" hidden="1" x14ac:dyDescent="0.2">
      <c r="A59" t="s">
        <v>17</v>
      </c>
      <c r="B59" t="s">
        <v>49</v>
      </c>
      <c r="C59">
        <v>37</v>
      </c>
      <c r="D59">
        <v>1</v>
      </c>
      <c r="E59">
        <v>2</v>
      </c>
      <c r="F59">
        <v>84</v>
      </c>
      <c r="G59">
        <v>0</v>
      </c>
      <c r="H59">
        <v>0</v>
      </c>
      <c r="I59">
        <v>3</v>
      </c>
      <c r="J59">
        <f t="shared" si="4"/>
        <v>127</v>
      </c>
      <c r="K59" s="1">
        <v>124</v>
      </c>
      <c r="L59" s="3">
        <v>0.29838709677419356</v>
      </c>
      <c r="M59" s="3">
        <v>1.6129032258064516E-2</v>
      </c>
      <c r="N59" s="3">
        <v>0.67741935483870963</v>
      </c>
    </row>
    <row r="60" spans="1:14" hidden="1" x14ac:dyDescent="0.2">
      <c r="A60" t="s">
        <v>17</v>
      </c>
      <c r="B60" t="s">
        <v>50</v>
      </c>
      <c r="C60">
        <v>43</v>
      </c>
      <c r="D60">
        <v>1</v>
      </c>
      <c r="E60">
        <v>1</v>
      </c>
      <c r="F60">
        <v>89</v>
      </c>
      <c r="G60">
        <v>0</v>
      </c>
      <c r="H60">
        <v>0</v>
      </c>
      <c r="I60">
        <v>7</v>
      </c>
      <c r="J60">
        <f t="shared" si="4"/>
        <v>141</v>
      </c>
      <c r="K60" s="1">
        <v>134</v>
      </c>
      <c r="L60" s="3">
        <v>0.32089552238805968</v>
      </c>
      <c r="M60" s="3">
        <v>7.462686567164179E-3</v>
      </c>
      <c r="N60" s="3">
        <v>0.66417910447761197</v>
      </c>
    </row>
    <row r="61" spans="1:14" hidden="1" x14ac:dyDescent="0.2">
      <c r="A61" t="s">
        <v>17</v>
      </c>
      <c r="B61" t="s">
        <v>51</v>
      </c>
      <c r="C61">
        <v>80</v>
      </c>
      <c r="D61">
        <v>1</v>
      </c>
      <c r="E61">
        <v>1</v>
      </c>
      <c r="F61">
        <v>337</v>
      </c>
      <c r="G61">
        <v>1</v>
      </c>
      <c r="H61">
        <v>0</v>
      </c>
      <c r="I61">
        <v>3</v>
      </c>
      <c r="J61">
        <f t="shared" si="4"/>
        <v>423</v>
      </c>
      <c r="K61" s="1">
        <v>420</v>
      </c>
      <c r="L61" s="3">
        <v>0.19047619047619047</v>
      </c>
      <c r="M61" s="3">
        <v>2.3809523809523812E-3</v>
      </c>
      <c r="N61" s="3">
        <v>0.80238095238095242</v>
      </c>
    </row>
    <row r="62" spans="1:14" hidden="1" x14ac:dyDescent="0.2">
      <c r="A62" t="s">
        <v>17</v>
      </c>
      <c r="B62" t="s">
        <v>52</v>
      </c>
      <c r="C62">
        <v>3</v>
      </c>
      <c r="D62">
        <v>0</v>
      </c>
      <c r="E62">
        <v>0</v>
      </c>
      <c r="F62">
        <v>20</v>
      </c>
      <c r="G62">
        <v>0</v>
      </c>
      <c r="H62">
        <v>0</v>
      </c>
      <c r="I62">
        <v>0</v>
      </c>
      <c r="J62">
        <f t="shared" si="4"/>
        <v>23</v>
      </c>
      <c r="K62" s="1">
        <v>23</v>
      </c>
      <c r="L62" s="3">
        <v>0.13043478260869565</v>
      </c>
      <c r="M62" s="3">
        <v>0</v>
      </c>
      <c r="N62" s="3">
        <v>0.86956521739130432</v>
      </c>
    </row>
    <row r="63" spans="1:14" hidden="1" x14ac:dyDescent="0.2">
      <c r="A63" t="s">
        <v>17</v>
      </c>
      <c r="B63" t="s">
        <v>510</v>
      </c>
      <c r="C63">
        <v>7</v>
      </c>
      <c r="D63">
        <v>0</v>
      </c>
      <c r="E63">
        <v>0</v>
      </c>
      <c r="F63">
        <v>15</v>
      </c>
      <c r="G63">
        <v>0</v>
      </c>
      <c r="H63">
        <v>0</v>
      </c>
      <c r="I63">
        <v>0</v>
      </c>
      <c r="J63">
        <f t="shared" si="4"/>
        <v>22</v>
      </c>
      <c r="K63" s="1">
        <v>22</v>
      </c>
      <c r="L63" s="3">
        <v>0.31818181818181818</v>
      </c>
      <c r="M63" s="3">
        <v>0</v>
      </c>
      <c r="N63" s="3">
        <v>0.68181818181818177</v>
      </c>
    </row>
    <row r="64" spans="1:14" hidden="1" x14ac:dyDescent="0.2">
      <c r="A64" t="s">
        <v>17</v>
      </c>
      <c r="B64" t="s">
        <v>53</v>
      </c>
      <c r="C64">
        <v>53</v>
      </c>
      <c r="D64">
        <v>1</v>
      </c>
      <c r="E64">
        <v>2</v>
      </c>
      <c r="F64">
        <v>117</v>
      </c>
      <c r="G64">
        <v>0</v>
      </c>
      <c r="H64">
        <v>0</v>
      </c>
      <c r="I64">
        <v>3</v>
      </c>
      <c r="J64">
        <f t="shared" si="4"/>
        <v>176</v>
      </c>
      <c r="K64" s="1">
        <v>173</v>
      </c>
      <c r="L64" s="3">
        <v>0.30635838150289019</v>
      </c>
      <c r="M64" s="3">
        <v>1.1560693641618497E-2</v>
      </c>
      <c r="N64" s="3">
        <v>0.67630057803468213</v>
      </c>
    </row>
    <row r="65" spans="1:14" hidden="1" x14ac:dyDescent="0.2">
      <c r="A65" t="s">
        <v>17</v>
      </c>
      <c r="B65" t="s">
        <v>54</v>
      </c>
      <c r="C65">
        <v>106</v>
      </c>
      <c r="D65">
        <v>1</v>
      </c>
      <c r="E65">
        <v>0</v>
      </c>
      <c r="F65">
        <v>246</v>
      </c>
      <c r="G65">
        <v>1</v>
      </c>
      <c r="H65">
        <v>0</v>
      </c>
      <c r="I65">
        <v>7</v>
      </c>
      <c r="J65">
        <f t="shared" si="4"/>
        <v>361</v>
      </c>
      <c r="K65" s="1">
        <v>354</v>
      </c>
      <c r="L65" s="3">
        <v>0.29943502824858759</v>
      </c>
      <c r="M65" s="3">
        <v>0</v>
      </c>
      <c r="N65" s="3">
        <v>0.69491525423728817</v>
      </c>
    </row>
    <row r="66" spans="1:14" hidden="1" x14ac:dyDescent="0.2">
      <c r="A66" t="s">
        <v>17</v>
      </c>
      <c r="B66" t="s">
        <v>55</v>
      </c>
      <c r="C66">
        <v>131</v>
      </c>
      <c r="D66">
        <v>2</v>
      </c>
      <c r="E66">
        <v>2</v>
      </c>
      <c r="F66">
        <v>199</v>
      </c>
      <c r="G66">
        <v>3</v>
      </c>
      <c r="H66">
        <v>2</v>
      </c>
      <c r="I66">
        <v>8</v>
      </c>
      <c r="J66">
        <f t="shared" si="4"/>
        <v>347</v>
      </c>
      <c r="K66" s="1">
        <v>339</v>
      </c>
      <c r="L66" s="3">
        <v>0.3864306784660767</v>
      </c>
      <c r="M66" s="3">
        <v>5.8997050147492625E-3</v>
      </c>
      <c r="N66" s="3">
        <v>0.58702064896755157</v>
      </c>
    </row>
    <row r="67" spans="1:14" hidden="1" x14ac:dyDescent="0.2">
      <c r="A67" t="s">
        <v>17</v>
      </c>
      <c r="B67" t="s">
        <v>56</v>
      </c>
      <c r="C67">
        <v>114</v>
      </c>
      <c r="D67">
        <v>0</v>
      </c>
      <c r="E67">
        <v>2</v>
      </c>
      <c r="F67">
        <v>303</v>
      </c>
      <c r="G67">
        <v>2</v>
      </c>
      <c r="H67">
        <v>2</v>
      </c>
      <c r="I67">
        <v>3</v>
      </c>
      <c r="J67">
        <f t="shared" si="4"/>
        <v>426</v>
      </c>
      <c r="K67" s="1">
        <v>423</v>
      </c>
      <c r="L67" s="3">
        <v>0.26950354609929078</v>
      </c>
      <c r="M67" s="3">
        <v>4.7281323877068557E-3</v>
      </c>
      <c r="N67" s="3">
        <v>0.71631205673758869</v>
      </c>
    </row>
    <row r="68" spans="1:14" hidden="1" x14ac:dyDescent="0.2">
      <c r="A68" t="s">
        <v>17</v>
      </c>
      <c r="B68" t="s">
        <v>57</v>
      </c>
      <c r="C68">
        <v>19</v>
      </c>
      <c r="D68">
        <v>0</v>
      </c>
      <c r="E68">
        <v>0</v>
      </c>
      <c r="F68">
        <v>64</v>
      </c>
      <c r="G68">
        <v>0</v>
      </c>
      <c r="H68">
        <v>0</v>
      </c>
      <c r="I68">
        <v>2</v>
      </c>
      <c r="J68">
        <f t="shared" si="4"/>
        <v>85</v>
      </c>
      <c r="K68" s="1">
        <v>83</v>
      </c>
      <c r="L68" s="3">
        <v>0.2289156626506024</v>
      </c>
      <c r="M68" s="3">
        <v>0</v>
      </c>
      <c r="N68" s="3">
        <v>0.77108433734939763</v>
      </c>
    </row>
    <row r="69" spans="1:14" hidden="1" x14ac:dyDescent="0.2">
      <c r="A69" t="s">
        <v>17</v>
      </c>
      <c r="B69" t="s">
        <v>507</v>
      </c>
      <c r="C69">
        <v>13</v>
      </c>
      <c r="D69">
        <v>2</v>
      </c>
      <c r="E69">
        <v>0</v>
      </c>
      <c r="F69">
        <v>29</v>
      </c>
      <c r="G69">
        <v>0</v>
      </c>
      <c r="H69">
        <v>0</v>
      </c>
      <c r="I69">
        <v>1</v>
      </c>
      <c r="J69">
        <f t="shared" si="4"/>
        <v>45</v>
      </c>
      <c r="K69" s="1">
        <v>44</v>
      </c>
      <c r="L69" s="3">
        <v>0.29545454545454547</v>
      </c>
      <c r="M69" s="3">
        <v>0</v>
      </c>
      <c r="N69" s="3">
        <v>0.65909090909090906</v>
      </c>
    </row>
    <row r="70" spans="1:14" hidden="1" x14ac:dyDescent="0.2">
      <c r="A70" t="s">
        <v>17</v>
      </c>
      <c r="B70" t="s">
        <v>58</v>
      </c>
      <c r="C70">
        <v>59</v>
      </c>
      <c r="D70">
        <v>2</v>
      </c>
      <c r="E70">
        <v>8</v>
      </c>
      <c r="F70">
        <v>166</v>
      </c>
      <c r="G70">
        <v>1</v>
      </c>
      <c r="H70">
        <v>1</v>
      </c>
      <c r="I70">
        <v>5</v>
      </c>
      <c r="J70">
        <f t="shared" si="4"/>
        <v>242</v>
      </c>
      <c r="K70" s="1">
        <v>237</v>
      </c>
      <c r="L70" s="3">
        <v>0.24894514767932491</v>
      </c>
      <c r="M70" s="3">
        <v>3.3755274261603373E-2</v>
      </c>
      <c r="N70" s="3">
        <v>0.70042194092827004</v>
      </c>
    </row>
    <row r="71" spans="1:14" hidden="1" x14ac:dyDescent="0.2">
      <c r="A71" t="s">
        <v>17</v>
      </c>
      <c r="B71" t="s">
        <v>59</v>
      </c>
      <c r="C71">
        <v>93</v>
      </c>
      <c r="D71">
        <v>0</v>
      </c>
      <c r="E71">
        <v>20</v>
      </c>
      <c r="F71">
        <v>156</v>
      </c>
      <c r="G71">
        <v>0</v>
      </c>
      <c r="H71">
        <v>0</v>
      </c>
      <c r="I71">
        <v>3</v>
      </c>
      <c r="J71">
        <f t="shared" si="4"/>
        <v>272</v>
      </c>
      <c r="K71" s="1">
        <v>269</v>
      </c>
      <c r="L71" s="3">
        <v>0.34572490706319703</v>
      </c>
      <c r="M71" s="3">
        <v>7.434944237918216E-2</v>
      </c>
      <c r="N71" s="3">
        <v>0.5799256505576208</v>
      </c>
    </row>
    <row r="72" spans="1:14" hidden="1" x14ac:dyDescent="0.2">
      <c r="A72" t="s">
        <v>17</v>
      </c>
      <c r="B72" t="s">
        <v>60</v>
      </c>
      <c r="C72">
        <v>1850</v>
      </c>
      <c r="D72">
        <v>26</v>
      </c>
      <c r="E72">
        <v>29</v>
      </c>
      <c r="F72">
        <v>2238</v>
      </c>
      <c r="G72">
        <v>4</v>
      </c>
      <c r="H72">
        <v>5</v>
      </c>
      <c r="I72">
        <v>45</v>
      </c>
      <c r="J72">
        <f t="shared" si="4"/>
        <v>4197</v>
      </c>
      <c r="K72" s="1">
        <v>4152</v>
      </c>
      <c r="L72" s="3">
        <v>0.44556840077071291</v>
      </c>
      <c r="M72" s="3">
        <v>6.9845857418111756E-3</v>
      </c>
      <c r="N72" s="3">
        <v>0.53901734104046239</v>
      </c>
    </row>
    <row r="73" spans="1:14" hidden="1" x14ac:dyDescent="0.2">
      <c r="A73" t="s">
        <v>17</v>
      </c>
      <c r="B73" t="s">
        <v>61</v>
      </c>
      <c r="C73">
        <v>17</v>
      </c>
      <c r="D73">
        <v>1</v>
      </c>
      <c r="E73">
        <v>0</v>
      </c>
      <c r="F73">
        <v>68</v>
      </c>
      <c r="G73">
        <v>0</v>
      </c>
      <c r="H73">
        <v>0</v>
      </c>
      <c r="I73">
        <v>1</v>
      </c>
      <c r="J73">
        <f t="shared" si="4"/>
        <v>87</v>
      </c>
      <c r="K73" s="1">
        <v>86</v>
      </c>
      <c r="L73" s="3">
        <v>0.19767441860465115</v>
      </c>
      <c r="M73" s="3">
        <v>0</v>
      </c>
      <c r="N73" s="3">
        <v>0.79069767441860461</v>
      </c>
    </row>
    <row r="74" spans="1:14" hidden="1" x14ac:dyDescent="0.2">
      <c r="A74" t="s">
        <v>17</v>
      </c>
      <c r="B74" t="s">
        <v>559</v>
      </c>
      <c r="C74">
        <v>255</v>
      </c>
      <c r="D74">
        <v>2</v>
      </c>
      <c r="E74">
        <v>3</v>
      </c>
      <c r="F74">
        <v>358</v>
      </c>
      <c r="G74">
        <v>1</v>
      </c>
      <c r="H74">
        <v>0</v>
      </c>
      <c r="I74">
        <v>22</v>
      </c>
      <c r="J74">
        <f t="shared" si="4"/>
        <v>641</v>
      </c>
      <c r="K74" s="1">
        <v>619</v>
      </c>
      <c r="L74" s="3">
        <v>0.41195476575121165</v>
      </c>
      <c r="M74" s="3">
        <v>4.8465266558966073E-3</v>
      </c>
      <c r="N74" s="3">
        <v>0.57835218093699514</v>
      </c>
    </row>
    <row r="75" spans="1:14" hidden="1" x14ac:dyDescent="0.2">
      <c r="A75" t="s">
        <v>17</v>
      </c>
      <c r="B75" t="s">
        <v>62</v>
      </c>
      <c r="C75">
        <v>90</v>
      </c>
      <c r="D75">
        <v>0</v>
      </c>
      <c r="E75">
        <v>0</v>
      </c>
      <c r="F75">
        <v>137</v>
      </c>
      <c r="G75">
        <v>0</v>
      </c>
      <c r="H75">
        <v>0</v>
      </c>
      <c r="I75">
        <v>6</v>
      </c>
      <c r="J75">
        <f t="shared" si="4"/>
        <v>233</v>
      </c>
      <c r="K75" s="1">
        <v>227</v>
      </c>
      <c r="L75" s="3">
        <v>0.3964757709251101</v>
      </c>
      <c r="M75" s="3">
        <v>0</v>
      </c>
      <c r="N75" s="3">
        <v>0.6035242290748899</v>
      </c>
    </row>
    <row r="76" spans="1:14" hidden="1" x14ac:dyDescent="0.2">
      <c r="A76" t="s">
        <v>17</v>
      </c>
      <c r="B76" t="s">
        <v>63</v>
      </c>
      <c r="C76">
        <v>48</v>
      </c>
      <c r="D76">
        <v>4</v>
      </c>
      <c r="E76">
        <v>1</v>
      </c>
      <c r="F76">
        <v>95</v>
      </c>
      <c r="G76">
        <v>0</v>
      </c>
      <c r="H76">
        <v>0</v>
      </c>
      <c r="I76">
        <v>6</v>
      </c>
      <c r="J76">
        <f t="shared" si="4"/>
        <v>154</v>
      </c>
      <c r="K76" s="1">
        <v>148</v>
      </c>
      <c r="L76" s="3">
        <v>0.32432432432432434</v>
      </c>
      <c r="M76" s="3">
        <v>6.7567567567567571E-3</v>
      </c>
      <c r="N76" s="3">
        <v>0.64189189189189189</v>
      </c>
    </row>
    <row r="77" spans="1:14" hidden="1" x14ac:dyDescent="0.2">
      <c r="A77" t="s">
        <v>17</v>
      </c>
      <c r="B77" t="s">
        <v>64</v>
      </c>
      <c r="C77">
        <v>100</v>
      </c>
      <c r="D77">
        <v>3</v>
      </c>
      <c r="E77">
        <v>3</v>
      </c>
      <c r="F77">
        <v>377</v>
      </c>
      <c r="G77">
        <v>0</v>
      </c>
      <c r="H77">
        <v>0</v>
      </c>
      <c r="I77">
        <v>9</v>
      </c>
      <c r="J77">
        <f t="shared" si="4"/>
        <v>492</v>
      </c>
      <c r="K77" s="1">
        <v>483</v>
      </c>
      <c r="L77" s="3">
        <v>0.20703933747412009</v>
      </c>
      <c r="M77" s="3">
        <v>6.2111801242236021E-3</v>
      </c>
      <c r="N77" s="3">
        <v>0.78053830227743271</v>
      </c>
    </row>
    <row r="78" spans="1:14" hidden="1" x14ac:dyDescent="0.2">
      <c r="A78" t="s">
        <v>17</v>
      </c>
      <c r="B78" t="s">
        <v>65</v>
      </c>
      <c r="C78">
        <v>48</v>
      </c>
      <c r="D78">
        <v>0</v>
      </c>
      <c r="E78">
        <v>0</v>
      </c>
      <c r="F78">
        <v>124</v>
      </c>
      <c r="G78">
        <v>0</v>
      </c>
      <c r="H78">
        <v>0</v>
      </c>
      <c r="I78">
        <v>3</v>
      </c>
      <c r="J78">
        <f t="shared" si="4"/>
        <v>175</v>
      </c>
      <c r="K78" s="1">
        <v>172</v>
      </c>
      <c r="L78" s="3">
        <v>0.27906976744186046</v>
      </c>
      <c r="M78" s="3">
        <v>0</v>
      </c>
      <c r="N78" s="3">
        <v>0.72093023255813948</v>
      </c>
    </row>
    <row r="79" spans="1:14" hidden="1" x14ac:dyDescent="0.2">
      <c r="A79" t="s">
        <v>17</v>
      </c>
      <c r="B79" t="s">
        <v>66</v>
      </c>
      <c r="C79">
        <v>61</v>
      </c>
      <c r="D79">
        <v>1</v>
      </c>
      <c r="E79">
        <v>2</v>
      </c>
      <c r="F79">
        <v>89</v>
      </c>
      <c r="G79">
        <v>0</v>
      </c>
      <c r="H79">
        <v>0</v>
      </c>
      <c r="I79">
        <v>2</v>
      </c>
      <c r="J79">
        <f t="shared" si="4"/>
        <v>155</v>
      </c>
      <c r="K79" s="1">
        <v>153</v>
      </c>
      <c r="L79" s="3">
        <v>0.39869281045751637</v>
      </c>
      <c r="M79" s="3">
        <v>1.3071895424836602E-2</v>
      </c>
      <c r="N79" s="3">
        <v>0.5816993464052288</v>
      </c>
    </row>
    <row r="80" spans="1:14" hidden="1" x14ac:dyDescent="0.2">
      <c r="A80" t="s">
        <v>17</v>
      </c>
      <c r="B80" t="s">
        <v>502</v>
      </c>
      <c r="C80">
        <v>10</v>
      </c>
      <c r="D80">
        <v>0</v>
      </c>
      <c r="E80">
        <v>0</v>
      </c>
      <c r="F80">
        <v>12</v>
      </c>
      <c r="G80">
        <v>0</v>
      </c>
      <c r="H80">
        <v>0</v>
      </c>
      <c r="I80">
        <v>0</v>
      </c>
      <c r="J80">
        <f t="shared" si="4"/>
        <v>22</v>
      </c>
      <c r="K80" s="1">
        <v>22</v>
      </c>
      <c r="L80" s="3">
        <v>0.45454545454545453</v>
      </c>
      <c r="M80" s="3">
        <v>0</v>
      </c>
      <c r="N80" s="3">
        <v>0.54545454545454541</v>
      </c>
    </row>
    <row r="81" spans="1:14" hidden="1" x14ac:dyDescent="0.2">
      <c r="A81" t="s">
        <v>17</v>
      </c>
      <c r="B81" t="s">
        <v>513</v>
      </c>
      <c r="C81">
        <v>0</v>
      </c>
      <c r="D81">
        <v>0</v>
      </c>
      <c r="E81">
        <v>0</v>
      </c>
      <c r="F81">
        <v>2</v>
      </c>
      <c r="G81">
        <v>1</v>
      </c>
      <c r="H81">
        <v>0</v>
      </c>
      <c r="I81">
        <v>0</v>
      </c>
      <c r="J81">
        <f t="shared" si="4"/>
        <v>3</v>
      </c>
      <c r="K81" s="1">
        <v>3</v>
      </c>
      <c r="L81" s="3">
        <v>0</v>
      </c>
      <c r="M81" s="3">
        <v>0</v>
      </c>
      <c r="N81" s="3">
        <v>0.66666666666666663</v>
      </c>
    </row>
    <row r="82" spans="1:14" hidden="1" x14ac:dyDescent="0.2">
      <c r="A82" t="s">
        <v>17</v>
      </c>
      <c r="B82" t="s">
        <v>508</v>
      </c>
      <c r="C82">
        <v>0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f t="shared" si="4"/>
        <v>3</v>
      </c>
      <c r="K82" s="1">
        <v>3</v>
      </c>
      <c r="L82" s="3">
        <v>0</v>
      </c>
      <c r="M82" s="3">
        <v>0</v>
      </c>
      <c r="N82" s="3">
        <v>1</v>
      </c>
    </row>
    <row r="83" spans="1:14" hidden="1" x14ac:dyDescent="0.2">
      <c r="A83" t="s">
        <v>17</v>
      </c>
      <c r="B83" t="s">
        <v>501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4"/>
        <v>5</v>
      </c>
      <c r="K83" s="1">
        <v>5</v>
      </c>
      <c r="L83" s="3">
        <v>1</v>
      </c>
      <c r="M83" s="3">
        <v>0</v>
      </c>
      <c r="N83" s="3">
        <v>0</v>
      </c>
    </row>
    <row r="84" spans="1:14" ht="32" hidden="1" x14ac:dyDescent="0.2">
      <c r="A84" t="s">
        <v>17</v>
      </c>
      <c r="B84" s="2" t="s">
        <v>514</v>
      </c>
      <c r="C84">
        <v>429</v>
      </c>
      <c r="D84">
        <v>2</v>
      </c>
      <c r="E84">
        <v>7</v>
      </c>
      <c r="F84">
        <v>448</v>
      </c>
      <c r="G84">
        <v>2</v>
      </c>
      <c r="H84">
        <v>0</v>
      </c>
      <c r="I84">
        <v>26</v>
      </c>
      <c r="J84">
        <f t="shared" ref="J84:J92" si="5">SUM(C84:I84)</f>
        <v>914</v>
      </c>
      <c r="K84" s="1">
        <v>888</v>
      </c>
      <c r="L84" s="3">
        <v>0.48310810810810811</v>
      </c>
      <c r="M84" s="3">
        <v>7.8828828828828822E-3</v>
      </c>
      <c r="N84" s="3">
        <v>0.50450450450450446</v>
      </c>
    </row>
    <row r="85" spans="1:14" hidden="1" x14ac:dyDescent="0.2">
      <c r="A85" t="s">
        <v>17</v>
      </c>
      <c r="B85" t="s">
        <v>67</v>
      </c>
      <c r="C85">
        <v>56</v>
      </c>
      <c r="D85">
        <v>3</v>
      </c>
      <c r="E85">
        <v>1</v>
      </c>
      <c r="F85">
        <v>107</v>
      </c>
      <c r="G85">
        <v>1</v>
      </c>
      <c r="H85">
        <v>1</v>
      </c>
      <c r="I85">
        <v>5</v>
      </c>
      <c r="J85">
        <f t="shared" si="5"/>
        <v>174</v>
      </c>
      <c r="K85" s="1">
        <v>169</v>
      </c>
      <c r="L85" s="3">
        <v>0.33136094674556216</v>
      </c>
      <c r="M85" s="3">
        <v>5.9171597633136093E-3</v>
      </c>
      <c r="N85" s="3">
        <v>0.63313609467455623</v>
      </c>
    </row>
    <row r="86" spans="1:14" hidden="1" x14ac:dyDescent="0.2">
      <c r="A86" t="s">
        <v>17</v>
      </c>
      <c r="B86" t="s">
        <v>68</v>
      </c>
      <c r="C86">
        <v>140</v>
      </c>
      <c r="D86">
        <v>2</v>
      </c>
      <c r="E86">
        <v>2</v>
      </c>
      <c r="F86">
        <v>170</v>
      </c>
      <c r="G86">
        <v>0</v>
      </c>
      <c r="H86">
        <v>0</v>
      </c>
      <c r="I86">
        <v>3</v>
      </c>
      <c r="J86">
        <f t="shared" si="5"/>
        <v>317</v>
      </c>
      <c r="K86" s="1">
        <v>314</v>
      </c>
      <c r="L86" s="3">
        <v>0.44585987261146498</v>
      </c>
      <c r="M86" s="3">
        <v>6.369426751592357E-3</v>
      </c>
      <c r="N86" s="3">
        <v>0.54140127388535031</v>
      </c>
    </row>
    <row r="87" spans="1:14" hidden="1" x14ac:dyDescent="0.2">
      <c r="A87" t="s">
        <v>17</v>
      </c>
      <c r="B87" t="s">
        <v>69</v>
      </c>
      <c r="C87">
        <v>246</v>
      </c>
      <c r="D87">
        <v>4</v>
      </c>
      <c r="E87">
        <v>3</v>
      </c>
      <c r="F87">
        <v>532</v>
      </c>
      <c r="G87">
        <v>1</v>
      </c>
      <c r="H87">
        <v>1</v>
      </c>
      <c r="I87">
        <v>12</v>
      </c>
      <c r="J87">
        <f t="shared" si="5"/>
        <v>799</v>
      </c>
      <c r="K87" s="1">
        <v>787</v>
      </c>
      <c r="L87" s="3">
        <v>0.31257941550190599</v>
      </c>
      <c r="M87" s="3">
        <v>3.8119440914866584E-3</v>
      </c>
      <c r="N87" s="3">
        <v>0.67598475222363408</v>
      </c>
    </row>
    <row r="88" spans="1:14" hidden="1" x14ac:dyDescent="0.2">
      <c r="A88" t="s">
        <v>17</v>
      </c>
      <c r="B88" t="s">
        <v>70</v>
      </c>
      <c r="C88">
        <v>77</v>
      </c>
      <c r="D88">
        <v>1</v>
      </c>
      <c r="E88">
        <v>2</v>
      </c>
      <c r="F88">
        <v>193</v>
      </c>
      <c r="G88">
        <v>1</v>
      </c>
      <c r="H88">
        <v>0</v>
      </c>
      <c r="I88">
        <v>4</v>
      </c>
      <c r="J88">
        <f t="shared" si="5"/>
        <v>278</v>
      </c>
      <c r="K88" s="1">
        <v>274</v>
      </c>
      <c r="L88" s="3">
        <v>0.28102189781021897</v>
      </c>
      <c r="M88" s="3">
        <v>7.2992700729927005E-3</v>
      </c>
      <c r="N88" s="3">
        <v>0.70437956204379559</v>
      </c>
    </row>
    <row r="89" spans="1:14" hidden="1" x14ac:dyDescent="0.2">
      <c r="A89" t="s">
        <v>17</v>
      </c>
      <c r="B89" t="s">
        <v>71</v>
      </c>
      <c r="C89">
        <v>27</v>
      </c>
      <c r="D89">
        <v>1</v>
      </c>
      <c r="E89">
        <v>1</v>
      </c>
      <c r="F89">
        <v>31</v>
      </c>
      <c r="G89">
        <v>0</v>
      </c>
      <c r="H89">
        <v>0</v>
      </c>
      <c r="I89">
        <v>3</v>
      </c>
      <c r="J89">
        <f t="shared" si="5"/>
        <v>63</v>
      </c>
      <c r="K89" s="1">
        <v>60</v>
      </c>
      <c r="L89" s="3">
        <v>0.45</v>
      </c>
      <c r="M89" s="3">
        <v>1.6666666666666666E-2</v>
      </c>
      <c r="N89" s="3">
        <v>0.51666666666666672</v>
      </c>
    </row>
    <row r="90" spans="1:14" hidden="1" x14ac:dyDescent="0.2">
      <c r="A90" t="s">
        <v>17</v>
      </c>
      <c r="B90" t="s">
        <v>560</v>
      </c>
      <c r="C90">
        <v>46</v>
      </c>
      <c r="D90">
        <v>1</v>
      </c>
      <c r="E90">
        <v>0</v>
      </c>
      <c r="F90">
        <v>164</v>
      </c>
      <c r="G90">
        <v>0</v>
      </c>
      <c r="H90">
        <v>0</v>
      </c>
      <c r="I90">
        <v>1</v>
      </c>
      <c r="J90">
        <f t="shared" si="5"/>
        <v>212</v>
      </c>
      <c r="K90" s="1">
        <v>211</v>
      </c>
      <c r="L90" s="3">
        <v>0.21800947867298578</v>
      </c>
      <c r="M90" s="3">
        <v>0</v>
      </c>
      <c r="N90" s="3">
        <v>0.77725118483412325</v>
      </c>
    </row>
    <row r="91" spans="1:14" hidden="1" x14ac:dyDescent="0.2">
      <c r="A91" t="s">
        <v>17</v>
      </c>
      <c r="B91" t="s">
        <v>72</v>
      </c>
      <c r="C91">
        <v>62</v>
      </c>
      <c r="D91">
        <v>0</v>
      </c>
      <c r="E91">
        <v>2</v>
      </c>
      <c r="F91">
        <v>82</v>
      </c>
      <c r="G91">
        <v>0</v>
      </c>
      <c r="H91">
        <v>0</v>
      </c>
      <c r="I91">
        <v>0</v>
      </c>
      <c r="J91">
        <f t="shared" si="5"/>
        <v>146</v>
      </c>
      <c r="K91" s="1">
        <v>146</v>
      </c>
      <c r="L91" s="3">
        <v>0.42465753424657532</v>
      </c>
      <c r="M91" s="3">
        <v>1.3698630136986301E-2</v>
      </c>
      <c r="N91" s="3">
        <v>0.56164383561643838</v>
      </c>
    </row>
    <row r="92" spans="1:14" hidden="1" x14ac:dyDescent="0.2">
      <c r="A92" t="s">
        <v>17</v>
      </c>
      <c r="B92" t="s">
        <v>73</v>
      </c>
      <c r="C92">
        <v>230</v>
      </c>
      <c r="D92">
        <v>2</v>
      </c>
      <c r="E92">
        <v>5</v>
      </c>
      <c r="F92">
        <v>457</v>
      </c>
      <c r="G92">
        <v>1</v>
      </c>
      <c r="H92">
        <v>0</v>
      </c>
      <c r="I92">
        <v>5</v>
      </c>
      <c r="J92">
        <f t="shared" si="5"/>
        <v>700</v>
      </c>
      <c r="K92" s="1">
        <v>695</v>
      </c>
      <c r="L92" s="3">
        <v>0.33093525179856115</v>
      </c>
      <c r="M92" s="3">
        <v>7.1942446043165471E-3</v>
      </c>
      <c r="N92" s="3">
        <v>0.65755395683453233</v>
      </c>
    </row>
    <row r="93" spans="1:14" s="1" customFormat="1" x14ac:dyDescent="0.2">
      <c r="A93" s="1" t="s">
        <v>17</v>
      </c>
      <c r="B93" s="1" t="s">
        <v>484</v>
      </c>
      <c r="C93" s="1">
        <f t="shared" ref="C93:J93" si="6">SUM(C20:C92)</f>
        <v>12900</v>
      </c>
      <c r="D93" s="1">
        <f t="shared" si="6"/>
        <v>180</v>
      </c>
      <c r="E93" s="1">
        <f t="shared" si="6"/>
        <v>251</v>
      </c>
      <c r="F93" s="1">
        <f t="shared" si="6"/>
        <v>22246</v>
      </c>
      <c r="G93" s="1">
        <f t="shared" si="6"/>
        <v>62</v>
      </c>
      <c r="H93" s="1">
        <f t="shared" si="6"/>
        <v>14</v>
      </c>
      <c r="I93" s="1">
        <f t="shared" si="6"/>
        <v>595</v>
      </c>
      <c r="J93" s="1">
        <f t="shared" si="6"/>
        <v>36248</v>
      </c>
      <c r="K93" s="1">
        <v>35653</v>
      </c>
      <c r="L93" s="3">
        <v>0.36182088463803885</v>
      </c>
      <c r="M93" s="3">
        <v>7.0400807786161054E-3</v>
      </c>
      <c r="N93" s="3">
        <v>0.62395871315176843</v>
      </c>
    </row>
    <row r="94" spans="1:14" hidden="1" x14ac:dyDescent="0.2">
      <c r="K94" s="1">
        <v>0</v>
      </c>
      <c r="L94" s="3" t="e">
        <v>#DIV/0!</v>
      </c>
      <c r="M94" s="3" t="e">
        <v>#DIV/0!</v>
      </c>
      <c r="N94" s="3" t="e">
        <v>#DIV/0!</v>
      </c>
    </row>
    <row r="95" spans="1:14" hidden="1" x14ac:dyDescent="0.2">
      <c r="A95" t="s">
        <v>74</v>
      </c>
      <c r="B95" t="s">
        <v>75</v>
      </c>
      <c r="C95">
        <v>344</v>
      </c>
      <c r="D95">
        <v>6</v>
      </c>
      <c r="E95">
        <v>4</v>
      </c>
      <c r="F95">
        <v>702</v>
      </c>
      <c r="G95">
        <v>4</v>
      </c>
      <c r="H95">
        <v>3</v>
      </c>
      <c r="I95">
        <v>3</v>
      </c>
      <c r="J95">
        <f t="shared" ref="J95:J122" si="7">SUM(C95:I95)</f>
        <v>1066</v>
      </c>
      <c r="K95" s="1">
        <v>1063</v>
      </c>
      <c r="L95" s="3">
        <v>0.32361241768579491</v>
      </c>
      <c r="M95" s="3">
        <v>3.7629350893697085E-3</v>
      </c>
      <c r="N95" s="3">
        <v>0.66039510818438385</v>
      </c>
    </row>
    <row r="96" spans="1:14" hidden="1" x14ac:dyDescent="0.2">
      <c r="A96" t="s">
        <v>74</v>
      </c>
      <c r="B96" t="s">
        <v>76</v>
      </c>
      <c r="C96">
        <v>1779</v>
      </c>
      <c r="D96">
        <v>20</v>
      </c>
      <c r="E96">
        <v>25</v>
      </c>
      <c r="F96">
        <v>1731</v>
      </c>
      <c r="G96">
        <v>12</v>
      </c>
      <c r="H96">
        <v>2</v>
      </c>
      <c r="I96">
        <v>49</v>
      </c>
      <c r="J96">
        <f t="shared" si="7"/>
        <v>3618</v>
      </c>
      <c r="K96" s="1">
        <v>3569</v>
      </c>
      <c r="L96" s="3">
        <v>0.49845895208741947</v>
      </c>
      <c r="M96" s="3">
        <v>7.0047632390025216E-3</v>
      </c>
      <c r="N96" s="3">
        <v>0.4850098066685346</v>
      </c>
    </row>
    <row r="97" spans="1:14" hidden="1" x14ac:dyDescent="0.2">
      <c r="A97" t="s">
        <v>74</v>
      </c>
      <c r="B97" t="s">
        <v>77</v>
      </c>
      <c r="C97">
        <v>10299</v>
      </c>
      <c r="D97">
        <v>96</v>
      </c>
      <c r="E97">
        <v>206</v>
      </c>
      <c r="F97">
        <v>3746</v>
      </c>
      <c r="G97">
        <v>82</v>
      </c>
      <c r="H97">
        <v>21</v>
      </c>
      <c r="I97">
        <v>191</v>
      </c>
      <c r="J97">
        <f t="shared" si="7"/>
        <v>14641</v>
      </c>
      <c r="K97" s="1">
        <v>14450</v>
      </c>
      <c r="L97" s="3">
        <v>0.7127335640138408</v>
      </c>
      <c r="M97" s="3">
        <v>1.42560553633218E-2</v>
      </c>
      <c r="N97" s="3">
        <v>0.2592387543252595</v>
      </c>
    </row>
    <row r="98" spans="1:14" hidden="1" x14ac:dyDescent="0.2">
      <c r="A98" t="s">
        <v>74</v>
      </c>
      <c r="B98" t="s">
        <v>78</v>
      </c>
      <c r="C98">
        <v>5289</v>
      </c>
      <c r="D98">
        <v>43</v>
      </c>
      <c r="E98">
        <v>58</v>
      </c>
      <c r="F98">
        <v>1395</v>
      </c>
      <c r="G98">
        <v>25</v>
      </c>
      <c r="H98">
        <v>3</v>
      </c>
      <c r="I98">
        <v>120</v>
      </c>
      <c r="J98">
        <f t="shared" si="7"/>
        <v>6933</v>
      </c>
      <c r="K98" s="1">
        <v>6813</v>
      </c>
      <c r="L98" s="3">
        <v>0.77630999559665348</v>
      </c>
      <c r="M98" s="3">
        <v>8.5131366505210634E-3</v>
      </c>
      <c r="N98" s="3">
        <v>0.2047556142668428</v>
      </c>
    </row>
    <row r="99" spans="1:14" hidden="1" x14ac:dyDescent="0.2">
      <c r="A99" t="s">
        <v>74</v>
      </c>
      <c r="B99" t="s">
        <v>79</v>
      </c>
      <c r="C99">
        <v>1058</v>
      </c>
      <c r="D99">
        <v>14</v>
      </c>
      <c r="E99">
        <v>22</v>
      </c>
      <c r="F99">
        <v>1209</v>
      </c>
      <c r="G99">
        <v>1</v>
      </c>
      <c r="H99">
        <v>1</v>
      </c>
      <c r="I99">
        <v>24</v>
      </c>
      <c r="J99">
        <f t="shared" si="7"/>
        <v>2329</v>
      </c>
      <c r="K99" s="1">
        <v>2305</v>
      </c>
      <c r="L99" s="3">
        <v>0.45900216919739695</v>
      </c>
      <c r="M99" s="3">
        <v>9.5444685466377441E-3</v>
      </c>
      <c r="N99" s="3">
        <v>0.52451193058568335</v>
      </c>
    </row>
    <row r="100" spans="1:14" hidden="1" x14ac:dyDescent="0.2">
      <c r="A100" t="s">
        <v>74</v>
      </c>
      <c r="B100" t="s">
        <v>80</v>
      </c>
      <c r="C100">
        <v>254</v>
      </c>
      <c r="D100">
        <v>3</v>
      </c>
      <c r="E100">
        <v>5</v>
      </c>
      <c r="F100">
        <v>53</v>
      </c>
      <c r="G100">
        <v>0</v>
      </c>
      <c r="H100">
        <v>0</v>
      </c>
      <c r="I100">
        <v>8</v>
      </c>
      <c r="J100">
        <f t="shared" si="7"/>
        <v>323</v>
      </c>
      <c r="K100" s="1">
        <v>315</v>
      </c>
      <c r="L100" s="3">
        <v>0.80634920634920637</v>
      </c>
      <c r="M100" s="3">
        <v>1.5873015873015872E-2</v>
      </c>
      <c r="N100" s="3">
        <v>0.16825396825396827</v>
      </c>
    </row>
    <row r="101" spans="1:14" hidden="1" x14ac:dyDescent="0.2">
      <c r="A101" t="s">
        <v>74</v>
      </c>
      <c r="B101" t="s">
        <v>81</v>
      </c>
      <c r="C101">
        <v>4232</v>
      </c>
      <c r="D101">
        <v>55</v>
      </c>
      <c r="E101">
        <v>48</v>
      </c>
      <c r="F101">
        <v>1672</v>
      </c>
      <c r="G101">
        <v>11</v>
      </c>
      <c r="H101">
        <v>4</v>
      </c>
      <c r="I101">
        <v>108</v>
      </c>
      <c r="J101">
        <f t="shared" si="7"/>
        <v>6130</v>
      </c>
      <c r="K101" s="1">
        <v>6022</v>
      </c>
      <c r="L101" s="3">
        <v>0.70275655928263037</v>
      </c>
      <c r="M101" s="3">
        <v>7.9707738292925934E-3</v>
      </c>
      <c r="N101" s="3">
        <v>0.2776486217203587</v>
      </c>
    </row>
    <row r="102" spans="1:14" hidden="1" x14ac:dyDescent="0.2">
      <c r="A102" t="s">
        <v>74</v>
      </c>
      <c r="B102" t="s">
        <v>82</v>
      </c>
      <c r="C102">
        <v>6205</v>
      </c>
      <c r="D102">
        <v>70</v>
      </c>
      <c r="E102">
        <v>78</v>
      </c>
      <c r="F102">
        <v>2520</v>
      </c>
      <c r="G102">
        <v>14</v>
      </c>
      <c r="H102">
        <v>8</v>
      </c>
      <c r="I102">
        <v>149</v>
      </c>
      <c r="J102">
        <f t="shared" si="7"/>
        <v>9044</v>
      </c>
      <c r="K102" s="1">
        <v>8895</v>
      </c>
      <c r="L102" s="3">
        <v>0.69758291174817311</v>
      </c>
      <c r="M102" s="3">
        <v>8.7689713322091061E-3</v>
      </c>
      <c r="N102" s="3">
        <v>0.28330522765598654</v>
      </c>
    </row>
    <row r="103" spans="1:14" hidden="1" x14ac:dyDescent="0.2">
      <c r="A103" t="s">
        <v>74</v>
      </c>
      <c r="B103" t="s">
        <v>83</v>
      </c>
      <c r="C103">
        <v>4330</v>
      </c>
      <c r="D103">
        <v>38</v>
      </c>
      <c r="E103">
        <v>79</v>
      </c>
      <c r="F103">
        <v>1718</v>
      </c>
      <c r="G103">
        <v>25</v>
      </c>
      <c r="H103">
        <v>0</v>
      </c>
      <c r="I103">
        <v>93</v>
      </c>
      <c r="J103">
        <f t="shared" si="7"/>
        <v>6283</v>
      </c>
      <c r="K103" s="1">
        <v>6190</v>
      </c>
      <c r="L103" s="3">
        <v>0.69951534733441034</v>
      </c>
      <c r="M103" s="3">
        <v>1.2762520193861066E-2</v>
      </c>
      <c r="N103" s="3">
        <v>0.27754442649434574</v>
      </c>
    </row>
    <row r="104" spans="1:14" hidden="1" x14ac:dyDescent="0.2">
      <c r="A104" t="s">
        <v>74</v>
      </c>
      <c r="B104" t="s">
        <v>84</v>
      </c>
      <c r="C104">
        <v>28</v>
      </c>
      <c r="D104">
        <v>0</v>
      </c>
      <c r="E104">
        <v>0</v>
      </c>
      <c r="F104">
        <v>21</v>
      </c>
      <c r="G104">
        <v>0</v>
      </c>
      <c r="H104">
        <v>0</v>
      </c>
      <c r="I104">
        <v>0</v>
      </c>
      <c r="J104">
        <f t="shared" si="7"/>
        <v>49</v>
      </c>
      <c r="K104" s="1">
        <v>49</v>
      </c>
      <c r="L104" s="3">
        <v>0.5714285714285714</v>
      </c>
      <c r="M104" s="3">
        <v>0</v>
      </c>
      <c r="N104" s="3">
        <v>0.42857142857142855</v>
      </c>
    </row>
    <row r="105" spans="1:14" hidden="1" x14ac:dyDescent="0.2">
      <c r="A105" t="s">
        <v>74</v>
      </c>
      <c r="B105" t="s">
        <v>85</v>
      </c>
      <c r="C105">
        <v>6723</v>
      </c>
      <c r="D105">
        <v>84</v>
      </c>
      <c r="E105">
        <v>126</v>
      </c>
      <c r="F105">
        <v>4427</v>
      </c>
      <c r="G105">
        <v>26</v>
      </c>
      <c r="H105">
        <v>5</v>
      </c>
      <c r="I105">
        <v>169</v>
      </c>
      <c r="J105">
        <f t="shared" si="7"/>
        <v>11560</v>
      </c>
      <c r="K105" s="1">
        <v>11391</v>
      </c>
      <c r="L105" s="3">
        <v>0.59020279167764023</v>
      </c>
      <c r="M105" s="3">
        <v>1.1061364234922308E-2</v>
      </c>
      <c r="N105" s="3">
        <v>0.38864015450794487</v>
      </c>
    </row>
    <row r="106" spans="1:14" hidden="1" x14ac:dyDescent="0.2">
      <c r="A106" t="s">
        <v>74</v>
      </c>
      <c r="B106" t="s">
        <v>86</v>
      </c>
      <c r="C106">
        <v>2743</v>
      </c>
      <c r="D106">
        <v>45</v>
      </c>
      <c r="E106">
        <v>69</v>
      </c>
      <c r="F106">
        <v>2704</v>
      </c>
      <c r="G106">
        <v>13</v>
      </c>
      <c r="H106">
        <v>0</v>
      </c>
      <c r="I106">
        <v>76</v>
      </c>
      <c r="J106">
        <f t="shared" si="7"/>
        <v>5650</v>
      </c>
      <c r="K106" s="1">
        <v>5574</v>
      </c>
      <c r="L106" s="3">
        <v>0.49210620739146033</v>
      </c>
      <c r="M106" s="3">
        <v>1.2378902045209902E-2</v>
      </c>
      <c r="N106" s="3">
        <v>0.48510943667025475</v>
      </c>
    </row>
    <row r="107" spans="1:14" hidden="1" x14ac:dyDescent="0.2">
      <c r="A107" t="s">
        <v>74</v>
      </c>
      <c r="B107" t="s">
        <v>87</v>
      </c>
      <c r="C107">
        <v>2351</v>
      </c>
      <c r="D107">
        <v>13</v>
      </c>
      <c r="E107">
        <v>29</v>
      </c>
      <c r="F107">
        <v>1458</v>
      </c>
      <c r="G107">
        <v>4</v>
      </c>
      <c r="H107">
        <v>4</v>
      </c>
      <c r="I107">
        <v>62</v>
      </c>
      <c r="J107">
        <f t="shared" si="7"/>
        <v>3921</v>
      </c>
      <c r="K107" s="1">
        <v>3859</v>
      </c>
      <c r="L107" s="3">
        <v>0.60922518787250579</v>
      </c>
      <c r="M107" s="3">
        <v>7.514900233221042E-3</v>
      </c>
      <c r="N107" s="3">
        <v>0.37781808758745788</v>
      </c>
    </row>
    <row r="108" spans="1:14" hidden="1" x14ac:dyDescent="0.2">
      <c r="A108" t="s">
        <v>74</v>
      </c>
      <c r="B108" t="s">
        <v>88</v>
      </c>
      <c r="C108">
        <v>778</v>
      </c>
      <c r="D108">
        <v>14</v>
      </c>
      <c r="E108">
        <v>12</v>
      </c>
      <c r="F108">
        <v>873</v>
      </c>
      <c r="G108">
        <v>3</v>
      </c>
      <c r="H108">
        <v>2</v>
      </c>
      <c r="I108">
        <v>21</v>
      </c>
      <c r="J108">
        <f t="shared" si="7"/>
        <v>1703</v>
      </c>
      <c r="K108" s="1">
        <v>1682</v>
      </c>
      <c r="L108" s="3">
        <v>0.46254458977407847</v>
      </c>
      <c r="M108" s="3">
        <v>7.1343638525564806E-3</v>
      </c>
      <c r="N108" s="3">
        <v>0.51902497027348393</v>
      </c>
    </row>
    <row r="109" spans="1:14" hidden="1" x14ac:dyDescent="0.2">
      <c r="A109" t="s">
        <v>74</v>
      </c>
      <c r="B109" t="s">
        <v>89</v>
      </c>
      <c r="C109">
        <v>138</v>
      </c>
      <c r="D109">
        <v>0</v>
      </c>
      <c r="E109">
        <v>4</v>
      </c>
      <c r="F109">
        <v>58</v>
      </c>
      <c r="G109">
        <v>0</v>
      </c>
      <c r="H109">
        <v>0</v>
      </c>
      <c r="I109">
        <v>2</v>
      </c>
      <c r="J109">
        <f t="shared" si="7"/>
        <v>202</v>
      </c>
      <c r="K109" s="1">
        <v>200</v>
      </c>
      <c r="L109" s="3">
        <v>0.69</v>
      </c>
      <c r="M109" s="3">
        <v>0.02</v>
      </c>
      <c r="N109" s="3">
        <v>0.28999999999999998</v>
      </c>
    </row>
    <row r="110" spans="1:14" hidden="1" x14ac:dyDescent="0.2">
      <c r="A110" t="s">
        <v>74</v>
      </c>
      <c r="B110" t="s">
        <v>90</v>
      </c>
      <c r="C110">
        <v>1031</v>
      </c>
      <c r="D110">
        <v>15</v>
      </c>
      <c r="E110">
        <v>18</v>
      </c>
      <c r="F110">
        <v>1479</v>
      </c>
      <c r="G110">
        <v>5</v>
      </c>
      <c r="H110">
        <v>3</v>
      </c>
      <c r="I110">
        <v>41</v>
      </c>
      <c r="J110">
        <f t="shared" si="7"/>
        <v>2592</v>
      </c>
      <c r="K110" s="1">
        <v>2551</v>
      </c>
      <c r="L110" s="3">
        <v>0.40415523324186592</v>
      </c>
      <c r="M110" s="3">
        <v>7.0560564484515873E-3</v>
      </c>
      <c r="N110" s="3">
        <v>0.57977263818110547</v>
      </c>
    </row>
    <row r="111" spans="1:14" hidden="1" x14ac:dyDescent="0.2">
      <c r="A111" t="s">
        <v>74</v>
      </c>
      <c r="B111" t="s">
        <v>91</v>
      </c>
      <c r="C111">
        <v>1741</v>
      </c>
      <c r="D111">
        <v>31</v>
      </c>
      <c r="E111">
        <v>35</v>
      </c>
      <c r="F111">
        <v>1932</v>
      </c>
      <c r="G111">
        <v>11</v>
      </c>
      <c r="H111">
        <v>0</v>
      </c>
      <c r="I111">
        <v>49</v>
      </c>
      <c r="J111">
        <f t="shared" si="7"/>
        <v>3799</v>
      </c>
      <c r="K111" s="1">
        <v>3750</v>
      </c>
      <c r="L111" s="3">
        <v>0.46426666666666666</v>
      </c>
      <c r="M111" s="3">
        <v>9.3333333333333341E-3</v>
      </c>
      <c r="N111" s="3">
        <v>0.51519999999999999</v>
      </c>
    </row>
    <row r="112" spans="1:14" hidden="1" x14ac:dyDescent="0.2">
      <c r="A112" t="s">
        <v>74</v>
      </c>
      <c r="B112" t="s">
        <v>92</v>
      </c>
      <c r="C112">
        <v>1946</v>
      </c>
      <c r="D112">
        <v>25</v>
      </c>
      <c r="E112">
        <v>34</v>
      </c>
      <c r="F112">
        <v>1034</v>
      </c>
      <c r="G112">
        <v>5</v>
      </c>
      <c r="H112">
        <v>1</v>
      </c>
      <c r="I112">
        <v>48</v>
      </c>
      <c r="J112">
        <f t="shared" si="7"/>
        <v>3093</v>
      </c>
      <c r="K112" s="1">
        <v>3045</v>
      </c>
      <c r="L112" s="3">
        <v>0.63908045977011496</v>
      </c>
      <c r="M112" s="3">
        <v>1.116584564860427E-2</v>
      </c>
      <c r="N112" s="3">
        <v>0.33957307060755337</v>
      </c>
    </row>
    <row r="113" spans="1:14" hidden="1" x14ac:dyDescent="0.2">
      <c r="A113" t="s">
        <v>74</v>
      </c>
      <c r="B113" t="s">
        <v>93</v>
      </c>
      <c r="C113">
        <v>31668</v>
      </c>
      <c r="D113">
        <v>197</v>
      </c>
      <c r="E113">
        <v>790</v>
      </c>
      <c r="F113">
        <v>6130</v>
      </c>
      <c r="G113">
        <v>426</v>
      </c>
      <c r="H113">
        <v>125</v>
      </c>
      <c r="I113">
        <v>498</v>
      </c>
      <c r="J113">
        <f t="shared" si="7"/>
        <v>39834</v>
      </c>
      <c r="K113" s="1">
        <v>39336</v>
      </c>
      <c r="L113" s="3">
        <v>0.80506406345332515</v>
      </c>
      <c r="M113" s="3">
        <v>2.008338417734391E-2</v>
      </c>
      <c r="N113" s="3">
        <v>0.15583689241407361</v>
      </c>
    </row>
    <row r="114" spans="1:14" hidden="1" x14ac:dyDescent="0.2">
      <c r="A114" t="s">
        <v>74</v>
      </c>
      <c r="B114" t="s">
        <v>94</v>
      </c>
      <c r="C114">
        <v>737</v>
      </c>
      <c r="D114">
        <v>7</v>
      </c>
      <c r="E114">
        <v>10</v>
      </c>
      <c r="F114">
        <v>500</v>
      </c>
      <c r="G114">
        <v>2</v>
      </c>
      <c r="H114">
        <v>1</v>
      </c>
      <c r="I114">
        <v>9</v>
      </c>
      <c r="J114">
        <f t="shared" si="7"/>
        <v>1266</v>
      </c>
      <c r="K114" s="1">
        <v>1257</v>
      </c>
      <c r="L114" s="3">
        <v>0.58631662688941921</v>
      </c>
      <c r="M114" s="3">
        <v>7.955449482895784E-3</v>
      </c>
      <c r="N114" s="3">
        <v>0.39777247414478917</v>
      </c>
    </row>
    <row r="115" spans="1:14" hidden="1" x14ac:dyDescent="0.2">
      <c r="A115" t="s">
        <v>74</v>
      </c>
      <c r="B115" t="s">
        <v>95</v>
      </c>
      <c r="C115">
        <v>1636</v>
      </c>
      <c r="D115">
        <v>30</v>
      </c>
      <c r="E115">
        <v>22</v>
      </c>
      <c r="F115">
        <v>1549</v>
      </c>
      <c r="G115">
        <v>2</v>
      </c>
      <c r="H115">
        <v>0</v>
      </c>
      <c r="I115">
        <v>38</v>
      </c>
      <c r="J115">
        <f t="shared" si="7"/>
        <v>3277</v>
      </c>
      <c r="K115" s="1">
        <v>3239</v>
      </c>
      <c r="L115" s="3">
        <v>0.50509416486569925</v>
      </c>
      <c r="M115" s="3">
        <v>6.7922198209323867E-3</v>
      </c>
      <c r="N115" s="3">
        <v>0.47823402284655758</v>
      </c>
    </row>
    <row r="116" spans="1:14" hidden="1" x14ac:dyDescent="0.2">
      <c r="A116" t="s">
        <v>74</v>
      </c>
      <c r="B116" t="s">
        <v>96</v>
      </c>
      <c r="C116">
        <v>9961</v>
      </c>
      <c r="D116">
        <v>112</v>
      </c>
      <c r="E116">
        <v>118</v>
      </c>
      <c r="F116">
        <v>5117</v>
      </c>
      <c r="G116">
        <v>31</v>
      </c>
      <c r="H116">
        <v>0</v>
      </c>
      <c r="I116">
        <v>284</v>
      </c>
      <c r="J116">
        <f t="shared" si="7"/>
        <v>15623</v>
      </c>
      <c r="K116" s="1">
        <v>15339</v>
      </c>
      <c r="L116" s="3">
        <v>0.64939044266249435</v>
      </c>
      <c r="M116" s="3">
        <v>7.6928091792163762E-3</v>
      </c>
      <c r="N116" s="3">
        <v>0.33359410652584914</v>
      </c>
    </row>
    <row r="117" spans="1:14" hidden="1" x14ac:dyDescent="0.2">
      <c r="A117" t="s">
        <v>74</v>
      </c>
      <c r="B117" t="s">
        <v>97</v>
      </c>
      <c r="C117">
        <v>516</v>
      </c>
      <c r="D117">
        <v>5</v>
      </c>
      <c r="E117">
        <v>11</v>
      </c>
      <c r="F117">
        <v>767</v>
      </c>
      <c r="G117">
        <v>6</v>
      </c>
      <c r="H117">
        <v>0</v>
      </c>
      <c r="I117">
        <v>16</v>
      </c>
      <c r="J117">
        <f t="shared" si="7"/>
        <v>1321</v>
      </c>
      <c r="K117" s="1">
        <v>1305</v>
      </c>
      <c r="L117" s="3">
        <v>0.39540229885057471</v>
      </c>
      <c r="M117" s="3">
        <v>8.4291187739463595E-3</v>
      </c>
      <c r="N117" s="3">
        <v>0.58773946360153262</v>
      </c>
    </row>
    <row r="118" spans="1:14" hidden="1" x14ac:dyDescent="0.2">
      <c r="A118" t="s">
        <v>74</v>
      </c>
      <c r="B118" t="s">
        <v>98</v>
      </c>
      <c r="C118">
        <v>11777</v>
      </c>
      <c r="D118">
        <v>99</v>
      </c>
      <c r="E118">
        <v>238</v>
      </c>
      <c r="F118">
        <v>3626</v>
      </c>
      <c r="G118">
        <v>79</v>
      </c>
      <c r="H118">
        <v>12</v>
      </c>
      <c r="I118">
        <v>180</v>
      </c>
      <c r="J118">
        <f t="shared" si="7"/>
        <v>16011</v>
      </c>
      <c r="K118" s="1">
        <v>15831</v>
      </c>
      <c r="L118" s="3">
        <v>0.74392015665466493</v>
      </c>
      <c r="M118" s="3">
        <v>1.5033794453919525E-2</v>
      </c>
      <c r="N118" s="3">
        <v>0.22904428020971512</v>
      </c>
    </row>
    <row r="119" spans="1:14" hidden="1" x14ac:dyDescent="0.2">
      <c r="A119" t="s">
        <v>74</v>
      </c>
      <c r="B119" t="s">
        <v>99</v>
      </c>
      <c r="C119">
        <v>2872</v>
      </c>
      <c r="D119">
        <v>32</v>
      </c>
      <c r="E119">
        <v>53</v>
      </c>
      <c r="F119">
        <v>3310</v>
      </c>
      <c r="G119">
        <v>7</v>
      </c>
      <c r="H119">
        <v>5</v>
      </c>
      <c r="I119">
        <v>76</v>
      </c>
      <c r="J119">
        <f t="shared" si="7"/>
        <v>6355</v>
      </c>
      <c r="K119" s="1">
        <v>6279</v>
      </c>
      <c r="L119" s="3">
        <v>0.45739767478897914</v>
      </c>
      <c r="M119" s="3">
        <v>8.4408345277910499E-3</v>
      </c>
      <c r="N119" s="3">
        <v>0.527154005414875</v>
      </c>
    </row>
    <row r="120" spans="1:14" hidden="1" x14ac:dyDescent="0.2">
      <c r="A120" t="s">
        <v>74</v>
      </c>
      <c r="B120" t="s">
        <v>100</v>
      </c>
      <c r="C120">
        <v>6941</v>
      </c>
      <c r="D120">
        <v>68</v>
      </c>
      <c r="E120">
        <v>130</v>
      </c>
      <c r="F120">
        <v>3481</v>
      </c>
      <c r="G120">
        <v>52</v>
      </c>
      <c r="H120">
        <v>10</v>
      </c>
      <c r="I120">
        <v>132</v>
      </c>
      <c r="J120">
        <f t="shared" si="7"/>
        <v>10814</v>
      </c>
      <c r="K120" s="1">
        <v>10682</v>
      </c>
      <c r="L120" s="3">
        <v>0.64978468451600824</v>
      </c>
      <c r="M120" s="3">
        <v>1.217000561692567E-2</v>
      </c>
      <c r="N120" s="3">
        <v>0.32587530425014044</v>
      </c>
    </row>
    <row r="121" spans="1:14" hidden="1" x14ac:dyDescent="0.2">
      <c r="A121" t="s">
        <v>74</v>
      </c>
      <c r="B121" t="s">
        <v>101</v>
      </c>
      <c r="C121">
        <v>5847</v>
      </c>
      <c r="D121">
        <v>78</v>
      </c>
      <c r="E121">
        <v>93</v>
      </c>
      <c r="F121">
        <v>5399</v>
      </c>
      <c r="G121">
        <v>25</v>
      </c>
      <c r="H121">
        <v>7</v>
      </c>
      <c r="I121">
        <v>146</v>
      </c>
      <c r="J121">
        <f t="shared" si="7"/>
        <v>11595</v>
      </c>
      <c r="K121" s="1">
        <v>11449</v>
      </c>
      <c r="L121" s="3">
        <v>0.51069962442134686</v>
      </c>
      <c r="M121" s="3">
        <v>8.1229801729408684E-3</v>
      </c>
      <c r="N121" s="3">
        <v>0.47156956939470696</v>
      </c>
    </row>
    <row r="122" spans="1:14" hidden="1" x14ac:dyDescent="0.2">
      <c r="A122" t="s">
        <v>74</v>
      </c>
      <c r="B122" t="s">
        <v>102</v>
      </c>
      <c r="C122">
        <v>4747</v>
      </c>
      <c r="D122">
        <v>44</v>
      </c>
      <c r="E122">
        <v>53</v>
      </c>
      <c r="F122">
        <v>1353</v>
      </c>
      <c r="G122">
        <v>19</v>
      </c>
      <c r="H122">
        <v>0</v>
      </c>
      <c r="I122">
        <v>83</v>
      </c>
      <c r="J122">
        <f t="shared" si="7"/>
        <v>6299</v>
      </c>
      <c r="K122" s="1">
        <v>6216</v>
      </c>
      <c r="L122" s="3">
        <v>0.76367438867438864</v>
      </c>
      <c r="M122" s="3">
        <v>8.5263835263835255E-3</v>
      </c>
      <c r="N122" s="3">
        <v>0.21766409266409267</v>
      </c>
    </row>
    <row r="123" spans="1:14" s="1" customFormat="1" x14ac:dyDescent="0.2">
      <c r="A123" s="1" t="s">
        <v>74</v>
      </c>
      <c r="B123" s="1" t="s">
        <v>485</v>
      </c>
      <c r="C123" s="1">
        <f t="shared" ref="C123:J123" si="8">SUM(C95:C122)</f>
        <v>127971</v>
      </c>
      <c r="D123" s="1">
        <f t="shared" si="8"/>
        <v>1244</v>
      </c>
      <c r="E123" s="1">
        <f t="shared" si="8"/>
        <v>2370</v>
      </c>
      <c r="F123" s="1">
        <f t="shared" si="8"/>
        <v>59964</v>
      </c>
      <c r="G123" s="1">
        <f t="shared" si="8"/>
        <v>890</v>
      </c>
      <c r="H123" s="1">
        <f t="shared" si="8"/>
        <v>217</v>
      </c>
      <c r="I123" s="1">
        <f t="shared" si="8"/>
        <v>2675</v>
      </c>
      <c r="J123" s="1">
        <f t="shared" si="8"/>
        <v>195331</v>
      </c>
      <c r="K123" s="1">
        <v>192656</v>
      </c>
      <c r="L123" s="3">
        <v>0.66424611743210693</v>
      </c>
      <c r="M123" s="3">
        <v>1.2301719126318411E-2</v>
      </c>
      <c r="N123" s="3">
        <v>0.31124906569221827</v>
      </c>
    </row>
    <row r="124" spans="1:14" hidden="1" x14ac:dyDescent="0.2">
      <c r="K124" s="1">
        <v>0</v>
      </c>
      <c r="L124" s="3" t="e">
        <v>#DIV/0!</v>
      </c>
      <c r="M124" s="3" t="e">
        <v>#DIV/0!</v>
      </c>
      <c r="N124" s="3" t="e">
        <v>#DIV/0!</v>
      </c>
    </row>
    <row r="125" spans="1:14" hidden="1" x14ac:dyDescent="0.2">
      <c r="A125" t="s">
        <v>103</v>
      </c>
      <c r="B125" t="s">
        <v>104</v>
      </c>
      <c r="C125">
        <v>77</v>
      </c>
      <c r="D125">
        <v>0</v>
      </c>
      <c r="E125">
        <v>0</v>
      </c>
      <c r="F125">
        <v>209</v>
      </c>
      <c r="G125">
        <v>1</v>
      </c>
      <c r="H125">
        <v>1</v>
      </c>
      <c r="I125">
        <v>1</v>
      </c>
      <c r="J125">
        <f t="shared" ref="J125:J146" si="9">SUM(C125:I125)</f>
        <v>289</v>
      </c>
      <c r="K125" s="1">
        <v>288</v>
      </c>
      <c r="L125" s="3">
        <v>0.2673611111111111</v>
      </c>
      <c r="M125" s="3">
        <v>0</v>
      </c>
      <c r="N125" s="3">
        <v>0.72569444444444442</v>
      </c>
    </row>
    <row r="126" spans="1:14" hidden="1" x14ac:dyDescent="0.2">
      <c r="A126" t="s">
        <v>103</v>
      </c>
      <c r="B126" t="s">
        <v>105</v>
      </c>
      <c r="C126">
        <v>369</v>
      </c>
      <c r="D126">
        <v>7</v>
      </c>
      <c r="E126">
        <v>2</v>
      </c>
      <c r="F126">
        <v>166</v>
      </c>
      <c r="G126">
        <v>1</v>
      </c>
      <c r="H126">
        <v>0</v>
      </c>
      <c r="I126">
        <v>8</v>
      </c>
      <c r="J126">
        <f t="shared" si="9"/>
        <v>553</v>
      </c>
      <c r="K126" s="1">
        <v>545</v>
      </c>
      <c r="L126" s="3">
        <v>0.67706422018348622</v>
      </c>
      <c r="M126" s="3">
        <v>3.669724770642202E-3</v>
      </c>
      <c r="N126" s="3">
        <v>0.30458715596330277</v>
      </c>
    </row>
    <row r="127" spans="1:14" hidden="1" x14ac:dyDescent="0.2">
      <c r="A127" t="s">
        <v>103</v>
      </c>
      <c r="B127" t="s">
        <v>106</v>
      </c>
      <c r="C127">
        <v>92</v>
      </c>
      <c r="D127">
        <v>2</v>
      </c>
      <c r="E127">
        <v>5</v>
      </c>
      <c r="F127">
        <v>235</v>
      </c>
      <c r="G127">
        <v>0</v>
      </c>
      <c r="H127">
        <v>0</v>
      </c>
      <c r="I127">
        <v>4</v>
      </c>
      <c r="J127">
        <f t="shared" si="9"/>
        <v>338</v>
      </c>
      <c r="K127" s="1">
        <v>334</v>
      </c>
      <c r="L127" s="3">
        <v>0.27544910179640719</v>
      </c>
      <c r="M127" s="3">
        <v>1.4970059880239521E-2</v>
      </c>
      <c r="N127" s="3">
        <v>0.70359281437125754</v>
      </c>
    </row>
    <row r="128" spans="1:14" hidden="1" x14ac:dyDescent="0.2">
      <c r="A128" t="s">
        <v>103</v>
      </c>
      <c r="B128" t="s">
        <v>107</v>
      </c>
      <c r="C128">
        <v>303</v>
      </c>
      <c r="D128">
        <v>6</v>
      </c>
      <c r="E128">
        <v>6</v>
      </c>
      <c r="F128">
        <v>520</v>
      </c>
      <c r="G128">
        <v>1</v>
      </c>
      <c r="H128">
        <v>0</v>
      </c>
      <c r="I128">
        <v>10</v>
      </c>
      <c r="J128">
        <f t="shared" si="9"/>
        <v>846</v>
      </c>
      <c r="K128" s="1">
        <v>836</v>
      </c>
      <c r="L128" s="3">
        <v>0.36244019138755978</v>
      </c>
      <c r="M128" s="3">
        <v>7.1770334928229667E-3</v>
      </c>
      <c r="N128" s="3">
        <v>0.62200956937799046</v>
      </c>
    </row>
    <row r="129" spans="1:14" hidden="1" x14ac:dyDescent="0.2">
      <c r="A129" t="s">
        <v>103</v>
      </c>
      <c r="B129" t="s">
        <v>108</v>
      </c>
      <c r="C129">
        <v>71</v>
      </c>
      <c r="D129">
        <v>2</v>
      </c>
      <c r="E129">
        <v>0</v>
      </c>
      <c r="F129">
        <v>40</v>
      </c>
      <c r="G129">
        <v>2</v>
      </c>
      <c r="H129">
        <v>1</v>
      </c>
      <c r="I129">
        <v>0</v>
      </c>
      <c r="J129">
        <f t="shared" si="9"/>
        <v>116</v>
      </c>
      <c r="K129" s="1">
        <v>116</v>
      </c>
      <c r="L129" s="3">
        <v>0.61206896551724133</v>
      </c>
      <c r="M129" s="3">
        <v>0</v>
      </c>
      <c r="N129" s="3">
        <v>0.34482758620689657</v>
      </c>
    </row>
    <row r="130" spans="1:14" hidden="1" x14ac:dyDescent="0.2">
      <c r="A130" t="s">
        <v>103</v>
      </c>
      <c r="B130" t="s">
        <v>109</v>
      </c>
      <c r="C130">
        <v>104</v>
      </c>
      <c r="D130">
        <v>3</v>
      </c>
      <c r="E130">
        <v>3</v>
      </c>
      <c r="F130">
        <v>128</v>
      </c>
      <c r="G130">
        <v>1</v>
      </c>
      <c r="H130">
        <v>0</v>
      </c>
      <c r="I130">
        <v>3</v>
      </c>
      <c r="J130">
        <f t="shared" si="9"/>
        <v>242</v>
      </c>
      <c r="K130" s="1">
        <v>239</v>
      </c>
      <c r="L130" s="3">
        <v>0.43514644351464438</v>
      </c>
      <c r="M130" s="3">
        <v>1.2552301255230125E-2</v>
      </c>
      <c r="N130" s="3">
        <v>0.53556485355648531</v>
      </c>
    </row>
    <row r="131" spans="1:14" hidden="1" x14ac:dyDescent="0.2">
      <c r="A131" t="s">
        <v>103</v>
      </c>
      <c r="B131" t="s">
        <v>516</v>
      </c>
      <c r="C131">
        <v>193</v>
      </c>
      <c r="D131">
        <v>1</v>
      </c>
      <c r="E131">
        <v>11</v>
      </c>
      <c r="F131">
        <v>309</v>
      </c>
      <c r="G131">
        <v>1</v>
      </c>
      <c r="H131">
        <v>0</v>
      </c>
      <c r="I131">
        <v>7</v>
      </c>
      <c r="J131">
        <f t="shared" si="9"/>
        <v>522</v>
      </c>
      <c r="K131" s="1">
        <v>515</v>
      </c>
      <c r="L131" s="3">
        <v>0.37475728155339805</v>
      </c>
      <c r="M131" s="3">
        <v>2.1359223300970873E-2</v>
      </c>
      <c r="N131" s="3">
        <v>0.6</v>
      </c>
    </row>
    <row r="132" spans="1:14" hidden="1" x14ac:dyDescent="0.2">
      <c r="A132" t="s">
        <v>103</v>
      </c>
      <c r="B132" t="s">
        <v>110</v>
      </c>
      <c r="C132">
        <v>2185</v>
      </c>
      <c r="D132">
        <v>26</v>
      </c>
      <c r="E132">
        <v>55</v>
      </c>
      <c r="F132">
        <v>1659</v>
      </c>
      <c r="G132">
        <v>25</v>
      </c>
      <c r="H132">
        <v>0</v>
      </c>
      <c r="I132">
        <v>70</v>
      </c>
      <c r="J132">
        <f t="shared" si="9"/>
        <v>4020</v>
      </c>
      <c r="K132" s="1">
        <v>3950</v>
      </c>
      <c r="L132" s="3">
        <v>0.55316455696202527</v>
      </c>
      <c r="M132" s="3">
        <v>1.3924050632911392E-2</v>
      </c>
      <c r="N132" s="3">
        <v>0.42</v>
      </c>
    </row>
    <row r="133" spans="1:14" hidden="1" x14ac:dyDescent="0.2">
      <c r="A133" t="s">
        <v>103</v>
      </c>
      <c r="B133" t="s">
        <v>111</v>
      </c>
      <c r="C133">
        <v>225</v>
      </c>
      <c r="D133">
        <v>0</v>
      </c>
      <c r="E133">
        <v>5</v>
      </c>
      <c r="F133">
        <v>286</v>
      </c>
      <c r="G133">
        <v>1</v>
      </c>
      <c r="H133">
        <v>0</v>
      </c>
      <c r="I133">
        <v>5</v>
      </c>
      <c r="J133">
        <f t="shared" si="9"/>
        <v>522</v>
      </c>
      <c r="K133" s="1">
        <v>517</v>
      </c>
      <c r="L133" s="3">
        <v>0.43520309477756286</v>
      </c>
      <c r="M133" s="3">
        <v>9.6711798839458421E-3</v>
      </c>
      <c r="N133" s="3">
        <v>0.55319148936170215</v>
      </c>
    </row>
    <row r="134" spans="1:14" hidden="1" x14ac:dyDescent="0.2">
      <c r="A134" t="s">
        <v>103</v>
      </c>
      <c r="B134" t="s">
        <v>112</v>
      </c>
      <c r="C134">
        <v>1152</v>
      </c>
      <c r="D134">
        <v>21</v>
      </c>
      <c r="E134">
        <v>22</v>
      </c>
      <c r="F134">
        <v>1469</v>
      </c>
      <c r="G134">
        <v>11</v>
      </c>
      <c r="H134">
        <v>0</v>
      </c>
      <c r="I134">
        <v>32</v>
      </c>
      <c r="J134">
        <f t="shared" si="9"/>
        <v>2707</v>
      </c>
      <c r="K134" s="1">
        <v>2675</v>
      </c>
      <c r="L134" s="3">
        <v>0.43065420560747664</v>
      </c>
      <c r="M134" s="3">
        <v>8.2242990654205605E-3</v>
      </c>
      <c r="N134" s="3">
        <v>0.54915887850467293</v>
      </c>
    </row>
    <row r="135" spans="1:14" hidden="1" x14ac:dyDescent="0.2">
      <c r="A135" t="s">
        <v>103</v>
      </c>
      <c r="B135" t="s">
        <v>113</v>
      </c>
      <c r="C135">
        <v>390</v>
      </c>
      <c r="D135">
        <v>8</v>
      </c>
      <c r="E135">
        <v>9</v>
      </c>
      <c r="F135">
        <v>455</v>
      </c>
      <c r="G135">
        <v>3</v>
      </c>
      <c r="H135">
        <v>0</v>
      </c>
      <c r="I135">
        <v>21</v>
      </c>
      <c r="J135">
        <f t="shared" si="9"/>
        <v>886</v>
      </c>
      <c r="K135" s="1">
        <v>865</v>
      </c>
      <c r="L135" s="3">
        <v>0.45086705202312138</v>
      </c>
      <c r="M135" s="3">
        <v>1.0404624277456647E-2</v>
      </c>
      <c r="N135" s="3">
        <v>0.52601156069364163</v>
      </c>
    </row>
    <row r="136" spans="1:14" hidden="1" x14ac:dyDescent="0.2">
      <c r="A136" t="s">
        <v>103</v>
      </c>
      <c r="B136" t="s">
        <v>114</v>
      </c>
      <c r="C136">
        <v>398</v>
      </c>
      <c r="D136">
        <v>3</v>
      </c>
      <c r="E136">
        <v>5</v>
      </c>
      <c r="F136">
        <v>577</v>
      </c>
      <c r="G136">
        <v>2</v>
      </c>
      <c r="H136">
        <v>0</v>
      </c>
      <c r="I136">
        <v>16</v>
      </c>
      <c r="J136">
        <f t="shared" si="9"/>
        <v>1001</v>
      </c>
      <c r="K136" s="1">
        <v>985</v>
      </c>
      <c r="L136" s="3">
        <v>0.40406091370558378</v>
      </c>
      <c r="M136" s="3">
        <v>5.076142131979695E-3</v>
      </c>
      <c r="N136" s="3">
        <v>0.58578680203045685</v>
      </c>
    </row>
    <row r="137" spans="1:14" hidden="1" x14ac:dyDescent="0.2">
      <c r="A137" t="s">
        <v>103</v>
      </c>
      <c r="B137" t="s">
        <v>115</v>
      </c>
      <c r="C137">
        <v>166</v>
      </c>
      <c r="D137">
        <v>0</v>
      </c>
      <c r="E137">
        <v>5</v>
      </c>
      <c r="F137">
        <v>295</v>
      </c>
      <c r="G137">
        <v>0</v>
      </c>
      <c r="H137">
        <v>0</v>
      </c>
      <c r="I137">
        <v>6</v>
      </c>
      <c r="J137">
        <f t="shared" si="9"/>
        <v>472</v>
      </c>
      <c r="K137" s="1">
        <v>466</v>
      </c>
      <c r="L137" s="3">
        <v>0.35622317596566522</v>
      </c>
      <c r="M137" s="3">
        <v>1.0729613733905579E-2</v>
      </c>
      <c r="N137" s="3">
        <v>0.63304721030042921</v>
      </c>
    </row>
    <row r="138" spans="1:14" hidden="1" x14ac:dyDescent="0.2">
      <c r="A138" t="s">
        <v>103</v>
      </c>
      <c r="B138" t="s">
        <v>517</v>
      </c>
      <c r="C138">
        <v>238</v>
      </c>
      <c r="D138">
        <v>5</v>
      </c>
      <c r="E138">
        <v>13</v>
      </c>
      <c r="F138">
        <v>421</v>
      </c>
      <c r="G138">
        <v>1</v>
      </c>
      <c r="H138">
        <v>0</v>
      </c>
      <c r="I138">
        <v>10</v>
      </c>
      <c r="J138">
        <f t="shared" si="9"/>
        <v>688</v>
      </c>
      <c r="K138" s="1">
        <v>678</v>
      </c>
      <c r="L138" s="3">
        <v>0.35103244837758113</v>
      </c>
      <c r="M138" s="3">
        <v>1.9174041297935103E-2</v>
      </c>
      <c r="N138" s="3">
        <v>0.62094395280235992</v>
      </c>
    </row>
    <row r="139" spans="1:14" hidden="1" x14ac:dyDescent="0.2">
      <c r="A139" t="s">
        <v>103</v>
      </c>
      <c r="B139" t="s">
        <v>518</v>
      </c>
      <c r="C139">
        <v>341</v>
      </c>
      <c r="D139">
        <v>8</v>
      </c>
      <c r="E139">
        <v>8</v>
      </c>
      <c r="F139">
        <v>513</v>
      </c>
      <c r="G139">
        <v>1</v>
      </c>
      <c r="H139">
        <v>0</v>
      </c>
      <c r="I139">
        <v>18</v>
      </c>
      <c r="J139">
        <f t="shared" si="9"/>
        <v>889</v>
      </c>
      <c r="K139" s="1">
        <v>871</v>
      </c>
      <c r="L139" s="3">
        <v>0.39150401836969001</v>
      </c>
      <c r="M139" s="3">
        <v>9.1848450057405284E-3</v>
      </c>
      <c r="N139" s="3">
        <v>0.58897818599311136</v>
      </c>
    </row>
    <row r="140" spans="1:14" hidden="1" x14ac:dyDescent="0.2">
      <c r="A140" t="s">
        <v>103</v>
      </c>
      <c r="B140" t="s">
        <v>116</v>
      </c>
      <c r="C140">
        <v>58</v>
      </c>
      <c r="D140">
        <v>0</v>
      </c>
      <c r="E140">
        <v>1</v>
      </c>
      <c r="F140">
        <v>96</v>
      </c>
      <c r="G140">
        <v>0</v>
      </c>
      <c r="H140">
        <v>0</v>
      </c>
      <c r="I140">
        <v>3</v>
      </c>
      <c r="J140">
        <f t="shared" si="9"/>
        <v>158</v>
      </c>
      <c r="K140" s="1">
        <v>155</v>
      </c>
      <c r="L140" s="3">
        <v>0.37419354838709679</v>
      </c>
      <c r="M140" s="3">
        <v>6.4516129032258064E-3</v>
      </c>
      <c r="N140" s="3">
        <v>0.61935483870967745</v>
      </c>
    </row>
    <row r="141" spans="1:14" hidden="1" x14ac:dyDescent="0.2">
      <c r="A141" t="s">
        <v>103</v>
      </c>
      <c r="B141" t="s">
        <v>117</v>
      </c>
      <c r="C141">
        <v>64</v>
      </c>
      <c r="D141">
        <v>0</v>
      </c>
      <c r="E141">
        <v>1</v>
      </c>
      <c r="F141">
        <v>51</v>
      </c>
      <c r="G141">
        <v>0</v>
      </c>
      <c r="H141">
        <v>0</v>
      </c>
      <c r="I141">
        <v>2</v>
      </c>
      <c r="J141">
        <f t="shared" si="9"/>
        <v>118</v>
      </c>
      <c r="K141" s="1">
        <v>116</v>
      </c>
      <c r="L141" s="3">
        <v>0.55172413793103448</v>
      </c>
      <c r="M141" s="3">
        <v>8.6206896551724137E-3</v>
      </c>
      <c r="N141" s="3">
        <v>0.43965517241379309</v>
      </c>
    </row>
    <row r="142" spans="1:14" hidden="1" x14ac:dyDescent="0.2">
      <c r="A142" t="s">
        <v>103</v>
      </c>
      <c r="B142" t="s">
        <v>519</v>
      </c>
      <c r="C142">
        <v>278</v>
      </c>
      <c r="D142">
        <v>9</v>
      </c>
      <c r="E142">
        <v>5</v>
      </c>
      <c r="F142">
        <v>548</v>
      </c>
      <c r="G142">
        <v>1</v>
      </c>
      <c r="H142">
        <v>0</v>
      </c>
      <c r="I142">
        <v>16</v>
      </c>
      <c r="J142">
        <f t="shared" si="9"/>
        <v>857</v>
      </c>
      <c r="K142" s="1">
        <v>841</v>
      </c>
      <c r="L142" s="3">
        <v>0.33055885850178357</v>
      </c>
      <c r="M142" s="3">
        <v>5.945303210463734E-3</v>
      </c>
      <c r="N142" s="3">
        <v>0.65160523186682517</v>
      </c>
    </row>
    <row r="143" spans="1:14" hidden="1" x14ac:dyDescent="0.2">
      <c r="A143" t="s">
        <v>103</v>
      </c>
      <c r="B143" t="s">
        <v>118</v>
      </c>
      <c r="C143">
        <v>156</v>
      </c>
      <c r="D143">
        <v>0</v>
      </c>
      <c r="E143">
        <v>7</v>
      </c>
      <c r="F143">
        <v>166</v>
      </c>
      <c r="G143">
        <v>0</v>
      </c>
      <c r="H143">
        <v>0</v>
      </c>
      <c r="I143">
        <v>6</v>
      </c>
      <c r="J143">
        <f t="shared" si="9"/>
        <v>335</v>
      </c>
      <c r="K143" s="1">
        <v>329</v>
      </c>
      <c r="L143" s="3">
        <v>0.47416413373860183</v>
      </c>
      <c r="M143" s="3">
        <v>2.1276595744680851E-2</v>
      </c>
      <c r="N143" s="3">
        <v>0.50455927051671734</v>
      </c>
    </row>
    <row r="144" spans="1:14" hidden="1" x14ac:dyDescent="0.2">
      <c r="A144" t="s">
        <v>103</v>
      </c>
      <c r="B144" t="s">
        <v>119</v>
      </c>
      <c r="C144">
        <v>159</v>
      </c>
      <c r="D144">
        <v>5</v>
      </c>
      <c r="E144">
        <v>24</v>
      </c>
      <c r="F144">
        <v>133</v>
      </c>
      <c r="G144">
        <v>0</v>
      </c>
      <c r="H144">
        <v>0</v>
      </c>
      <c r="I144">
        <v>13</v>
      </c>
      <c r="J144">
        <f t="shared" si="9"/>
        <v>334</v>
      </c>
      <c r="K144" s="1">
        <v>321</v>
      </c>
      <c r="L144" s="3">
        <v>0.49532710280373832</v>
      </c>
      <c r="M144" s="3">
        <v>7.476635514018691E-2</v>
      </c>
      <c r="N144" s="3">
        <v>0.41433021806853582</v>
      </c>
    </row>
    <row r="145" spans="1:14" hidden="1" x14ac:dyDescent="0.2">
      <c r="A145" t="s">
        <v>103</v>
      </c>
      <c r="B145" t="s">
        <v>520</v>
      </c>
      <c r="C145">
        <v>969</v>
      </c>
      <c r="D145">
        <v>13</v>
      </c>
      <c r="E145">
        <v>21</v>
      </c>
      <c r="F145">
        <v>1176</v>
      </c>
      <c r="G145">
        <v>6</v>
      </c>
      <c r="H145">
        <v>0</v>
      </c>
      <c r="I145">
        <v>32</v>
      </c>
      <c r="J145">
        <f t="shared" si="9"/>
        <v>2217</v>
      </c>
      <c r="K145" s="1">
        <v>2185</v>
      </c>
      <c r="L145" s="3">
        <v>0.44347826086956521</v>
      </c>
      <c r="M145" s="3">
        <v>9.6109839816933638E-3</v>
      </c>
      <c r="N145" s="3">
        <v>0.53821510297482833</v>
      </c>
    </row>
    <row r="146" spans="1:14" hidden="1" x14ac:dyDescent="0.2">
      <c r="A146" t="s">
        <v>103</v>
      </c>
      <c r="B146" t="s">
        <v>515</v>
      </c>
      <c r="C146">
        <v>2</v>
      </c>
      <c r="D146">
        <v>0</v>
      </c>
      <c r="E146">
        <v>0</v>
      </c>
      <c r="F146">
        <v>7</v>
      </c>
      <c r="G146">
        <v>0</v>
      </c>
      <c r="H146">
        <v>0</v>
      </c>
      <c r="I146">
        <v>0</v>
      </c>
      <c r="J146">
        <f t="shared" si="9"/>
        <v>9</v>
      </c>
      <c r="K146" s="1">
        <v>9</v>
      </c>
      <c r="L146" s="3">
        <v>0.22222222222222221</v>
      </c>
      <c r="M146" s="3">
        <v>0</v>
      </c>
      <c r="N146" s="3">
        <v>0.77777777777777779</v>
      </c>
    </row>
    <row r="147" spans="1:14" s="1" customFormat="1" x14ac:dyDescent="0.2">
      <c r="A147" s="1" t="s">
        <v>103</v>
      </c>
      <c r="B147" s="1" t="s">
        <v>486</v>
      </c>
      <c r="C147" s="1">
        <f t="shared" ref="C147:J147" si="10">SUM(C125:C146)</f>
        <v>7990</v>
      </c>
      <c r="D147" s="1">
        <f t="shared" si="10"/>
        <v>119</v>
      </c>
      <c r="E147" s="1">
        <f t="shared" si="10"/>
        <v>208</v>
      </c>
      <c r="F147" s="1">
        <f t="shared" si="10"/>
        <v>9459</v>
      </c>
      <c r="G147" s="1">
        <f t="shared" si="10"/>
        <v>58</v>
      </c>
      <c r="H147" s="1">
        <f t="shared" si="10"/>
        <v>2</v>
      </c>
      <c r="I147" s="1">
        <f t="shared" si="10"/>
        <v>283</v>
      </c>
      <c r="J147" s="1">
        <f t="shared" si="10"/>
        <v>18119</v>
      </c>
      <c r="K147" s="1">
        <v>17836</v>
      </c>
      <c r="L147" s="3">
        <v>0.4479703969499888</v>
      </c>
      <c r="M147" s="3">
        <v>1.1661807580174927E-2</v>
      </c>
      <c r="N147" s="3">
        <v>0.53033191298497417</v>
      </c>
    </row>
    <row r="148" spans="1:14" hidden="1" x14ac:dyDescent="0.2">
      <c r="K148" s="1">
        <v>0</v>
      </c>
      <c r="L148" s="3" t="e">
        <v>#DIV/0!</v>
      </c>
      <c r="M148" s="3" t="e">
        <v>#DIV/0!</v>
      </c>
      <c r="N148" s="3" t="e">
        <v>#DIV/0!</v>
      </c>
    </row>
    <row r="149" spans="1:14" hidden="1" x14ac:dyDescent="0.2">
      <c r="A149" t="s">
        <v>120</v>
      </c>
      <c r="B149" t="s">
        <v>121</v>
      </c>
      <c r="C149">
        <v>71</v>
      </c>
      <c r="D149">
        <v>3</v>
      </c>
      <c r="E149">
        <v>0</v>
      </c>
      <c r="F149">
        <v>131</v>
      </c>
      <c r="G149">
        <v>1</v>
      </c>
      <c r="H149">
        <v>0</v>
      </c>
      <c r="I149">
        <v>5</v>
      </c>
      <c r="J149">
        <f t="shared" ref="J149:J157" si="11">SUM(C149:I149)</f>
        <v>211</v>
      </c>
      <c r="K149" s="1">
        <v>206</v>
      </c>
      <c r="L149" s="3">
        <v>0.3446601941747573</v>
      </c>
      <c r="M149" s="3">
        <v>0</v>
      </c>
      <c r="N149" s="3">
        <v>0.63592233009708743</v>
      </c>
    </row>
    <row r="150" spans="1:14" hidden="1" x14ac:dyDescent="0.2">
      <c r="A150" t="s">
        <v>120</v>
      </c>
      <c r="B150" t="s">
        <v>122</v>
      </c>
      <c r="C150">
        <v>25</v>
      </c>
      <c r="D150">
        <v>0</v>
      </c>
      <c r="E150">
        <v>2</v>
      </c>
      <c r="F150">
        <v>47</v>
      </c>
      <c r="G150">
        <v>0</v>
      </c>
      <c r="H150">
        <v>0</v>
      </c>
      <c r="I150">
        <v>2</v>
      </c>
      <c r="J150">
        <f t="shared" si="11"/>
        <v>76</v>
      </c>
      <c r="K150" s="1">
        <v>74</v>
      </c>
      <c r="L150" s="3">
        <v>0.33783783783783783</v>
      </c>
      <c r="M150" s="3">
        <v>2.7027027027027029E-2</v>
      </c>
      <c r="N150" s="3">
        <v>0.63513513513513509</v>
      </c>
    </row>
    <row r="151" spans="1:14" hidden="1" x14ac:dyDescent="0.2">
      <c r="A151" t="s">
        <v>120</v>
      </c>
      <c r="B151" t="s">
        <v>123</v>
      </c>
      <c r="C151">
        <v>2642</v>
      </c>
      <c r="D151">
        <v>26</v>
      </c>
      <c r="E151">
        <v>58</v>
      </c>
      <c r="F151">
        <v>838</v>
      </c>
      <c r="G151">
        <v>41</v>
      </c>
      <c r="H151">
        <v>4</v>
      </c>
      <c r="I151">
        <v>49</v>
      </c>
      <c r="J151">
        <f t="shared" si="11"/>
        <v>3658</v>
      </c>
      <c r="K151" s="1">
        <v>3609</v>
      </c>
      <c r="L151" s="3">
        <v>0.73205874203380439</v>
      </c>
      <c r="M151" s="3">
        <v>1.6070933776669436E-2</v>
      </c>
      <c r="N151" s="3">
        <v>0.23219728456636188</v>
      </c>
    </row>
    <row r="152" spans="1:14" hidden="1" x14ac:dyDescent="0.2">
      <c r="A152" t="s">
        <v>120</v>
      </c>
      <c r="B152" t="s">
        <v>124</v>
      </c>
      <c r="C152">
        <v>1369</v>
      </c>
      <c r="D152">
        <v>13</v>
      </c>
      <c r="E152">
        <v>27</v>
      </c>
      <c r="F152">
        <v>628</v>
      </c>
      <c r="G152">
        <v>11</v>
      </c>
      <c r="H152">
        <v>9</v>
      </c>
      <c r="I152">
        <v>11</v>
      </c>
      <c r="J152">
        <f t="shared" si="11"/>
        <v>2068</v>
      </c>
      <c r="K152" s="1">
        <v>2057</v>
      </c>
      <c r="L152" s="3">
        <v>0.66553232863393286</v>
      </c>
      <c r="M152" s="3">
        <v>1.3125911521633447E-2</v>
      </c>
      <c r="N152" s="3">
        <v>0.30529897909577053</v>
      </c>
    </row>
    <row r="153" spans="1:14" hidden="1" x14ac:dyDescent="0.2">
      <c r="A153" t="s">
        <v>120</v>
      </c>
      <c r="B153" t="s">
        <v>125</v>
      </c>
      <c r="C153">
        <v>443</v>
      </c>
      <c r="D153">
        <v>4</v>
      </c>
      <c r="E153">
        <v>15</v>
      </c>
      <c r="F153">
        <v>180</v>
      </c>
      <c r="G153">
        <v>3</v>
      </c>
      <c r="H153">
        <v>0</v>
      </c>
      <c r="I153">
        <v>9</v>
      </c>
      <c r="J153">
        <f t="shared" si="11"/>
        <v>654</v>
      </c>
      <c r="K153" s="1">
        <v>645</v>
      </c>
      <c r="L153" s="3">
        <v>0.68682170542635657</v>
      </c>
      <c r="M153" s="3">
        <v>2.3255813953488372E-2</v>
      </c>
      <c r="N153" s="3">
        <v>0.27906976744186046</v>
      </c>
    </row>
    <row r="154" spans="1:14" hidden="1" x14ac:dyDescent="0.2">
      <c r="A154" t="s">
        <v>120</v>
      </c>
      <c r="B154" t="s">
        <v>126</v>
      </c>
      <c r="C154">
        <v>437</v>
      </c>
      <c r="D154">
        <v>2</v>
      </c>
      <c r="E154">
        <v>15</v>
      </c>
      <c r="F154">
        <v>220</v>
      </c>
      <c r="G154">
        <v>9</v>
      </c>
      <c r="H154">
        <v>0</v>
      </c>
      <c r="I154">
        <v>7</v>
      </c>
      <c r="J154">
        <f t="shared" si="11"/>
        <v>690</v>
      </c>
      <c r="K154" s="1">
        <v>683</v>
      </c>
      <c r="L154" s="3">
        <v>0.63982430453879946</v>
      </c>
      <c r="M154" s="3">
        <v>2.1961932650073207E-2</v>
      </c>
      <c r="N154" s="3">
        <v>0.32210834553440704</v>
      </c>
    </row>
    <row r="155" spans="1:14" hidden="1" x14ac:dyDescent="0.2">
      <c r="A155" t="s">
        <v>120</v>
      </c>
      <c r="B155" t="s">
        <v>127</v>
      </c>
      <c r="C155">
        <v>1385</v>
      </c>
      <c r="D155">
        <v>18</v>
      </c>
      <c r="E155">
        <v>29</v>
      </c>
      <c r="F155">
        <v>1485</v>
      </c>
      <c r="G155">
        <v>5</v>
      </c>
      <c r="H155">
        <v>3</v>
      </c>
      <c r="I155">
        <v>30</v>
      </c>
      <c r="J155">
        <f t="shared" si="11"/>
        <v>2955</v>
      </c>
      <c r="K155" s="1">
        <v>2925</v>
      </c>
      <c r="L155" s="3">
        <v>0.47350427350427349</v>
      </c>
      <c r="M155" s="3">
        <v>9.9145299145299154E-3</v>
      </c>
      <c r="N155" s="3">
        <v>0.50769230769230766</v>
      </c>
    </row>
    <row r="156" spans="1:14" hidden="1" x14ac:dyDescent="0.2">
      <c r="A156" t="s">
        <v>120</v>
      </c>
      <c r="B156" t="s">
        <v>128</v>
      </c>
      <c r="C156">
        <v>392</v>
      </c>
      <c r="D156">
        <v>8</v>
      </c>
      <c r="E156">
        <v>6</v>
      </c>
      <c r="F156">
        <v>137</v>
      </c>
      <c r="G156">
        <v>4</v>
      </c>
      <c r="H156">
        <v>0</v>
      </c>
      <c r="I156">
        <v>5</v>
      </c>
      <c r="J156">
        <f t="shared" si="11"/>
        <v>552</v>
      </c>
      <c r="K156" s="1">
        <v>547</v>
      </c>
      <c r="L156" s="3">
        <v>0.71663619744058504</v>
      </c>
      <c r="M156" s="3">
        <v>1.0968921389396709E-2</v>
      </c>
      <c r="N156" s="3">
        <v>0.25045703839122485</v>
      </c>
    </row>
    <row r="157" spans="1:14" hidden="1" x14ac:dyDescent="0.2">
      <c r="A157" t="s">
        <v>120</v>
      </c>
      <c r="B157" t="s">
        <v>129</v>
      </c>
      <c r="C157">
        <v>88</v>
      </c>
      <c r="D157">
        <v>3</v>
      </c>
      <c r="E157">
        <v>1</v>
      </c>
      <c r="F157">
        <v>35</v>
      </c>
      <c r="G157">
        <v>3</v>
      </c>
      <c r="H157">
        <v>0</v>
      </c>
      <c r="I157">
        <v>1</v>
      </c>
      <c r="J157">
        <f t="shared" si="11"/>
        <v>131</v>
      </c>
      <c r="K157" s="1">
        <v>130</v>
      </c>
      <c r="L157" s="3">
        <v>0.67692307692307696</v>
      </c>
      <c r="M157" s="3">
        <v>7.6923076923076927E-3</v>
      </c>
      <c r="N157" s="3">
        <v>0.26923076923076922</v>
      </c>
    </row>
    <row r="158" spans="1:14" hidden="1" x14ac:dyDescent="0.2">
      <c r="A158" t="s">
        <v>120</v>
      </c>
      <c r="B158" t="s">
        <v>130</v>
      </c>
      <c r="C158">
        <v>571</v>
      </c>
      <c r="D158">
        <v>4</v>
      </c>
      <c r="E158">
        <v>15</v>
      </c>
      <c r="F158">
        <v>600</v>
      </c>
      <c r="G158">
        <v>4</v>
      </c>
      <c r="H158">
        <v>0</v>
      </c>
      <c r="I158">
        <v>6</v>
      </c>
      <c r="J158">
        <f>SUM(C158:I158)</f>
        <v>1200</v>
      </c>
      <c r="K158" s="1">
        <v>1194</v>
      </c>
      <c r="L158" s="3">
        <v>0.47822445561139026</v>
      </c>
      <c r="M158" s="3">
        <v>1.2562814070351759E-2</v>
      </c>
      <c r="N158" s="3">
        <v>0.50251256281407031</v>
      </c>
    </row>
    <row r="159" spans="1:14" hidden="1" x14ac:dyDescent="0.2">
      <c r="A159" t="s">
        <v>120</v>
      </c>
      <c r="B159" t="s">
        <v>131</v>
      </c>
      <c r="C159">
        <v>765</v>
      </c>
      <c r="D159">
        <v>10</v>
      </c>
      <c r="E159">
        <v>15</v>
      </c>
      <c r="F159">
        <v>538</v>
      </c>
      <c r="G159">
        <v>3</v>
      </c>
      <c r="H159">
        <v>0</v>
      </c>
      <c r="I159">
        <v>30</v>
      </c>
      <c r="J159">
        <f>SUM(C159:I159)</f>
        <v>1361</v>
      </c>
      <c r="K159" s="1">
        <v>1331</v>
      </c>
      <c r="L159" s="3">
        <v>0.57475582268970704</v>
      </c>
      <c r="M159" s="3">
        <v>1.1269722013523666E-2</v>
      </c>
      <c r="N159" s="3">
        <v>0.40420736288504883</v>
      </c>
    </row>
    <row r="160" spans="1:14" hidden="1" x14ac:dyDescent="0.2">
      <c r="A160" t="s">
        <v>120</v>
      </c>
      <c r="B160" t="s">
        <v>132</v>
      </c>
      <c r="C160">
        <v>89</v>
      </c>
      <c r="D160">
        <v>1</v>
      </c>
      <c r="E160">
        <v>1</v>
      </c>
      <c r="F160">
        <v>162</v>
      </c>
      <c r="G160">
        <v>0</v>
      </c>
      <c r="H160">
        <v>0</v>
      </c>
      <c r="I160">
        <v>6</v>
      </c>
      <c r="J160">
        <f>SUM(C160:I160)</f>
        <v>259</v>
      </c>
      <c r="K160" s="1">
        <v>253</v>
      </c>
      <c r="L160" s="3">
        <v>0.35177865612648224</v>
      </c>
      <c r="M160" s="3">
        <v>3.952569169960474E-3</v>
      </c>
      <c r="N160" s="3">
        <v>0.64031620553359681</v>
      </c>
    </row>
    <row r="161" spans="1:14" ht="32" hidden="1" x14ac:dyDescent="0.2">
      <c r="A161" t="s">
        <v>120</v>
      </c>
      <c r="B161" s="2" t="s">
        <v>522</v>
      </c>
      <c r="C161">
        <v>2406</v>
      </c>
      <c r="D161">
        <v>37</v>
      </c>
      <c r="E161">
        <v>61</v>
      </c>
      <c r="F161">
        <v>2412</v>
      </c>
      <c r="G161">
        <v>24</v>
      </c>
      <c r="H161">
        <v>1</v>
      </c>
      <c r="I161">
        <v>90</v>
      </c>
      <c r="J161">
        <f>SUM(C161:I161)</f>
        <v>5031</v>
      </c>
      <c r="K161" s="1">
        <v>4941</v>
      </c>
      <c r="L161" s="3">
        <v>0.4869459623557984</v>
      </c>
      <c r="M161" s="3">
        <v>1.2345679012345678E-2</v>
      </c>
      <c r="N161" s="3">
        <v>0.48816029143897999</v>
      </c>
    </row>
    <row r="162" spans="1:14" hidden="1" x14ac:dyDescent="0.2">
      <c r="A162" t="s">
        <v>120</v>
      </c>
      <c r="B162" t="s">
        <v>523</v>
      </c>
      <c r="C162">
        <v>416</v>
      </c>
      <c r="D162">
        <v>0</v>
      </c>
      <c r="E162">
        <v>10</v>
      </c>
      <c r="F162">
        <v>537</v>
      </c>
      <c r="G162">
        <v>8</v>
      </c>
      <c r="H162">
        <v>1</v>
      </c>
      <c r="I162">
        <v>7</v>
      </c>
      <c r="J162">
        <f t="shared" ref="J162:J187" si="12">SUM(C162:I162)</f>
        <v>979</v>
      </c>
      <c r="K162" s="1">
        <v>972</v>
      </c>
      <c r="L162" s="3">
        <v>0.4279835390946502</v>
      </c>
      <c r="M162" s="3">
        <v>1.0288065843621399E-2</v>
      </c>
      <c r="N162" s="3">
        <v>0.55246913580246915</v>
      </c>
    </row>
    <row r="163" spans="1:14" hidden="1" x14ac:dyDescent="0.2">
      <c r="A163" t="s">
        <v>120</v>
      </c>
      <c r="B163" t="s">
        <v>133</v>
      </c>
      <c r="C163">
        <v>11</v>
      </c>
      <c r="D163">
        <v>0</v>
      </c>
      <c r="E163">
        <v>0</v>
      </c>
      <c r="F163">
        <v>19</v>
      </c>
      <c r="G163">
        <v>0</v>
      </c>
      <c r="H163">
        <v>0</v>
      </c>
      <c r="I163">
        <v>1</v>
      </c>
      <c r="J163">
        <f t="shared" si="12"/>
        <v>31</v>
      </c>
      <c r="K163" s="1">
        <v>30</v>
      </c>
      <c r="L163" s="3">
        <v>0.36666666666666664</v>
      </c>
      <c r="M163" s="3">
        <v>0</v>
      </c>
      <c r="N163" s="3">
        <v>0.6333333333333333</v>
      </c>
    </row>
    <row r="164" spans="1:14" hidden="1" x14ac:dyDescent="0.2">
      <c r="A164" t="s">
        <v>120</v>
      </c>
      <c r="B164" t="s">
        <v>524</v>
      </c>
      <c r="C164">
        <v>506</v>
      </c>
      <c r="D164">
        <v>3</v>
      </c>
      <c r="E164">
        <v>12</v>
      </c>
      <c r="F164">
        <v>628</v>
      </c>
      <c r="G164">
        <v>1</v>
      </c>
      <c r="H164">
        <v>0</v>
      </c>
      <c r="I164">
        <v>12</v>
      </c>
      <c r="J164">
        <f t="shared" si="12"/>
        <v>1162</v>
      </c>
      <c r="K164" s="1">
        <v>1150</v>
      </c>
      <c r="L164" s="3">
        <v>0.44</v>
      </c>
      <c r="M164" s="3">
        <v>1.0434782608695653E-2</v>
      </c>
      <c r="N164" s="3">
        <v>0.54608695652173911</v>
      </c>
    </row>
    <row r="165" spans="1:14" hidden="1" x14ac:dyDescent="0.2">
      <c r="A165" t="s">
        <v>120</v>
      </c>
      <c r="B165" t="s">
        <v>134</v>
      </c>
      <c r="C165">
        <v>16</v>
      </c>
      <c r="D165">
        <v>1</v>
      </c>
      <c r="E165">
        <v>0</v>
      </c>
      <c r="F165">
        <v>26</v>
      </c>
      <c r="G165">
        <v>0</v>
      </c>
      <c r="H165">
        <v>0</v>
      </c>
      <c r="I165">
        <v>1</v>
      </c>
      <c r="J165">
        <f t="shared" si="12"/>
        <v>44</v>
      </c>
      <c r="K165" s="1">
        <v>43</v>
      </c>
      <c r="L165" s="3">
        <v>0.37209302325581395</v>
      </c>
      <c r="M165" s="3">
        <v>0</v>
      </c>
      <c r="N165" s="3">
        <v>0.60465116279069764</v>
      </c>
    </row>
    <row r="166" spans="1:14" hidden="1" x14ac:dyDescent="0.2">
      <c r="A166" t="s">
        <v>120</v>
      </c>
      <c r="B166" t="s">
        <v>135</v>
      </c>
      <c r="C166">
        <v>681</v>
      </c>
      <c r="D166">
        <v>9</v>
      </c>
      <c r="E166">
        <v>14</v>
      </c>
      <c r="F166">
        <v>795</v>
      </c>
      <c r="G166">
        <v>4</v>
      </c>
      <c r="H166">
        <v>1</v>
      </c>
      <c r="I166">
        <v>14</v>
      </c>
      <c r="J166">
        <f t="shared" si="12"/>
        <v>1518</v>
      </c>
      <c r="K166" s="1">
        <v>1504</v>
      </c>
      <c r="L166" s="3">
        <v>0.45279255319148937</v>
      </c>
      <c r="M166" s="3">
        <v>9.3085106382978719E-3</v>
      </c>
      <c r="N166" s="3">
        <v>0.52859042553191493</v>
      </c>
    </row>
    <row r="167" spans="1:14" hidden="1" x14ac:dyDescent="0.2">
      <c r="A167" t="s">
        <v>120</v>
      </c>
      <c r="B167" t="s">
        <v>136</v>
      </c>
      <c r="C167">
        <v>624</v>
      </c>
      <c r="D167">
        <v>8</v>
      </c>
      <c r="E167">
        <v>17</v>
      </c>
      <c r="F167">
        <v>566</v>
      </c>
      <c r="G167">
        <v>5</v>
      </c>
      <c r="H167">
        <v>0</v>
      </c>
      <c r="I167">
        <v>20</v>
      </c>
      <c r="J167">
        <f t="shared" si="12"/>
        <v>1240</v>
      </c>
      <c r="K167" s="1">
        <v>1220</v>
      </c>
      <c r="L167" s="3">
        <v>0.51147540983606554</v>
      </c>
      <c r="M167" s="3">
        <v>1.3934426229508197E-2</v>
      </c>
      <c r="N167" s="3">
        <v>0.4639344262295082</v>
      </c>
    </row>
    <row r="168" spans="1:14" hidden="1" x14ac:dyDescent="0.2">
      <c r="A168" t="s">
        <v>120</v>
      </c>
      <c r="B168" t="s">
        <v>137</v>
      </c>
      <c r="C168">
        <v>135</v>
      </c>
      <c r="D168">
        <v>0</v>
      </c>
      <c r="E168">
        <v>3</v>
      </c>
      <c r="F168">
        <v>201</v>
      </c>
      <c r="G168">
        <v>0</v>
      </c>
      <c r="H168">
        <v>0</v>
      </c>
      <c r="I168">
        <v>3</v>
      </c>
      <c r="J168">
        <f t="shared" si="12"/>
        <v>342</v>
      </c>
      <c r="K168" s="1">
        <v>339</v>
      </c>
      <c r="L168" s="3">
        <v>0.39823008849557523</v>
      </c>
      <c r="M168" s="3">
        <v>8.8495575221238937E-3</v>
      </c>
      <c r="N168" s="3">
        <v>0.59292035398230092</v>
      </c>
    </row>
    <row r="169" spans="1:14" hidden="1" x14ac:dyDescent="0.2">
      <c r="A169" t="s">
        <v>120</v>
      </c>
      <c r="B169" t="s">
        <v>138</v>
      </c>
      <c r="C169">
        <v>1019</v>
      </c>
      <c r="D169">
        <v>9</v>
      </c>
      <c r="E169">
        <v>23</v>
      </c>
      <c r="F169">
        <v>336</v>
      </c>
      <c r="G169">
        <v>5</v>
      </c>
      <c r="H169">
        <v>3</v>
      </c>
      <c r="I169">
        <v>17</v>
      </c>
      <c r="J169">
        <f t="shared" si="12"/>
        <v>1412</v>
      </c>
      <c r="K169" s="1">
        <v>1395</v>
      </c>
      <c r="L169" s="3">
        <v>0.7304659498207885</v>
      </c>
      <c r="M169" s="3">
        <v>1.6487455197132617E-2</v>
      </c>
      <c r="N169" s="3">
        <v>0.24086021505376345</v>
      </c>
    </row>
    <row r="170" spans="1:14" hidden="1" x14ac:dyDescent="0.2">
      <c r="A170" t="s">
        <v>120</v>
      </c>
      <c r="B170" t="s">
        <v>139</v>
      </c>
      <c r="C170">
        <v>747</v>
      </c>
      <c r="D170">
        <v>10</v>
      </c>
      <c r="E170">
        <v>19</v>
      </c>
      <c r="F170">
        <v>765</v>
      </c>
      <c r="G170">
        <v>3</v>
      </c>
      <c r="H170">
        <v>0</v>
      </c>
      <c r="I170">
        <v>15</v>
      </c>
      <c r="J170">
        <f t="shared" si="12"/>
        <v>1559</v>
      </c>
      <c r="K170" s="1">
        <v>1544</v>
      </c>
      <c r="L170" s="3">
        <v>0.48380829015544041</v>
      </c>
      <c r="M170" s="3">
        <v>1.2305699481865285E-2</v>
      </c>
      <c r="N170" s="3">
        <v>0.4954663212435233</v>
      </c>
    </row>
    <row r="171" spans="1:14" hidden="1" x14ac:dyDescent="0.2">
      <c r="A171" t="s">
        <v>120</v>
      </c>
      <c r="B171" t="s">
        <v>140</v>
      </c>
      <c r="C171">
        <v>11</v>
      </c>
      <c r="D171">
        <v>0</v>
      </c>
      <c r="E171">
        <v>0</v>
      </c>
      <c r="F171">
        <v>35</v>
      </c>
      <c r="G171">
        <v>1</v>
      </c>
      <c r="H171">
        <v>0</v>
      </c>
      <c r="I171">
        <v>2</v>
      </c>
      <c r="J171">
        <f t="shared" si="12"/>
        <v>49</v>
      </c>
      <c r="K171" s="1">
        <v>47</v>
      </c>
      <c r="L171" s="3">
        <v>0.23404255319148937</v>
      </c>
      <c r="M171" s="3">
        <v>0</v>
      </c>
      <c r="N171" s="3">
        <v>0.74468085106382975</v>
      </c>
    </row>
    <row r="172" spans="1:14" hidden="1" x14ac:dyDescent="0.2">
      <c r="A172" t="s">
        <v>120</v>
      </c>
      <c r="B172" t="s">
        <v>141</v>
      </c>
      <c r="C172">
        <v>160</v>
      </c>
      <c r="D172">
        <v>2</v>
      </c>
      <c r="E172">
        <v>0</v>
      </c>
      <c r="F172">
        <v>340</v>
      </c>
      <c r="G172">
        <v>0</v>
      </c>
      <c r="H172">
        <v>0</v>
      </c>
      <c r="I172">
        <v>6</v>
      </c>
      <c r="J172">
        <f t="shared" si="12"/>
        <v>508</v>
      </c>
      <c r="K172" s="1">
        <v>502</v>
      </c>
      <c r="L172" s="3">
        <v>0.31872509960159362</v>
      </c>
      <c r="M172" s="3">
        <v>0</v>
      </c>
      <c r="N172" s="3">
        <v>0.67729083665338641</v>
      </c>
    </row>
    <row r="173" spans="1:14" hidden="1" x14ac:dyDescent="0.2">
      <c r="A173" t="s">
        <v>120</v>
      </c>
      <c r="B173" t="s">
        <v>142</v>
      </c>
      <c r="C173">
        <v>487</v>
      </c>
      <c r="D173">
        <v>6</v>
      </c>
      <c r="E173">
        <v>17</v>
      </c>
      <c r="F173">
        <v>325</v>
      </c>
      <c r="G173">
        <v>4</v>
      </c>
      <c r="H173">
        <v>0</v>
      </c>
      <c r="I173">
        <v>7</v>
      </c>
      <c r="J173">
        <f t="shared" si="12"/>
        <v>846</v>
      </c>
      <c r="K173" s="1">
        <v>839</v>
      </c>
      <c r="L173" s="3">
        <v>0.58045292014302741</v>
      </c>
      <c r="M173" s="3">
        <v>2.0262216924910609E-2</v>
      </c>
      <c r="N173" s="3">
        <v>0.3873659117997616</v>
      </c>
    </row>
    <row r="174" spans="1:14" hidden="1" x14ac:dyDescent="0.2">
      <c r="A174" t="s">
        <v>120</v>
      </c>
      <c r="B174" t="s">
        <v>143</v>
      </c>
      <c r="C174">
        <v>538</v>
      </c>
      <c r="D174">
        <v>2</v>
      </c>
      <c r="E174">
        <v>12</v>
      </c>
      <c r="F174">
        <v>312</v>
      </c>
      <c r="G174">
        <v>4</v>
      </c>
      <c r="H174">
        <v>1</v>
      </c>
      <c r="I174">
        <v>9</v>
      </c>
      <c r="J174">
        <f t="shared" si="12"/>
        <v>878</v>
      </c>
      <c r="K174" s="1">
        <v>869</v>
      </c>
      <c r="L174" s="3">
        <v>0.61910241657077103</v>
      </c>
      <c r="M174" s="3">
        <v>1.3808975834292289E-2</v>
      </c>
      <c r="N174" s="3">
        <v>0.35903337169159955</v>
      </c>
    </row>
    <row r="175" spans="1:14" hidden="1" x14ac:dyDescent="0.2">
      <c r="A175" t="s">
        <v>120</v>
      </c>
      <c r="B175" t="s">
        <v>144</v>
      </c>
      <c r="C175">
        <v>88</v>
      </c>
      <c r="D175">
        <v>0</v>
      </c>
      <c r="E175">
        <v>3</v>
      </c>
      <c r="F175">
        <v>108</v>
      </c>
      <c r="G175">
        <v>0</v>
      </c>
      <c r="H175">
        <v>0</v>
      </c>
      <c r="I175">
        <v>0</v>
      </c>
      <c r="J175">
        <f t="shared" si="12"/>
        <v>199</v>
      </c>
      <c r="K175" s="1">
        <v>199</v>
      </c>
      <c r="L175" s="3">
        <v>0.44221105527638194</v>
      </c>
      <c r="M175" s="3">
        <v>1.507537688442211E-2</v>
      </c>
      <c r="N175" s="3">
        <v>0.542713567839196</v>
      </c>
    </row>
    <row r="176" spans="1:14" hidden="1" x14ac:dyDescent="0.2">
      <c r="A176" t="s">
        <v>120</v>
      </c>
      <c r="B176" t="s">
        <v>145</v>
      </c>
      <c r="C176">
        <v>737</v>
      </c>
      <c r="D176">
        <v>5</v>
      </c>
      <c r="E176">
        <v>9</v>
      </c>
      <c r="F176">
        <v>375</v>
      </c>
      <c r="G176">
        <v>6</v>
      </c>
      <c r="H176">
        <v>0</v>
      </c>
      <c r="I176">
        <v>16</v>
      </c>
      <c r="J176">
        <f t="shared" si="12"/>
        <v>1148</v>
      </c>
      <c r="K176" s="1">
        <v>1132</v>
      </c>
      <c r="L176" s="3">
        <v>0.65106007067137805</v>
      </c>
      <c r="M176" s="3">
        <v>7.9505300353356883E-3</v>
      </c>
      <c r="N176" s="3">
        <v>0.33127208480565373</v>
      </c>
    </row>
    <row r="177" spans="1:14" hidden="1" x14ac:dyDescent="0.2">
      <c r="A177" t="s">
        <v>120</v>
      </c>
      <c r="B177" t="s">
        <v>146</v>
      </c>
      <c r="C177">
        <v>382</v>
      </c>
      <c r="D177">
        <v>2</v>
      </c>
      <c r="E177">
        <v>10</v>
      </c>
      <c r="F177">
        <v>243</v>
      </c>
      <c r="G177">
        <v>1</v>
      </c>
      <c r="H177">
        <v>0</v>
      </c>
      <c r="I177">
        <v>9</v>
      </c>
      <c r="J177">
        <f t="shared" si="12"/>
        <v>647</v>
      </c>
      <c r="K177" s="1">
        <v>638</v>
      </c>
      <c r="L177" s="3">
        <v>0.59874608150470221</v>
      </c>
      <c r="M177" s="3">
        <v>1.5673981191222569E-2</v>
      </c>
      <c r="N177" s="3">
        <v>0.38087774294670845</v>
      </c>
    </row>
    <row r="178" spans="1:14" hidden="1" x14ac:dyDescent="0.2">
      <c r="A178" t="s">
        <v>120</v>
      </c>
      <c r="B178" t="s">
        <v>147</v>
      </c>
      <c r="C178">
        <v>362</v>
      </c>
      <c r="D178">
        <v>4</v>
      </c>
      <c r="E178">
        <v>6</v>
      </c>
      <c r="F178">
        <v>392</v>
      </c>
      <c r="G178">
        <v>3</v>
      </c>
      <c r="H178">
        <v>0</v>
      </c>
      <c r="I178">
        <v>0</v>
      </c>
      <c r="J178">
        <f t="shared" si="12"/>
        <v>767</v>
      </c>
      <c r="K178" s="1">
        <v>767</v>
      </c>
      <c r="L178" s="3">
        <v>0.47196870925684486</v>
      </c>
      <c r="M178" s="3">
        <v>7.8226857887874843E-3</v>
      </c>
      <c r="N178" s="3">
        <v>0.5110821382007823</v>
      </c>
    </row>
    <row r="179" spans="1:14" hidden="1" x14ac:dyDescent="0.2">
      <c r="A179" t="s">
        <v>120</v>
      </c>
      <c r="B179" t="s">
        <v>148</v>
      </c>
      <c r="C179">
        <v>616</v>
      </c>
      <c r="D179">
        <v>5</v>
      </c>
      <c r="E179">
        <v>19</v>
      </c>
      <c r="F179">
        <v>512</v>
      </c>
      <c r="G179">
        <v>5</v>
      </c>
      <c r="H179">
        <v>2</v>
      </c>
      <c r="I179">
        <v>9</v>
      </c>
      <c r="J179">
        <f t="shared" si="12"/>
        <v>1168</v>
      </c>
      <c r="K179" s="1">
        <v>1159</v>
      </c>
      <c r="L179" s="3">
        <v>0.53149266609145818</v>
      </c>
      <c r="M179" s="3">
        <v>1.6393442622950821E-2</v>
      </c>
      <c r="N179" s="3">
        <v>0.44176013805004316</v>
      </c>
    </row>
    <row r="180" spans="1:14" hidden="1" x14ac:dyDescent="0.2">
      <c r="A180" t="s">
        <v>120</v>
      </c>
      <c r="B180" t="s">
        <v>149</v>
      </c>
      <c r="C180">
        <v>132</v>
      </c>
      <c r="D180">
        <v>3</v>
      </c>
      <c r="E180">
        <v>4</v>
      </c>
      <c r="F180">
        <v>149</v>
      </c>
      <c r="G180">
        <v>1</v>
      </c>
      <c r="H180">
        <v>0</v>
      </c>
      <c r="I180">
        <v>5</v>
      </c>
      <c r="J180">
        <f t="shared" si="12"/>
        <v>294</v>
      </c>
      <c r="K180" s="1">
        <v>289</v>
      </c>
      <c r="L180" s="3">
        <v>0.45674740484429066</v>
      </c>
      <c r="M180" s="3">
        <v>1.384083044982699E-2</v>
      </c>
      <c r="N180" s="3">
        <v>0.51557093425605538</v>
      </c>
    </row>
    <row r="181" spans="1:14" hidden="1" x14ac:dyDescent="0.2">
      <c r="A181" t="s">
        <v>120</v>
      </c>
      <c r="B181" t="s">
        <v>525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f t="shared" si="12"/>
        <v>2</v>
      </c>
      <c r="K181" s="1">
        <v>2</v>
      </c>
      <c r="L181" s="3">
        <v>0</v>
      </c>
      <c r="M181" s="3">
        <v>0</v>
      </c>
      <c r="N181" s="3">
        <v>1</v>
      </c>
    </row>
    <row r="182" spans="1:14" hidden="1" x14ac:dyDescent="0.2">
      <c r="A182" t="s">
        <v>120</v>
      </c>
      <c r="B182" t="s">
        <v>521</v>
      </c>
      <c r="C182">
        <v>5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f t="shared" si="12"/>
        <v>8</v>
      </c>
      <c r="K182" s="1">
        <v>8</v>
      </c>
      <c r="L182" s="3">
        <v>0.625</v>
      </c>
      <c r="M182" s="3">
        <v>0</v>
      </c>
      <c r="N182" s="3">
        <v>0.375</v>
      </c>
    </row>
    <row r="183" spans="1:14" hidden="1" x14ac:dyDescent="0.2">
      <c r="A183" t="s">
        <v>120</v>
      </c>
      <c r="B183" t="s">
        <v>150</v>
      </c>
      <c r="C183">
        <v>584</v>
      </c>
      <c r="D183">
        <v>13</v>
      </c>
      <c r="E183">
        <v>13</v>
      </c>
      <c r="F183">
        <v>438</v>
      </c>
      <c r="G183">
        <v>5</v>
      </c>
      <c r="H183">
        <v>1</v>
      </c>
      <c r="I183">
        <v>6</v>
      </c>
      <c r="J183">
        <f t="shared" si="12"/>
        <v>1060</v>
      </c>
      <c r="K183" s="1">
        <v>1054</v>
      </c>
      <c r="L183" s="3">
        <v>0.5540796963946869</v>
      </c>
      <c r="M183" s="3">
        <v>1.2333965844402278E-2</v>
      </c>
      <c r="N183" s="3">
        <v>0.41555977229601521</v>
      </c>
    </row>
    <row r="184" spans="1:14" hidden="1" x14ac:dyDescent="0.2">
      <c r="A184" t="s">
        <v>120</v>
      </c>
      <c r="B184" t="s">
        <v>151</v>
      </c>
      <c r="C184">
        <v>510</v>
      </c>
      <c r="D184">
        <v>5</v>
      </c>
      <c r="E184">
        <v>22</v>
      </c>
      <c r="F184">
        <v>468</v>
      </c>
      <c r="G184">
        <v>5</v>
      </c>
      <c r="H184">
        <v>3</v>
      </c>
      <c r="I184">
        <v>17</v>
      </c>
      <c r="J184">
        <f t="shared" si="12"/>
        <v>1030</v>
      </c>
      <c r="K184" s="1">
        <v>1013</v>
      </c>
      <c r="L184" s="3">
        <v>0.5034550839091807</v>
      </c>
      <c r="M184" s="3">
        <v>2.1717670286278381E-2</v>
      </c>
      <c r="N184" s="3">
        <v>0.46199407699901285</v>
      </c>
    </row>
    <row r="185" spans="1:14" hidden="1" x14ac:dyDescent="0.2">
      <c r="A185" t="s">
        <v>120</v>
      </c>
      <c r="B185" t="s">
        <v>152</v>
      </c>
      <c r="C185">
        <v>157</v>
      </c>
      <c r="D185">
        <v>2</v>
      </c>
      <c r="E185">
        <v>2</v>
      </c>
      <c r="F185">
        <v>198</v>
      </c>
      <c r="G185">
        <v>3</v>
      </c>
      <c r="H185">
        <v>0</v>
      </c>
      <c r="I185">
        <v>6</v>
      </c>
      <c r="J185">
        <f t="shared" si="12"/>
        <v>368</v>
      </c>
      <c r="K185" s="1">
        <v>362</v>
      </c>
      <c r="L185" s="3">
        <v>0.43370165745856354</v>
      </c>
      <c r="M185" s="3">
        <v>5.5248618784530384E-3</v>
      </c>
      <c r="N185" s="3">
        <v>0.54696132596685088</v>
      </c>
    </row>
    <row r="186" spans="1:14" hidden="1" x14ac:dyDescent="0.2">
      <c r="A186" t="s">
        <v>120</v>
      </c>
      <c r="B186" t="s">
        <v>153</v>
      </c>
      <c r="C186">
        <v>64</v>
      </c>
      <c r="D186">
        <v>2</v>
      </c>
      <c r="E186">
        <v>1</v>
      </c>
      <c r="F186">
        <v>188</v>
      </c>
      <c r="G186">
        <v>0</v>
      </c>
      <c r="H186">
        <v>0</v>
      </c>
      <c r="I186">
        <v>2</v>
      </c>
      <c r="J186">
        <f t="shared" si="12"/>
        <v>257</v>
      </c>
      <c r="K186" s="1">
        <v>255</v>
      </c>
      <c r="L186" s="3">
        <v>0.25098039215686274</v>
      </c>
      <c r="M186" s="3">
        <v>3.9215686274509803E-3</v>
      </c>
      <c r="N186" s="3">
        <v>0.73725490196078436</v>
      </c>
    </row>
    <row r="187" spans="1:14" hidden="1" x14ac:dyDescent="0.2">
      <c r="A187" t="s">
        <v>120</v>
      </c>
      <c r="B187" t="s">
        <v>154</v>
      </c>
      <c r="C187">
        <v>146</v>
      </c>
      <c r="D187">
        <v>2</v>
      </c>
      <c r="E187">
        <v>1</v>
      </c>
      <c r="F187">
        <v>177</v>
      </c>
      <c r="G187">
        <v>0</v>
      </c>
      <c r="H187">
        <v>0</v>
      </c>
      <c r="I187">
        <v>6</v>
      </c>
      <c r="J187">
        <f t="shared" si="12"/>
        <v>332</v>
      </c>
      <c r="K187" s="1">
        <v>326</v>
      </c>
      <c r="L187" s="3">
        <v>0.44785276073619634</v>
      </c>
      <c r="M187" s="3">
        <v>3.0674846625766872E-3</v>
      </c>
      <c r="N187" s="3">
        <v>0.54294478527607359</v>
      </c>
    </row>
    <row r="188" spans="1:14" s="1" customFormat="1" x14ac:dyDescent="0.2">
      <c r="A188" s="1" t="s">
        <v>120</v>
      </c>
      <c r="B188" s="1" t="s">
        <v>487</v>
      </c>
      <c r="C188" s="1">
        <f t="shared" ref="C188:J188" si="13">SUM(C149:C187)</f>
        <v>19817</v>
      </c>
      <c r="D188" s="1">
        <f t="shared" si="13"/>
        <v>222</v>
      </c>
      <c r="E188" s="1">
        <f t="shared" si="13"/>
        <v>462</v>
      </c>
      <c r="F188" s="1">
        <f t="shared" si="13"/>
        <v>15551</v>
      </c>
      <c r="G188" s="1">
        <f t="shared" si="13"/>
        <v>172</v>
      </c>
      <c r="H188" s="1">
        <f t="shared" si="13"/>
        <v>29</v>
      </c>
      <c r="I188" s="1">
        <f t="shared" si="13"/>
        <v>441</v>
      </c>
      <c r="J188" s="1">
        <f t="shared" si="13"/>
        <v>36694</v>
      </c>
      <c r="K188" s="1">
        <v>36253</v>
      </c>
      <c r="L188" s="3">
        <v>0.54663062367252369</v>
      </c>
      <c r="M188" s="3">
        <v>1.27437729291369E-2</v>
      </c>
      <c r="N188" s="3">
        <v>0.42895760350867512</v>
      </c>
    </row>
    <row r="189" spans="1:14" hidden="1" x14ac:dyDescent="0.2">
      <c r="K189" s="1">
        <v>0</v>
      </c>
      <c r="L189" s="3" t="e">
        <v>#DIV/0!</v>
      </c>
      <c r="M189" s="3" t="e">
        <v>#DIV/0!</v>
      </c>
      <c r="N189" s="3" t="e">
        <v>#DIV/0!</v>
      </c>
    </row>
    <row r="190" spans="1:14" hidden="1" x14ac:dyDescent="0.2">
      <c r="A190" t="s">
        <v>155</v>
      </c>
      <c r="B190" t="s">
        <v>526</v>
      </c>
      <c r="C190">
        <v>407</v>
      </c>
      <c r="D190">
        <v>5</v>
      </c>
      <c r="E190">
        <v>6</v>
      </c>
      <c r="F190">
        <v>843</v>
      </c>
      <c r="G190">
        <v>8</v>
      </c>
      <c r="H190">
        <v>0</v>
      </c>
      <c r="I190">
        <v>17</v>
      </c>
      <c r="J190">
        <f>SUM(C190:I190)</f>
        <v>1286</v>
      </c>
      <c r="K190" s="1">
        <v>1269</v>
      </c>
      <c r="L190" s="3">
        <v>0.3207249802994484</v>
      </c>
      <c r="M190" s="3">
        <v>4.7281323877068557E-3</v>
      </c>
      <c r="N190" s="3">
        <v>0.6643026004728132</v>
      </c>
    </row>
    <row r="191" spans="1:14" hidden="1" x14ac:dyDescent="0.2">
      <c r="A191" t="s">
        <v>155</v>
      </c>
      <c r="B191" t="s">
        <v>156</v>
      </c>
      <c r="C191">
        <v>5386</v>
      </c>
      <c r="D191">
        <v>63</v>
      </c>
      <c r="E191">
        <v>93</v>
      </c>
      <c r="F191">
        <v>4398</v>
      </c>
      <c r="G191">
        <v>36</v>
      </c>
      <c r="H191">
        <v>5</v>
      </c>
      <c r="I191">
        <v>131</v>
      </c>
      <c r="J191">
        <f>SUM(C191:I191)</f>
        <v>10112</v>
      </c>
      <c r="K191" s="1">
        <v>9981</v>
      </c>
      <c r="L191" s="3">
        <v>0.53962528804728982</v>
      </c>
      <c r="M191" s="3">
        <v>9.3177036369101289E-3</v>
      </c>
      <c r="N191" s="3">
        <v>0.44063721070033063</v>
      </c>
    </row>
    <row r="192" spans="1:14" hidden="1" x14ac:dyDescent="0.2">
      <c r="A192" t="s">
        <v>155</v>
      </c>
      <c r="B192" t="s">
        <v>157</v>
      </c>
      <c r="C192">
        <v>1013</v>
      </c>
      <c r="D192">
        <v>12</v>
      </c>
      <c r="E192">
        <v>14</v>
      </c>
      <c r="F192">
        <v>1214</v>
      </c>
      <c r="G192">
        <v>5</v>
      </c>
      <c r="H192">
        <v>0</v>
      </c>
      <c r="I192">
        <v>23</v>
      </c>
      <c r="J192">
        <f t="shared" ref="J192:J218" si="14">SUM(C192:I192)</f>
        <v>2281</v>
      </c>
      <c r="K192" s="1">
        <v>2258</v>
      </c>
      <c r="L192" s="3">
        <v>0.44862710363153235</v>
      </c>
      <c r="M192" s="3">
        <v>6.2001771479185119E-3</v>
      </c>
      <c r="N192" s="3">
        <v>0.53764393268379096</v>
      </c>
    </row>
    <row r="193" spans="1:14" hidden="1" x14ac:dyDescent="0.2">
      <c r="A193" t="s">
        <v>155</v>
      </c>
      <c r="B193" t="s">
        <v>158</v>
      </c>
      <c r="C193">
        <v>516</v>
      </c>
      <c r="D193">
        <v>14</v>
      </c>
      <c r="E193">
        <v>16</v>
      </c>
      <c r="F193">
        <v>1022</v>
      </c>
      <c r="G193">
        <v>4</v>
      </c>
      <c r="H193">
        <v>0</v>
      </c>
      <c r="I193">
        <v>14</v>
      </c>
      <c r="J193">
        <f t="shared" si="14"/>
        <v>1586</v>
      </c>
      <c r="K193" s="1">
        <v>1572</v>
      </c>
      <c r="L193" s="3">
        <v>0.3282442748091603</v>
      </c>
      <c r="M193" s="3">
        <v>1.0178117048346057E-2</v>
      </c>
      <c r="N193" s="3">
        <v>0.65012722646310428</v>
      </c>
    </row>
    <row r="194" spans="1:14" hidden="1" x14ac:dyDescent="0.2">
      <c r="A194" t="s">
        <v>155</v>
      </c>
      <c r="B194" t="s">
        <v>159</v>
      </c>
      <c r="C194">
        <v>579</v>
      </c>
      <c r="D194">
        <v>4</v>
      </c>
      <c r="E194">
        <v>13</v>
      </c>
      <c r="F194">
        <v>990</v>
      </c>
      <c r="G194">
        <v>5</v>
      </c>
      <c r="H194">
        <v>0</v>
      </c>
      <c r="I194">
        <v>19</v>
      </c>
      <c r="J194">
        <f t="shared" si="14"/>
        <v>1610</v>
      </c>
      <c r="K194" s="1">
        <v>1591</v>
      </c>
      <c r="L194" s="3">
        <v>0.36392206159648022</v>
      </c>
      <c r="M194" s="3">
        <v>8.1709616593337517E-3</v>
      </c>
      <c r="N194" s="3">
        <v>0.6222501571338781</v>
      </c>
    </row>
    <row r="195" spans="1:14" hidden="1" x14ac:dyDescent="0.2">
      <c r="A195" t="s">
        <v>155</v>
      </c>
      <c r="B195" t="s">
        <v>160</v>
      </c>
      <c r="C195">
        <v>1059</v>
      </c>
      <c r="D195">
        <v>19</v>
      </c>
      <c r="E195">
        <v>34</v>
      </c>
      <c r="F195">
        <v>1498</v>
      </c>
      <c r="G195">
        <v>11</v>
      </c>
      <c r="H195">
        <v>2</v>
      </c>
      <c r="I195">
        <v>33</v>
      </c>
      <c r="J195">
        <f t="shared" si="14"/>
        <v>2656</v>
      </c>
      <c r="K195" s="1">
        <v>2623</v>
      </c>
      <c r="L195" s="3">
        <v>0.40373617994662603</v>
      </c>
      <c r="M195" s="3">
        <v>1.2962256957682043E-2</v>
      </c>
      <c r="N195" s="3">
        <v>0.57110179184140297</v>
      </c>
    </row>
    <row r="196" spans="1:14" hidden="1" x14ac:dyDescent="0.2">
      <c r="A196" t="s">
        <v>155</v>
      </c>
      <c r="B196" t="s">
        <v>161</v>
      </c>
      <c r="C196">
        <v>594</v>
      </c>
      <c r="D196">
        <v>7</v>
      </c>
      <c r="E196">
        <v>9</v>
      </c>
      <c r="F196">
        <v>1150</v>
      </c>
      <c r="G196">
        <v>8</v>
      </c>
      <c r="H196">
        <v>1</v>
      </c>
      <c r="I196">
        <v>29</v>
      </c>
      <c r="J196">
        <f t="shared" si="14"/>
        <v>1798</v>
      </c>
      <c r="K196" s="1">
        <v>1769</v>
      </c>
      <c r="L196" s="3">
        <v>0.33578292820802713</v>
      </c>
      <c r="M196" s="3">
        <v>5.0876201243640479E-3</v>
      </c>
      <c r="N196" s="3">
        <v>0.65008479366873939</v>
      </c>
    </row>
    <row r="197" spans="1:14" hidden="1" x14ac:dyDescent="0.2">
      <c r="A197" t="s">
        <v>155</v>
      </c>
      <c r="B197" t="s">
        <v>162</v>
      </c>
      <c r="C197">
        <v>970</v>
      </c>
      <c r="D197">
        <v>12</v>
      </c>
      <c r="E197">
        <v>12</v>
      </c>
      <c r="F197">
        <v>838</v>
      </c>
      <c r="G197">
        <v>8</v>
      </c>
      <c r="H197">
        <v>0</v>
      </c>
      <c r="I197">
        <v>15</v>
      </c>
      <c r="J197">
        <f t="shared" si="14"/>
        <v>1855</v>
      </c>
      <c r="K197" s="1">
        <v>1840</v>
      </c>
      <c r="L197" s="3">
        <v>0.52717391304347827</v>
      </c>
      <c r="M197" s="3">
        <v>6.5217391304347823E-3</v>
      </c>
      <c r="N197" s="3">
        <v>0.45543478260869563</v>
      </c>
    </row>
    <row r="198" spans="1:14" hidden="1" x14ac:dyDescent="0.2">
      <c r="A198" t="s">
        <v>155</v>
      </c>
      <c r="B198" t="s">
        <v>163</v>
      </c>
      <c r="C198">
        <v>399</v>
      </c>
      <c r="D198">
        <v>4</v>
      </c>
      <c r="E198">
        <v>8</v>
      </c>
      <c r="F198">
        <v>457</v>
      </c>
      <c r="G198">
        <v>1</v>
      </c>
      <c r="H198">
        <v>0</v>
      </c>
      <c r="I198">
        <v>12</v>
      </c>
      <c r="J198">
        <f t="shared" si="14"/>
        <v>881</v>
      </c>
      <c r="K198" s="1">
        <v>869</v>
      </c>
      <c r="L198" s="3">
        <v>0.45914844649021863</v>
      </c>
      <c r="M198" s="3">
        <v>9.2059838895281933E-3</v>
      </c>
      <c r="N198" s="3">
        <v>0.52589182968929804</v>
      </c>
    </row>
    <row r="199" spans="1:14" hidden="1" x14ac:dyDescent="0.2">
      <c r="A199" t="s">
        <v>155</v>
      </c>
      <c r="B199" t="s">
        <v>164</v>
      </c>
      <c r="C199">
        <v>1739</v>
      </c>
      <c r="D199">
        <v>90</v>
      </c>
      <c r="E199">
        <v>163</v>
      </c>
      <c r="F199">
        <v>1273</v>
      </c>
      <c r="G199">
        <v>52</v>
      </c>
      <c r="H199">
        <v>4</v>
      </c>
      <c r="I199">
        <v>66</v>
      </c>
      <c r="J199">
        <f t="shared" si="14"/>
        <v>3387</v>
      </c>
      <c r="K199" s="1">
        <v>3321</v>
      </c>
      <c r="L199" s="3">
        <v>0.52363745859680821</v>
      </c>
      <c r="M199" s="3">
        <v>4.9081601927130382E-2</v>
      </c>
      <c r="N199" s="3">
        <v>0.3833182776272207</v>
      </c>
    </row>
    <row r="200" spans="1:14" hidden="1" x14ac:dyDescent="0.2">
      <c r="A200" t="s">
        <v>155</v>
      </c>
      <c r="B200" t="s">
        <v>165</v>
      </c>
      <c r="C200">
        <v>1326</v>
      </c>
      <c r="D200">
        <v>11</v>
      </c>
      <c r="E200">
        <v>22</v>
      </c>
      <c r="F200">
        <v>448</v>
      </c>
      <c r="G200">
        <v>5</v>
      </c>
      <c r="H200">
        <v>2</v>
      </c>
      <c r="I200">
        <v>19</v>
      </c>
      <c r="J200">
        <f t="shared" si="14"/>
        <v>1833</v>
      </c>
      <c r="K200" s="1">
        <v>1814</v>
      </c>
      <c r="L200" s="3">
        <v>0.73098125689084892</v>
      </c>
      <c r="M200" s="3">
        <v>1.2127894156560088E-2</v>
      </c>
      <c r="N200" s="3">
        <v>0.24696802646085997</v>
      </c>
    </row>
    <row r="201" spans="1:14" hidden="1" x14ac:dyDescent="0.2">
      <c r="A201" t="s">
        <v>155</v>
      </c>
      <c r="B201" t="s">
        <v>166</v>
      </c>
      <c r="C201">
        <v>865</v>
      </c>
      <c r="D201">
        <v>19</v>
      </c>
      <c r="E201">
        <v>16</v>
      </c>
      <c r="F201">
        <v>1390</v>
      </c>
      <c r="G201">
        <v>5</v>
      </c>
      <c r="H201">
        <v>0</v>
      </c>
      <c r="I201">
        <v>34</v>
      </c>
      <c r="J201">
        <f t="shared" si="14"/>
        <v>2329</v>
      </c>
      <c r="K201" s="1">
        <v>2295</v>
      </c>
      <c r="L201" s="3">
        <v>0.37690631808278868</v>
      </c>
      <c r="M201" s="3">
        <v>6.9716775599128538E-3</v>
      </c>
      <c r="N201" s="3">
        <v>0.60566448801742923</v>
      </c>
    </row>
    <row r="202" spans="1:14" hidden="1" x14ac:dyDescent="0.2">
      <c r="A202" t="s">
        <v>155</v>
      </c>
      <c r="B202" t="s">
        <v>167</v>
      </c>
      <c r="C202">
        <v>787</v>
      </c>
      <c r="D202">
        <v>7</v>
      </c>
      <c r="E202">
        <v>22</v>
      </c>
      <c r="F202">
        <v>878</v>
      </c>
      <c r="G202">
        <v>1</v>
      </c>
      <c r="H202">
        <v>1</v>
      </c>
      <c r="I202">
        <v>23</v>
      </c>
      <c r="J202">
        <f t="shared" si="14"/>
        <v>1719</v>
      </c>
      <c r="K202" s="1">
        <v>1696</v>
      </c>
      <c r="L202" s="3">
        <v>0.46403301886792453</v>
      </c>
      <c r="M202" s="3">
        <v>1.2971698113207548E-2</v>
      </c>
      <c r="N202" s="3">
        <v>0.51768867924528306</v>
      </c>
    </row>
    <row r="203" spans="1:14" hidden="1" x14ac:dyDescent="0.2">
      <c r="A203" t="s">
        <v>155</v>
      </c>
      <c r="B203" t="s">
        <v>168</v>
      </c>
      <c r="C203">
        <v>1070</v>
      </c>
      <c r="D203">
        <v>33</v>
      </c>
      <c r="E203">
        <v>23</v>
      </c>
      <c r="F203">
        <v>1476</v>
      </c>
      <c r="G203">
        <v>2</v>
      </c>
      <c r="H203">
        <v>0</v>
      </c>
      <c r="I203">
        <v>36</v>
      </c>
      <c r="J203">
        <f t="shared" si="14"/>
        <v>2640</v>
      </c>
      <c r="K203" s="1">
        <v>2604</v>
      </c>
      <c r="L203" s="3">
        <v>0.41090629800307221</v>
      </c>
      <c r="M203" s="3">
        <v>8.8325652841781867E-3</v>
      </c>
      <c r="N203" s="3">
        <v>0.56682027649769584</v>
      </c>
    </row>
    <row r="204" spans="1:14" hidden="1" x14ac:dyDescent="0.2">
      <c r="A204" t="s">
        <v>155</v>
      </c>
      <c r="B204" t="s">
        <v>169</v>
      </c>
      <c r="C204">
        <v>566</v>
      </c>
      <c r="D204">
        <v>11</v>
      </c>
      <c r="E204">
        <v>13</v>
      </c>
      <c r="F204">
        <v>586</v>
      </c>
      <c r="G204">
        <v>1</v>
      </c>
      <c r="H204">
        <v>0</v>
      </c>
      <c r="I204">
        <v>17</v>
      </c>
      <c r="J204">
        <f t="shared" si="14"/>
        <v>1194</v>
      </c>
      <c r="K204" s="1">
        <v>1177</v>
      </c>
      <c r="L204" s="3">
        <v>0.48088360237892946</v>
      </c>
      <c r="M204" s="3">
        <v>1.1045029736618521E-2</v>
      </c>
      <c r="N204" s="3">
        <v>0.49787595581988103</v>
      </c>
    </row>
    <row r="205" spans="1:14" hidden="1" x14ac:dyDescent="0.2">
      <c r="A205" t="s">
        <v>155</v>
      </c>
      <c r="B205" t="s">
        <v>170</v>
      </c>
      <c r="C205">
        <v>1669</v>
      </c>
      <c r="D205">
        <v>25</v>
      </c>
      <c r="E205">
        <v>37</v>
      </c>
      <c r="F205">
        <v>1972</v>
      </c>
      <c r="G205">
        <v>11</v>
      </c>
      <c r="H205">
        <v>0</v>
      </c>
      <c r="I205">
        <v>47</v>
      </c>
      <c r="J205">
        <f t="shared" si="14"/>
        <v>3761</v>
      </c>
      <c r="K205" s="1">
        <v>3714</v>
      </c>
      <c r="L205" s="3">
        <v>0.44938072159396875</v>
      </c>
      <c r="M205" s="3">
        <v>9.9623047926763603E-3</v>
      </c>
      <c r="N205" s="3">
        <v>0.5309639203015617</v>
      </c>
    </row>
    <row r="206" spans="1:14" hidden="1" x14ac:dyDescent="0.2">
      <c r="A206" t="s">
        <v>155</v>
      </c>
      <c r="B206" t="s">
        <v>171</v>
      </c>
      <c r="C206">
        <v>681</v>
      </c>
      <c r="D206">
        <v>9</v>
      </c>
      <c r="E206">
        <v>15</v>
      </c>
      <c r="F206">
        <v>1117</v>
      </c>
      <c r="G206">
        <v>7</v>
      </c>
      <c r="H206">
        <v>1</v>
      </c>
      <c r="I206">
        <v>18</v>
      </c>
      <c r="J206">
        <f t="shared" si="14"/>
        <v>1848</v>
      </c>
      <c r="K206" s="1">
        <v>1830</v>
      </c>
      <c r="L206" s="3">
        <v>0.37213114754098359</v>
      </c>
      <c r="M206" s="3">
        <v>8.1967213114754103E-3</v>
      </c>
      <c r="N206" s="3">
        <v>0.61038251366120222</v>
      </c>
    </row>
    <row r="207" spans="1:14" hidden="1" x14ac:dyDescent="0.2">
      <c r="A207" t="s">
        <v>155</v>
      </c>
      <c r="B207" t="s">
        <v>172</v>
      </c>
      <c r="C207">
        <v>456</v>
      </c>
      <c r="D207">
        <v>8</v>
      </c>
      <c r="E207">
        <v>11</v>
      </c>
      <c r="F207">
        <v>539</v>
      </c>
      <c r="G207">
        <v>2</v>
      </c>
      <c r="H207">
        <v>0</v>
      </c>
      <c r="I207">
        <v>18</v>
      </c>
      <c r="J207">
        <f t="shared" si="14"/>
        <v>1034</v>
      </c>
      <c r="K207" s="1">
        <v>1016</v>
      </c>
      <c r="L207" s="3">
        <v>0.44881889763779526</v>
      </c>
      <c r="M207" s="3">
        <v>1.0826771653543307E-2</v>
      </c>
      <c r="N207" s="3">
        <v>0.53051181102362199</v>
      </c>
    </row>
    <row r="208" spans="1:14" hidden="1" x14ac:dyDescent="0.2">
      <c r="A208" t="s">
        <v>155</v>
      </c>
      <c r="B208" t="s">
        <v>173</v>
      </c>
      <c r="C208">
        <v>900</v>
      </c>
      <c r="D208">
        <v>14</v>
      </c>
      <c r="E208">
        <v>23</v>
      </c>
      <c r="F208">
        <v>875</v>
      </c>
      <c r="G208">
        <v>5</v>
      </c>
      <c r="H208">
        <v>1</v>
      </c>
      <c r="I208">
        <v>20</v>
      </c>
      <c r="J208">
        <f t="shared" si="14"/>
        <v>1838</v>
      </c>
      <c r="K208" s="1">
        <v>1818</v>
      </c>
      <c r="L208" s="3">
        <v>0.49504950495049505</v>
      </c>
      <c r="M208" s="3">
        <v>1.2651265126512651E-2</v>
      </c>
      <c r="N208" s="3">
        <v>0.48129812981298131</v>
      </c>
    </row>
    <row r="209" spans="1:14" hidden="1" x14ac:dyDescent="0.2">
      <c r="A209" t="s">
        <v>155</v>
      </c>
      <c r="B209" t="s">
        <v>174</v>
      </c>
      <c r="C209">
        <v>341</v>
      </c>
      <c r="D209">
        <v>3</v>
      </c>
      <c r="E209">
        <v>8</v>
      </c>
      <c r="F209">
        <v>370</v>
      </c>
      <c r="G209">
        <v>2</v>
      </c>
      <c r="H209">
        <v>0</v>
      </c>
      <c r="I209">
        <v>5</v>
      </c>
      <c r="J209">
        <f t="shared" si="14"/>
        <v>729</v>
      </c>
      <c r="K209" s="1">
        <v>724</v>
      </c>
      <c r="L209" s="3">
        <v>0.47099447513812154</v>
      </c>
      <c r="M209" s="3">
        <v>1.1049723756906077E-2</v>
      </c>
      <c r="N209" s="3">
        <v>0.51104972375690605</v>
      </c>
    </row>
    <row r="210" spans="1:14" hidden="1" x14ac:dyDescent="0.2">
      <c r="A210" t="s">
        <v>155</v>
      </c>
      <c r="B210" t="s">
        <v>175</v>
      </c>
      <c r="C210">
        <v>1215</v>
      </c>
      <c r="D210">
        <v>23</v>
      </c>
      <c r="E210">
        <v>19</v>
      </c>
      <c r="F210">
        <v>1887</v>
      </c>
      <c r="G210">
        <v>9</v>
      </c>
      <c r="H210">
        <v>0</v>
      </c>
      <c r="I210">
        <v>40</v>
      </c>
      <c r="J210">
        <f t="shared" si="14"/>
        <v>3193</v>
      </c>
      <c r="K210" s="1">
        <v>3153</v>
      </c>
      <c r="L210" s="3">
        <v>0.38534728829686016</v>
      </c>
      <c r="M210" s="3">
        <v>6.0260069774817635E-3</v>
      </c>
      <c r="N210" s="3">
        <v>0.59847764034253093</v>
      </c>
    </row>
    <row r="211" spans="1:14" hidden="1" x14ac:dyDescent="0.2">
      <c r="A211" t="s">
        <v>155</v>
      </c>
      <c r="B211" t="s">
        <v>176</v>
      </c>
      <c r="C211">
        <v>1110</v>
      </c>
      <c r="D211">
        <v>26</v>
      </c>
      <c r="E211">
        <v>16</v>
      </c>
      <c r="F211">
        <v>1496</v>
      </c>
      <c r="G211">
        <v>6</v>
      </c>
      <c r="H211">
        <v>0</v>
      </c>
      <c r="I211">
        <v>53</v>
      </c>
      <c r="J211">
        <f t="shared" si="14"/>
        <v>2707</v>
      </c>
      <c r="K211" s="1">
        <v>2654</v>
      </c>
      <c r="L211" s="3">
        <v>0.41823662396382816</v>
      </c>
      <c r="M211" s="3">
        <v>6.0286360211002261E-3</v>
      </c>
      <c r="N211" s="3">
        <v>0.5636774679728711</v>
      </c>
    </row>
    <row r="212" spans="1:14" hidden="1" x14ac:dyDescent="0.2">
      <c r="A212" t="s">
        <v>155</v>
      </c>
      <c r="B212" t="s">
        <v>177</v>
      </c>
      <c r="C212">
        <v>193</v>
      </c>
      <c r="D212">
        <v>4</v>
      </c>
      <c r="E212">
        <v>5</v>
      </c>
      <c r="F212">
        <v>222</v>
      </c>
      <c r="G212">
        <v>3</v>
      </c>
      <c r="H212">
        <v>0</v>
      </c>
      <c r="I212">
        <v>13</v>
      </c>
      <c r="J212">
        <f t="shared" si="14"/>
        <v>440</v>
      </c>
      <c r="K212" s="1">
        <v>427</v>
      </c>
      <c r="L212" s="3">
        <v>0.45199063231850117</v>
      </c>
      <c r="M212" s="3">
        <v>1.1709601873536301E-2</v>
      </c>
      <c r="N212" s="3">
        <v>0.51990632318501173</v>
      </c>
    </row>
    <row r="213" spans="1:14" hidden="1" x14ac:dyDescent="0.2">
      <c r="A213" t="s">
        <v>155</v>
      </c>
      <c r="B213" t="s">
        <v>178</v>
      </c>
      <c r="C213">
        <v>4566</v>
      </c>
      <c r="D213">
        <v>47</v>
      </c>
      <c r="E213">
        <v>89</v>
      </c>
      <c r="F213">
        <v>2636</v>
      </c>
      <c r="G213">
        <v>54</v>
      </c>
      <c r="H213">
        <v>1</v>
      </c>
      <c r="I213">
        <v>121</v>
      </c>
      <c r="J213">
        <f t="shared" si="14"/>
        <v>7514</v>
      </c>
      <c r="K213" s="1">
        <v>7393</v>
      </c>
      <c r="L213" s="3">
        <v>0.61761125388881377</v>
      </c>
      <c r="M213" s="3">
        <v>1.2038414716623834E-2</v>
      </c>
      <c r="N213" s="3">
        <v>0.35655349655079127</v>
      </c>
    </row>
    <row r="214" spans="1:14" hidden="1" x14ac:dyDescent="0.2">
      <c r="A214" t="s">
        <v>155</v>
      </c>
      <c r="B214" t="s">
        <v>179</v>
      </c>
      <c r="C214">
        <v>506</v>
      </c>
      <c r="D214">
        <v>7</v>
      </c>
      <c r="E214">
        <v>8</v>
      </c>
      <c r="F214">
        <v>345</v>
      </c>
      <c r="G214">
        <v>1</v>
      </c>
      <c r="H214">
        <v>0</v>
      </c>
      <c r="I214">
        <v>11</v>
      </c>
      <c r="J214">
        <f t="shared" si="14"/>
        <v>878</v>
      </c>
      <c r="K214" s="1">
        <v>867</v>
      </c>
      <c r="L214" s="3">
        <v>0.58362168396770475</v>
      </c>
      <c r="M214" s="3">
        <v>9.22722029988466E-3</v>
      </c>
      <c r="N214" s="3">
        <v>0.39792387543252594</v>
      </c>
    </row>
    <row r="215" spans="1:14" hidden="1" x14ac:dyDescent="0.2">
      <c r="A215" t="s">
        <v>155</v>
      </c>
      <c r="B215" t="s">
        <v>180</v>
      </c>
      <c r="C215">
        <v>1025</v>
      </c>
      <c r="D215">
        <v>24</v>
      </c>
      <c r="E215">
        <v>18</v>
      </c>
      <c r="F215">
        <v>1395</v>
      </c>
      <c r="G215">
        <v>7</v>
      </c>
      <c r="H215">
        <v>1</v>
      </c>
      <c r="I215">
        <v>32</v>
      </c>
      <c r="J215">
        <f t="shared" si="14"/>
        <v>2502</v>
      </c>
      <c r="K215" s="1">
        <v>2470</v>
      </c>
      <c r="L215" s="3">
        <v>0.41497975708502022</v>
      </c>
      <c r="M215" s="3">
        <v>7.2874493927125505E-3</v>
      </c>
      <c r="N215" s="3">
        <v>0.56477732793522262</v>
      </c>
    </row>
    <row r="216" spans="1:14" hidden="1" x14ac:dyDescent="0.2">
      <c r="A216" t="s">
        <v>155</v>
      </c>
      <c r="B216" t="s">
        <v>181</v>
      </c>
      <c r="C216">
        <v>495</v>
      </c>
      <c r="D216">
        <v>10</v>
      </c>
      <c r="E216">
        <v>24</v>
      </c>
      <c r="F216">
        <v>1026</v>
      </c>
      <c r="G216">
        <v>5</v>
      </c>
      <c r="H216">
        <v>2</v>
      </c>
      <c r="I216">
        <v>25</v>
      </c>
      <c r="J216">
        <f t="shared" si="14"/>
        <v>1587</v>
      </c>
      <c r="K216" s="1">
        <v>1562</v>
      </c>
      <c r="L216" s="3">
        <v>0.31690140845070425</v>
      </c>
      <c r="M216" s="3">
        <v>1.5364916773367477E-2</v>
      </c>
      <c r="N216" s="3">
        <v>0.65685019206145967</v>
      </c>
    </row>
    <row r="217" spans="1:14" hidden="1" x14ac:dyDescent="0.2">
      <c r="A217" t="s">
        <v>155</v>
      </c>
      <c r="B217" t="s">
        <v>182</v>
      </c>
      <c r="C217">
        <v>2157</v>
      </c>
      <c r="D217">
        <v>34</v>
      </c>
      <c r="E217">
        <v>39</v>
      </c>
      <c r="F217">
        <v>2437</v>
      </c>
      <c r="G217">
        <v>12</v>
      </c>
      <c r="H217">
        <v>1</v>
      </c>
      <c r="I217">
        <v>70</v>
      </c>
      <c r="J217">
        <f t="shared" si="14"/>
        <v>4750</v>
      </c>
      <c r="K217" s="1">
        <v>4680</v>
      </c>
      <c r="L217" s="3">
        <v>0.46089743589743587</v>
      </c>
      <c r="M217" s="3">
        <v>8.3333333333333332E-3</v>
      </c>
      <c r="N217" s="3">
        <v>0.52072649572649576</v>
      </c>
    </row>
    <row r="218" spans="1:14" hidden="1" x14ac:dyDescent="0.2">
      <c r="A218" t="s">
        <v>155</v>
      </c>
      <c r="B218" t="s">
        <v>183</v>
      </c>
      <c r="C218">
        <v>1995</v>
      </c>
      <c r="D218">
        <v>36</v>
      </c>
      <c r="E218">
        <v>50</v>
      </c>
      <c r="F218">
        <v>1811</v>
      </c>
      <c r="G218">
        <v>7</v>
      </c>
      <c r="H218">
        <v>0</v>
      </c>
      <c r="I218">
        <v>54</v>
      </c>
      <c r="J218">
        <f t="shared" si="14"/>
        <v>3953</v>
      </c>
      <c r="K218" s="1">
        <v>3899</v>
      </c>
      <c r="L218" s="3">
        <v>0.51166965888689409</v>
      </c>
      <c r="M218" s="3">
        <v>1.2823800974608874E-2</v>
      </c>
      <c r="N218" s="3">
        <v>0.46447807130033342</v>
      </c>
    </row>
    <row r="219" spans="1:14" s="1" customFormat="1" x14ac:dyDescent="0.2">
      <c r="A219" s="1" t="s">
        <v>155</v>
      </c>
      <c r="B219" s="1" t="s">
        <v>488</v>
      </c>
      <c r="C219" s="1">
        <f t="shared" ref="C219:J219" si="15">SUM(C190:C218)</f>
        <v>34585</v>
      </c>
      <c r="D219" s="1">
        <f t="shared" si="15"/>
        <v>581</v>
      </c>
      <c r="E219" s="1">
        <f t="shared" si="15"/>
        <v>826</v>
      </c>
      <c r="F219" s="1">
        <f t="shared" si="15"/>
        <v>36589</v>
      </c>
      <c r="G219" s="1">
        <f t="shared" si="15"/>
        <v>283</v>
      </c>
      <c r="H219" s="1">
        <f t="shared" si="15"/>
        <v>22</v>
      </c>
      <c r="I219" s="1">
        <f t="shared" si="15"/>
        <v>1015</v>
      </c>
      <c r="J219" s="1">
        <f t="shared" si="15"/>
        <v>73901</v>
      </c>
      <c r="K219" s="1">
        <v>72886</v>
      </c>
      <c r="L219" s="3">
        <v>0.47450813599319486</v>
      </c>
      <c r="M219" s="3">
        <v>1.133276623768625E-2</v>
      </c>
      <c r="N219" s="3">
        <v>0.50200312817276294</v>
      </c>
    </row>
    <row r="220" spans="1:14" hidden="1" x14ac:dyDescent="0.2">
      <c r="K220" s="1">
        <v>0</v>
      </c>
      <c r="L220" s="3" t="e">
        <v>#DIV/0!</v>
      </c>
      <c r="M220" s="3" t="e">
        <v>#DIV/0!</v>
      </c>
      <c r="N220" s="3" t="e">
        <v>#DIV/0!</v>
      </c>
    </row>
    <row r="221" spans="1:14" hidden="1" x14ac:dyDescent="0.2">
      <c r="A221" t="s">
        <v>184</v>
      </c>
      <c r="B221" t="s">
        <v>185</v>
      </c>
      <c r="C221">
        <v>477</v>
      </c>
      <c r="D221">
        <v>3</v>
      </c>
      <c r="E221">
        <v>13</v>
      </c>
      <c r="F221">
        <v>421</v>
      </c>
      <c r="G221">
        <v>8</v>
      </c>
      <c r="H221">
        <v>3</v>
      </c>
      <c r="I221">
        <v>9</v>
      </c>
      <c r="J221">
        <f t="shared" ref="J221:J238" si="16">SUM(C221:I221)</f>
        <v>934</v>
      </c>
      <c r="K221" s="1">
        <v>925</v>
      </c>
      <c r="L221" s="3">
        <v>0.51567567567567563</v>
      </c>
      <c r="M221" s="3">
        <v>1.4054054054054054E-2</v>
      </c>
      <c r="N221" s="3">
        <v>0.45513513513513515</v>
      </c>
    </row>
    <row r="222" spans="1:14" hidden="1" x14ac:dyDescent="0.2">
      <c r="A222" t="s">
        <v>184</v>
      </c>
      <c r="B222" t="s">
        <v>186</v>
      </c>
      <c r="C222">
        <v>2834</v>
      </c>
      <c r="D222">
        <v>13</v>
      </c>
      <c r="E222">
        <v>49</v>
      </c>
      <c r="F222">
        <v>725</v>
      </c>
      <c r="G222">
        <v>10</v>
      </c>
      <c r="H222">
        <v>2</v>
      </c>
      <c r="I222">
        <v>54</v>
      </c>
      <c r="J222">
        <f t="shared" si="16"/>
        <v>3687</v>
      </c>
      <c r="K222" s="1">
        <v>3633</v>
      </c>
      <c r="L222" s="3">
        <v>0.78007156619873386</v>
      </c>
      <c r="M222" s="3">
        <v>1.348747591522158E-2</v>
      </c>
      <c r="N222" s="3">
        <v>0.19955959262317643</v>
      </c>
    </row>
    <row r="223" spans="1:14" hidden="1" x14ac:dyDescent="0.2">
      <c r="A223" t="s">
        <v>184</v>
      </c>
      <c r="B223" t="s">
        <v>187</v>
      </c>
      <c r="C223">
        <v>445</v>
      </c>
      <c r="D223">
        <v>9</v>
      </c>
      <c r="E223">
        <v>8</v>
      </c>
      <c r="F223">
        <v>566</v>
      </c>
      <c r="G223">
        <v>4</v>
      </c>
      <c r="H223">
        <v>0</v>
      </c>
      <c r="I223">
        <v>10</v>
      </c>
      <c r="J223">
        <f t="shared" si="16"/>
        <v>1042</v>
      </c>
      <c r="K223" s="1">
        <v>1032</v>
      </c>
      <c r="L223" s="3">
        <v>0.43120155038759689</v>
      </c>
      <c r="M223" s="3">
        <v>7.7519379844961239E-3</v>
      </c>
      <c r="N223" s="3">
        <v>0.54844961240310075</v>
      </c>
    </row>
    <row r="224" spans="1:14" hidden="1" x14ac:dyDescent="0.2">
      <c r="A224" t="s">
        <v>184</v>
      </c>
      <c r="B224" t="s">
        <v>188</v>
      </c>
      <c r="C224">
        <v>303</v>
      </c>
      <c r="D224">
        <v>4</v>
      </c>
      <c r="E224">
        <v>8</v>
      </c>
      <c r="F224">
        <v>523</v>
      </c>
      <c r="G224">
        <v>1</v>
      </c>
      <c r="H224">
        <v>0</v>
      </c>
      <c r="I224">
        <v>9</v>
      </c>
      <c r="J224">
        <f t="shared" si="16"/>
        <v>848</v>
      </c>
      <c r="K224" s="1">
        <v>839</v>
      </c>
      <c r="L224" s="3">
        <v>0.36114421930870083</v>
      </c>
      <c r="M224" s="3">
        <v>9.5351609058402856E-3</v>
      </c>
      <c r="N224" s="3">
        <v>0.62336114421930866</v>
      </c>
    </row>
    <row r="225" spans="1:14" hidden="1" x14ac:dyDescent="0.2">
      <c r="A225" t="s">
        <v>184</v>
      </c>
      <c r="B225" t="s">
        <v>189</v>
      </c>
      <c r="C225">
        <v>651</v>
      </c>
      <c r="D225">
        <v>6</v>
      </c>
      <c r="E225">
        <v>16</v>
      </c>
      <c r="F225">
        <v>456</v>
      </c>
      <c r="G225">
        <v>9</v>
      </c>
      <c r="H225">
        <v>0</v>
      </c>
      <c r="I225">
        <v>10</v>
      </c>
      <c r="J225">
        <f t="shared" si="16"/>
        <v>1148</v>
      </c>
      <c r="K225" s="1">
        <v>1138</v>
      </c>
      <c r="L225" s="3">
        <v>0.57205623901581726</v>
      </c>
      <c r="M225" s="3">
        <v>1.4059753954305799E-2</v>
      </c>
      <c r="N225" s="3">
        <v>0.40070298769771528</v>
      </c>
    </row>
    <row r="226" spans="1:14" hidden="1" x14ac:dyDescent="0.2">
      <c r="A226" t="s">
        <v>184</v>
      </c>
      <c r="B226" t="s">
        <v>190</v>
      </c>
      <c r="C226">
        <v>45</v>
      </c>
      <c r="D226">
        <v>1</v>
      </c>
      <c r="E226">
        <v>1</v>
      </c>
      <c r="F226">
        <v>17</v>
      </c>
      <c r="G226">
        <v>0</v>
      </c>
      <c r="H226">
        <v>0</v>
      </c>
      <c r="I226">
        <v>0</v>
      </c>
      <c r="J226">
        <f t="shared" si="16"/>
        <v>64</v>
      </c>
      <c r="K226" s="1">
        <v>64</v>
      </c>
      <c r="L226" s="3">
        <v>0.703125</v>
      </c>
      <c r="M226" s="3">
        <v>1.5625E-2</v>
      </c>
      <c r="N226" s="3">
        <v>0.265625</v>
      </c>
    </row>
    <row r="227" spans="1:14" hidden="1" x14ac:dyDescent="0.2">
      <c r="A227" t="s">
        <v>184</v>
      </c>
      <c r="B227" t="s">
        <v>563</v>
      </c>
      <c r="C227">
        <v>33</v>
      </c>
      <c r="D227">
        <v>0</v>
      </c>
      <c r="E227">
        <v>0</v>
      </c>
      <c r="F227">
        <v>13</v>
      </c>
      <c r="G227">
        <v>1</v>
      </c>
      <c r="H227">
        <v>0</v>
      </c>
      <c r="I227">
        <v>1</v>
      </c>
      <c r="J227">
        <f t="shared" si="16"/>
        <v>48</v>
      </c>
      <c r="K227" s="1">
        <v>47</v>
      </c>
      <c r="L227" s="3">
        <v>0.7021276595744681</v>
      </c>
      <c r="M227" s="3">
        <v>0</v>
      </c>
      <c r="N227" s="3">
        <v>0.27659574468085107</v>
      </c>
    </row>
    <row r="228" spans="1:14" hidden="1" x14ac:dyDescent="0.2">
      <c r="A228" t="s">
        <v>184</v>
      </c>
      <c r="B228" t="s">
        <v>191</v>
      </c>
      <c r="C228">
        <v>207</v>
      </c>
      <c r="D228">
        <v>5</v>
      </c>
      <c r="E228">
        <v>3</v>
      </c>
      <c r="F228">
        <v>80</v>
      </c>
      <c r="G228">
        <v>4</v>
      </c>
      <c r="H228">
        <v>0</v>
      </c>
      <c r="I228">
        <v>8</v>
      </c>
      <c r="J228">
        <f t="shared" si="16"/>
        <v>307</v>
      </c>
      <c r="K228" s="1">
        <v>299</v>
      </c>
      <c r="L228" s="3">
        <v>0.69230769230769229</v>
      </c>
      <c r="M228" s="3">
        <v>1.0033444816053512E-2</v>
      </c>
      <c r="N228" s="3">
        <v>0.26755852842809363</v>
      </c>
    </row>
    <row r="229" spans="1:14" hidden="1" x14ac:dyDescent="0.2">
      <c r="A229" t="s">
        <v>184</v>
      </c>
      <c r="B229" t="s">
        <v>192</v>
      </c>
      <c r="C229">
        <v>592</v>
      </c>
      <c r="D229">
        <v>3</v>
      </c>
      <c r="E229">
        <v>6</v>
      </c>
      <c r="F229">
        <v>497</v>
      </c>
      <c r="G229">
        <v>2</v>
      </c>
      <c r="H229">
        <v>0</v>
      </c>
      <c r="I229">
        <v>18</v>
      </c>
      <c r="J229">
        <f t="shared" si="16"/>
        <v>1118</v>
      </c>
      <c r="K229" s="1">
        <v>1100</v>
      </c>
      <c r="L229" s="3">
        <v>0.53818181818181821</v>
      </c>
      <c r="M229" s="3">
        <v>5.454545454545455E-3</v>
      </c>
      <c r="N229" s="3">
        <v>0.45181818181818184</v>
      </c>
    </row>
    <row r="230" spans="1:14" hidden="1" x14ac:dyDescent="0.2">
      <c r="A230" t="s">
        <v>184</v>
      </c>
      <c r="B230" t="s">
        <v>193</v>
      </c>
      <c r="C230">
        <v>2529</v>
      </c>
      <c r="D230">
        <v>19</v>
      </c>
      <c r="E230">
        <v>59</v>
      </c>
      <c r="F230">
        <v>1272</v>
      </c>
      <c r="G230">
        <v>24</v>
      </c>
      <c r="H230">
        <v>6</v>
      </c>
      <c r="I230">
        <v>33</v>
      </c>
      <c r="J230">
        <f t="shared" si="16"/>
        <v>3942</v>
      </c>
      <c r="K230" s="1">
        <v>3909</v>
      </c>
      <c r="L230" s="3">
        <v>0.64696853415195699</v>
      </c>
      <c r="M230" s="3">
        <v>1.5093374264517779E-2</v>
      </c>
      <c r="N230" s="3">
        <v>0.32540291634689178</v>
      </c>
    </row>
    <row r="231" spans="1:14" hidden="1" x14ac:dyDescent="0.2">
      <c r="A231" t="s">
        <v>184</v>
      </c>
      <c r="B231" t="s">
        <v>194</v>
      </c>
      <c r="C231">
        <v>1713</v>
      </c>
      <c r="D231">
        <v>20</v>
      </c>
      <c r="E231">
        <v>26</v>
      </c>
      <c r="F231">
        <v>742</v>
      </c>
      <c r="G231">
        <v>8</v>
      </c>
      <c r="H231">
        <v>1</v>
      </c>
      <c r="I231">
        <v>32</v>
      </c>
      <c r="J231">
        <f t="shared" si="16"/>
        <v>2542</v>
      </c>
      <c r="K231" s="1">
        <v>2510</v>
      </c>
      <c r="L231" s="3">
        <v>0.68247011952191239</v>
      </c>
      <c r="M231" s="3">
        <v>1.0358565737051793E-2</v>
      </c>
      <c r="N231" s="3">
        <v>0.29561752988047807</v>
      </c>
    </row>
    <row r="232" spans="1:14" hidden="1" x14ac:dyDescent="0.2">
      <c r="A232" t="s">
        <v>184</v>
      </c>
      <c r="B232" t="s">
        <v>195</v>
      </c>
      <c r="C232">
        <v>616</v>
      </c>
      <c r="D232">
        <v>10</v>
      </c>
      <c r="E232">
        <v>6</v>
      </c>
      <c r="F232">
        <v>426</v>
      </c>
      <c r="G232">
        <v>0</v>
      </c>
      <c r="H232">
        <v>0</v>
      </c>
      <c r="I232">
        <v>22</v>
      </c>
      <c r="J232">
        <f t="shared" si="16"/>
        <v>1080</v>
      </c>
      <c r="K232" s="1">
        <v>1058</v>
      </c>
      <c r="L232" s="3">
        <v>0.58223062381852553</v>
      </c>
      <c r="M232" s="3">
        <v>5.6710775047258983E-3</v>
      </c>
      <c r="N232" s="3">
        <v>0.40264650283553877</v>
      </c>
    </row>
    <row r="233" spans="1:14" hidden="1" x14ac:dyDescent="0.2">
      <c r="A233" t="s">
        <v>184</v>
      </c>
      <c r="B233" t="s">
        <v>196</v>
      </c>
      <c r="C233">
        <v>1076</v>
      </c>
      <c r="D233">
        <v>7</v>
      </c>
      <c r="E233">
        <v>15</v>
      </c>
      <c r="F233">
        <v>715</v>
      </c>
      <c r="G233">
        <v>3</v>
      </c>
      <c r="H233">
        <v>0</v>
      </c>
      <c r="I233">
        <v>31</v>
      </c>
      <c r="J233">
        <f t="shared" si="16"/>
        <v>1847</v>
      </c>
      <c r="K233" s="1">
        <v>1816</v>
      </c>
      <c r="L233" s="3">
        <v>0.59251101321585908</v>
      </c>
      <c r="M233" s="3">
        <v>8.2599118942731278E-3</v>
      </c>
      <c r="N233" s="3">
        <v>0.3937224669603524</v>
      </c>
    </row>
    <row r="234" spans="1:14" hidden="1" x14ac:dyDescent="0.2">
      <c r="A234" t="s">
        <v>184</v>
      </c>
      <c r="B234" t="s">
        <v>197</v>
      </c>
      <c r="C234">
        <v>911</v>
      </c>
      <c r="D234">
        <v>9</v>
      </c>
      <c r="E234">
        <v>11</v>
      </c>
      <c r="F234">
        <v>664</v>
      </c>
      <c r="G234">
        <v>10</v>
      </c>
      <c r="H234">
        <v>0</v>
      </c>
      <c r="I234">
        <v>19</v>
      </c>
      <c r="J234">
        <f t="shared" si="16"/>
        <v>1624</v>
      </c>
      <c r="K234" s="1">
        <v>1605</v>
      </c>
      <c r="L234" s="3">
        <v>0.567601246105919</v>
      </c>
      <c r="M234" s="3">
        <v>6.853582554517134E-3</v>
      </c>
      <c r="N234" s="3">
        <v>0.41370716510903427</v>
      </c>
    </row>
    <row r="235" spans="1:14" hidden="1" x14ac:dyDescent="0.2">
      <c r="A235" t="s">
        <v>184</v>
      </c>
      <c r="B235" t="s">
        <v>198</v>
      </c>
      <c r="C235">
        <v>762</v>
      </c>
      <c r="D235">
        <v>10</v>
      </c>
      <c r="E235">
        <v>16</v>
      </c>
      <c r="F235">
        <v>863</v>
      </c>
      <c r="G235">
        <v>7</v>
      </c>
      <c r="H235">
        <v>0</v>
      </c>
      <c r="I235">
        <v>27</v>
      </c>
      <c r="J235">
        <f t="shared" si="16"/>
        <v>1685</v>
      </c>
      <c r="K235" s="1">
        <v>1658</v>
      </c>
      <c r="L235" s="3">
        <v>0.45958986731001206</v>
      </c>
      <c r="M235" s="3">
        <v>9.6501809408926411E-3</v>
      </c>
      <c r="N235" s="3">
        <v>0.52050663449939683</v>
      </c>
    </row>
    <row r="236" spans="1:14" hidden="1" x14ac:dyDescent="0.2">
      <c r="A236" t="s">
        <v>184</v>
      </c>
      <c r="B236" t="s">
        <v>199</v>
      </c>
      <c r="C236">
        <v>468</v>
      </c>
      <c r="D236">
        <v>2</v>
      </c>
      <c r="E236">
        <v>8</v>
      </c>
      <c r="F236">
        <v>333</v>
      </c>
      <c r="G236">
        <v>2</v>
      </c>
      <c r="H236">
        <v>0</v>
      </c>
      <c r="I236">
        <v>14</v>
      </c>
      <c r="J236">
        <f t="shared" si="16"/>
        <v>827</v>
      </c>
      <c r="K236" s="1">
        <v>813</v>
      </c>
      <c r="L236" s="3">
        <v>0.57564575645756455</v>
      </c>
      <c r="M236" s="3">
        <v>9.8400984009840101E-3</v>
      </c>
      <c r="N236" s="3">
        <v>0.40959409594095941</v>
      </c>
    </row>
    <row r="237" spans="1:14" hidden="1" x14ac:dyDescent="0.2">
      <c r="A237" t="s">
        <v>184</v>
      </c>
      <c r="B237" t="s">
        <v>200</v>
      </c>
      <c r="C237">
        <v>980</v>
      </c>
      <c r="D237">
        <v>17</v>
      </c>
      <c r="E237">
        <v>26</v>
      </c>
      <c r="F237">
        <v>1372</v>
      </c>
      <c r="G237">
        <v>11</v>
      </c>
      <c r="H237">
        <v>0</v>
      </c>
      <c r="I237">
        <v>17</v>
      </c>
      <c r="J237">
        <f t="shared" si="16"/>
        <v>2423</v>
      </c>
      <c r="K237" s="1">
        <v>2406</v>
      </c>
      <c r="L237" s="3">
        <v>0.40731504571903576</v>
      </c>
      <c r="M237" s="3">
        <v>1.0806317539484621E-2</v>
      </c>
      <c r="N237" s="3">
        <v>0.57024106400665009</v>
      </c>
    </row>
    <row r="238" spans="1:14" hidden="1" x14ac:dyDescent="0.2">
      <c r="A238" t="s">
        <v>184</v>
      </c>
      <c r="B238" t="s">
        <v>201</v>
      </c>
      <c r="C238">
        <v>434</v>
      </c>
      <c r="D238">
        <v>10</v>
      </c>
      <c r="E238">
        <v>15</v>
      </c>
      <c r="F238">
        <v>577</v>
      </c>
      <c r="G238">
        <v>4</v>
      </c>
      <c r="H238">
        <v>1</v>
      </c>
      <c r="I238">
        <v>11</v>
      </c>
      <c r="J238">
        <f t="shared" si="16"/>
        <v>1052</v>
      </c>
      <c r="K238" s="1">
        <v>1041</v>
      </c>
      <c r="L238" s="3">
        <v>0.41690682036503363</v>
      </c>
      <c r="M238" s="3">
        <v>1.4409221902017291E-2</v>
      </c>
      <c r="N238" s="3">
        <v>0.55427473583093179</v>
      </c>
    </row>
    <row r="239" spans="1:14" s="1" customFormat="1" x14ac:dyDescent="0.2">
      <c r="A239" s="1" t="s">
        <v>184</v>
      </c>
      <c r="B239" s="1" t="s">
        <v>489</v>
      </c>
      <c r="C239" s="1">
        <f t="shared" ref="C239:J239" si="17">SUM(C221:C238)</f>
        <v>15076</v>
      </c>
      <c r="D239" s="1">
        <f t="shared" si="17"/>
        <v>148</v>
      </c>
      <c r="E239" s="1">
        <f t="shared" si="17"/>
        <v>286</v>
      </c>
      <c r="F239" s="1">
        <f t="shared" si="17"/>
        <v>10262</v>
      </c>
      <c r="G239" s="1">
        <f t="shared" si="17"/>
        <v>108</v>
      </c>
      <c r="H239" s="1">
        <f t="shared" si="17"/>
        <v>13</v>
      </c>
      <c r="I239" s="1">
        <f t="shared" si="17"/>
        <v>325</v>
      </c>
      <c r="J239" s="1">
        <f t="shared" si="17"/>
        <v>26218</v>
      </c>
      <c r="K239" s="1">
        <v>25893</v>
      </c>
      <c r="L239" s="3">
        <v>0.58224230487004214</v>
      </c>
      <c r="M239" s="3">
        <v>1.1045456300930753E-2</v>
      </c>
      <c r="N239" s="3">
        <v>0.39632333062989999</v>
      </c>
    </row>
    <row r="240" spans="1:14" hidden="1" x14ac:dyDescent="0.2">
      <c r="K240" s="1">
        <v>0</v>
      </c>
      <c r="L240" s="3" t="e">
        <v>#DIV/0!</v>
      </c>
      <c r="M240" s="3" t="e">
        <v>#DIV/0!</v>
      </c>
      <c r="N240" s="3" t="e">
        <v>#DIV/0!</v>
      </c>
    </row>
    <row r="241" spans="1:14" hidden="1" x14ac:dyDescent="0.2">
      <c r="A241" t="s">
        <v>202</v>
      </c>
      <c r="B241" t="s">
        <v>203</v>
      </c>
      <c r="C241">
        <v>324</v>
      </c>
      <c r="D241">
        <v>4</v>
      </c>
      <c r="E241">
        <v>13</v>
      </c>
      <c r="F241">
        <v>192</v>
      </c>
      <c r="G241">
        <v>0</v>
      </c>
      <c r="H241">
        <v>0</v>
      </c>
      <c r="I241">
        <v>8</v>
      </c>
      <c r="J241">
        <f t="shared" ref="J241:J259" si="18">SUM(C241:I241)</f>
        <v>541</v>
      </c>
      <c r="K241" s="1">
        <v>533</v>
      </c>
      <c r="L241" s="3">
        <v>0.60787992495309573</v>
      </c>
      <c r="M241" s="3">
        <v>2.4390243902439025E-2</v>
      </c>
      <c r="N241" s="3">
        <v>0.36022514071294559</v>
      </c>
    </row>
    <row r="242" spans="1:14" hidden="1" x14ac:dyDescent="0.2">
      <c r="A242" t="s">
        <v>202</v>
      </c>
      <c r="B242" t="s">
        <v>204</v>
      </c>
      <c r="C242">
        <v>1252</v>
      </c>
      <c r="D242">
        <v>13</v>
      </c>
      <c r="E242">
        <v>18</v>
      </c>
      <c r="F242">
        <v>919</v>
      </c>
      <c r="G242">
        <v>1</v>
      </c>
      <c r="H242">
        <v>0</v>
      </c>
      <c r="I242">
        <v>24</v>
      </c>
      <c r="J242">
        <f t="shared" si="18"/>
        <v>2227</v>
      </c>
      <c r="K242" s="1">
        <v>2203</v>
      </c>
      <c r="L242" s="3">
        <v>0.56831593281888337</v>
      </c>
      <c r="M242" s="3">
        <v>8.1706763504312309E-3</v>
      </c>
      <c r="N242" s="3">
        <v>0.41715842033590561</v>
      </c>
    </row>
    <row r="243" spans="1:14" hidden="1" x14ac:dyDescent="0.2">
      <c r="A243" t="s">
        <v>202</v>
      </c>
      <c r="B243" t="s">
        <v>205</v>
      </c>
      <c r="C243">
        <v>854</v>
      </c>
      <c r="D243">
        <v>9</v>
      </c>
      <c r="E243">
        <v>6</v>
      </c>
      <c r="F243">
        <v>527</v>
      </c>
      <c r="G243">
        <v>2</v>
      </c>
      <c r="H243">
        <v>0</v>
      </c>
      <c r="I243">
        <v>24</v>
      </c>
      <c r="J243">
        <f t="shared" si="18"/>
        <v>1422</v>
      </c>
      <c r="K243" s="1">
        <v>1398</v>
      </c>
      <c r="L243" s="3">
        <v>0.6108726752503576</v>
      </c>
      <c r="M243" s="3">
        <v>4.2918454935622317E-3</v>
      </c>
      <c r="N243" s="3">
        <v>0.37696709585121602</v>
      </c>
    </row>
    <row r="244" spans="1:14" hidden="1" x14ac:dyDescent="0.2">
      <c r="A244" t="s">
        <v>202</v>
      </c>
      <c r="B244" t="s">
        <v>206</v>
      </c>
      <c r="C244">
        <v>399</v>
      </c>
      <c r="D244">
        <v>2</v>
      </c>
      <c r="E244">
        <v>5</v>
      </c>
      <c r="F244">
        <v>192</v>
      </c>
      <c r="G244">
        <v>3</v>
      </c>
      <c r="H244">
        <v>0</v>
      </c>
      <c r="I244">
        <v>10</v>
      </c>
      <c r="J244">
        <f t="shared" si="18"/>
        <v>611</v>
      </c>
      <c r="K244" s="1">
        <v>601</v>
      </c>
      <c r="L244" s="3">
        <v>0.66389351081530779</v>
      </c>
      <c r="M244" s="3">
        <v>8.3194675540765387E-3</v>
      </c>
      <c r="N244" s="3">
        <v>0.3194675540765391</v>
      </c>
    </row>
    <row r="245" spans="1:14" hidden="1" x14ac:dyDescent="0.2">
      <c r="A245" t="s">
        <v>202</v>
      </c>
      <c r="B245" t="s">
        <v>527</v>
      </c>
      <c r="C245">
        <v>1326</v>
      </c>
      <c r="D245">
        <v>8</v>
      </c>
      <c r="E245">
        <v>22</v>
      </c>
      <c r="F245">
        <v>807</v>
      </c>
      <c r="G245">
        <v>0</v>
      </c>
      <c r="H245">
        <v>0</v>
      </c>
      <c r="I245">
        <v>30</v>
      </c>
      <c r="J245">
        <f t="shared" si="18"/>
        <v>2193</v>
      </c>
      <c r="K245" s="1">
        <v>2163</v>
      </c>
      <c r="L245" s="3">
        <v>0.61303744798890425</v>
      </c>
      <c r="M245" s="3">
        <v>1.0171058714748035E-2</v>
      </c>
      <c r="N245" s="3">
        <v>0.37309292649098474</v>
      </c>
    </row>
    <row r="246" spans="1:14" hidden="1" x14ac:dyDescent="0.2">
      <c r="A246" t="s">
        <v>202</v>
      </c>
      <c r="B246" t="s">
        <v>207</v>
      </c>
      <c r="C246">
        <v>1004</v>
      </c>
      <c r="D246">
        <v>7</v>
      </c>
      <c r="E246">
        <v>13</v>
      </c>
      <c r="F246">
        <v>469</v>
      </c>
      <c r="G246">
        <v>3</v>
      </c>
      <c r="H246">
        <v>0</v>
      </c>
      <c r="I246">
        <v>21</v>
      </c>
      <c r="J246">
        <f t="shared" si="18"/>
        <v>1517</v>
      </c>
      <c r="K246" s="1">
        <v>1496</v>
      </c>
      <c r="L246" s="3">
        <v>0.67112299465240643</v>
      </c>
      <c r="M246" s="3">
        <v>8.6898395721925134E-3</v>
      </c>
      <c r="N246" s="3">
        <v>0.31350267379679142</v>
      </c>
    </row>
    <row r="247" spans="1:14" hidden="1" x14ac:dyDescent="0.2">
      <c r="A247" t="s">
        <v>202</v>
      </c>
      <c r="B247" t="s">
        <v>208</v>
      </c>
      <c r="C247">
        <v>556</v>
      </c>
      <c r="D247">
        <v>9</v>
      </c>
      <c r="E247">
        <v>11</v>
      </c>
      <c r="F247">
        <v>643</v>
      </c>
      <c r="G247">
        <v>1</v>
      </c>
      <c r="H247">
        <v>0</v>
      </c>
      <c r="I247">
        <v>16</v>
      </c>
      <c r="J247">
        <f t="shared" si="18"/>
        <v>1236</v>
      </c>
      <c r="K247" s="1">
        <v>1220</v>
      </c>
      <c r="L247" s="3">
        <v>0.45573770491803278</v>
      </c>
      <c r="M247" s="3">
        <v>9.0163934426229515E-3</v>
      </c>
      <c r="N247" s="3">
        <v>0.52704918032786885</v>
      </c>
    </row>
    <row r="248" spans="1:14" hidden="1" x14ac:dyDescent="0.2">
      <c r="A248" t="s">
        <v>202</v>
      </c>
      <c r="B248" t="s">
        <v>209</v>
      </c>
      <c r="C248">
        <v>526</v>
      </c>
      <c r="D248">
        <v>7</v>
      </c>
      <c r="E248">
        <v>5</v>
      </c>
      <c r="F248">
        <v>336</v>
      </c>
      <c r="G248">
        <v>1</v>
      </c>
      <c r="H248">
        <v>2</v>
      </c>
      <c r="I248">
        <v>12</v>
      </c>
      <c r="J248">
        <f t="shared" si="18"/>
        <v>889</v>
      </c>
      <c r="K248" s="1">
        <v>877</v>
      </c>
      <c r="L248" s="3">
        <v>0.59977194982896243</v>
      </c>
      <c r="M248" s="3">
        <v>5.7012542759407071E-3</v>
      </c>
      <c r="N248" s="3">
        <v>0.38312428734321552</v>
      </c>
    </row>
    <row r="249" spans="1:14" hidden="1" x14ac:dyDescent="0.2">
      <c r="A249" t="s">
        <v>202</v>
      </c>
      <c r="B249" t="s">
        <v>210</v>
      </c>
      <c r="C249">
        <v>751</v>
      </c>
      <c r="D249">
        <v>19</v>
      </c>
      <c r="E249">
        <v>18</v>
      </c>
      <c r="F249">
        <v>972</v>
      </c>
      <c r="G249">
        <v>4</v>
      </c>
      <c r="H249">
        <v>0</v>
      </c>
      <c r="I249">
        <v>23</v>
      </c>
      <c r="J249">
        <f t="shared" si="18"/>
        <v>1787</v>
      </c>
      <c r="K249" s="1">
        <v>1764</v>
      </c>
      <c r="L249" s="3">
        <v>0.42573696145124718</v>
      </c>
      <c r="M249" s="3">
        <v>1.020408163265306E-2</v>
      </c>
      <c r="N249" s="3">
        <v>0.55102040816326525</v>
      </c>
    </row>
    <row r="250" spans="1:14" hidden="1" x14ac:dyDescent="0.2">
      <c r="A250" t="s">
        <v>202</v>
      </c>
      <c r="B250" t="s">
        <v>211</v>
      </c>
      <c r="C250">
        <v>51</v>
      </c>
      <c r="D250">
        <v>1</v>
      </c>
      <c r="E250">
        <v>5</v>
      </c>
      <c r="F250">
        <v>7</v>
      </c>
      <c r="G250">
        <v>0</v>
      </c>
      <c r="H250">
        <v>0</v>
      </c>
      <c r="I250">
        <v>1</v>
      </c>
      <c r="J250">
        <f t="shared" si="18"/>
        <v>65</v>
      </c>
      <c r="K250" s="1">
        <v>64</v>
      </c>
      <c r="L250" s="3">
        <v>0.796875</v>
      </c>
      <c r="M250" s="3">
        <v>7.8125E-2</v>
      </c>
      <c r="N250" s="3">
        <v>0.109375</v>
      </c>
    </row>
    <row r="251" spans="1:14" hidden="1" x14ac:dyDescent="0.2">
      <c r="A251" t="s">
        <v>202</v>
      </c>
      <c r="B251" t="s">
        <v>212</v>
      </c>
      <c r="C251">
        <v>942</v>
      </c>
      <c r="D251">
        <v>6</v>
      </c>
      <c r="E251">
        <v>19</v>
      </c>
      <c r="F251">
        <v>394</v>
      </c>
      <c r="G251">
        <v>6</v>
      </c>
      <c r="H251">
        <v>3</v>
      </c>
      <c r="I251">
        <v>22</v>
      </c>
      <c r="J251">
        <f t="shared" si="18"/>
        <v>1392</v>
      </c>
      <c r="K251" s="1">
        <v>1370</v>
      </c>
      <c r="L251" s="3">
        <v>0.68759124087591239</v>
      </c>
      <c r="M251" s="3">
        <v>1.3868613138686132E-2</v>
      </c>
      <c r="N251" s="3">
        <v>0.28759124087591242</v>
      </c>
    </row>
    <row r="252" spans="1:14" hidden="1" x14ac:dyDescent="0.2">
      <c r="A252" t="s">
        <v>202</v>
      </c>
      <c r="B252" t="s">
        <v>213</v>
      </c>
      <c r="C252">
        <v>718</v>
      </c>
      <c r="D252">
        <v>5</v>
      </c>
      <c r="E252">
        <v>8</v>
      </c>
      <c r="F252">
        <v>612</v>
      </c>
      <c r="G252">
        <v>4</v>
      </c>
      <c r="H252">
        <v>2</v>
      </c>
      <c r="I252">
        <v>19</v>
      </c>
      <c r="J252">
        <f t="shared" si="18"/>
        <v>1368</v>
      </c>
      <c r="K252" s="1">
        <v>1349</v>
      </c>
      <c r="L252" s="3">
        <v>0.53224610822831731</v>
      </c>
      <c r="M252" s="3">
        <v>5.9303187546330613E-3</v>
      </c>
      <c r="N252" s="3">
        <v>0.45366938472942919</v>
      </c>
    </row>
    <row r="253" spans="1:14" hidden="1" x14ac:dyDescent="0.2">
      <c r="A253" t="s">
        <v>202</v>
      </c>
      <c r="B253" t="s">
        <v>214</v>
      </c>
      <c r="C253">
        <v>124</v>
      </c>
      <c r="D253">
        <v>4</v>
      </c>
      <c r="E253">
        <v>9</v>
      </c>
      <c r="F253">
        <v>224</v>
      </c>
      <c r="G253">
        <v>1</v>
      </c>
      <c r="H253">
        <v>0</v>
      </c>
      <c r="I253">
        <v>4</v>
      </c>
      <c r="J253">
        <f t="shared" si="18"/>
        <v>366</v>
      </c>
      <c r="K253" s="1">
        <v>362</v>
      </c>
      <c r="L253" s="3">
        <v>0.34254143646408841</v>
      </c>
      <c r="M253" s="3">
        <v>2.4861878453038673E-2</v>
      </c>
      <c r="N253" s="3">
        <v>0.61878453038674031</v>
      </c>
    </row>
    <row r="254" spans="1:14" hidden="1" x14ac:dyDescent="0.2">
      <c r="A254" t="s">
        <v>202</v>
      </c>
      <c r="B254" t="s">
        <v>215</v>
      </c>
      <c r="C254">
        <v>447</v>
      </c>
      <c r="D254">
        <v>10</v>
      </c>
      <c r="E254">
        <v>14</v>
      </c>
      <c r="F254">
        <v>251</v>
      </c>
      <c r="G254">
        <v>3</v>
      </c>
      <c r="H254">
        <v>0</v>
      </c>
      <c r="I254">
        <v>11</v>
      </c>
      <c r="J254">
        <f t="shared" si="18"/>
        <v>736</v>
      </c>
      <c r="K254" s="1">
        <v>725</v>
      </c>
      <c r="L254" s="3">
        <v>0.61655172413793102</v>
      </c>
      <c r="M254" s="3">
        <v>1.9310344827586208E-2</v>
      </c>
      <c r="N254" s="3">
        <v>0.34620689655172415</v>
      </c>
    </row>
    <row r="255" spans="1:14" hidden="1" x14ac:dyDescent="0.2">
      <c r="A255" t="s">
        <v>202</v>
      </c>
      <c r="B255" t="s">
        <v>216</v>
      </c>
      <c r="C255">
        <v>299</v>
      </c>
      <c r="D255">
        <v>3</v>
      </c>
      <c r="E255">
        <v>0</v>
      </c>
      <c r="F255">
        <v>159</v>
      </c>
      <c r="G255">
        <v>1</v>
      </c>
      <c r="H255">
        <v>0</v>
      </c>
      <c r="I255">
        <v>10</v>
      </c>
      <c r="J255">
        <f t="shared" si="18"/>
        <v>472</v>
      </c>
      <c r="K255" s="1">
        <v>462</v>
      </c>
      <c r="L255" s="3">
        <v>0.6471861471861472</v>
      </c>
      <c r="M255" s="3">
        <v>0</v>
      </c>
      <c r="N255" s="3">
        <v>0.34415584415584416</v>
      </c>
    </row>
    <row r="256" spans="1:14" hidden="1" x14ac:dyDescent="0.2">
      <c r="A256" t="s">
        <v>202</v>
      </c>
      <c r="B256" t="s">
        <v>217</v>
      </c>
      <c r="C256">
        <v>1366</v>
      </c>
      <c r="D256">
        <v>14</v>
      </c>
      <c r="E256">
        <v>37</v>
      </c>
      <c r="F256">
        <v>1598</v>
      </c>
      <c r="G256">
        <v>4</v>
      </c>
      <c r="H256">
        <v>4</v>
      </c>
      <c r="I256">
        <v>36</v>
      </c>
      <c r="J256">
        <f t="shared" si="18"/>
        <v>3059</v>
      </c>
      <c r="K256" s="1">
        <v>3023</v>
      </c>
      <c r="L256" s="3">
        <v>0.45186900430036386</v>
      </c>
      <c r="M256" s="3">
        <v>1.2239497188223619E-2</v>
      </c>
      <c r="N256" s="3">
        <v>0.52861395964273905</v>
      </c>
    </row>
    <row r="257" spans="1:14" hidden="1" x14ac:dyDescent="0.2">
      <c r="A257" t="s">
        <v>202</v>
      </c>
      <c r="B257" t="s">
        <v>218</v>
      </c>
      <c r="C257">
        <v>313</v>
      </c>
      <c r="D257">
        <v>5</v>
      </c>
      <c r="E257">
        <v>4</v>
      </c>
      <c r="F257">
        <v>236</v>
      </c>
      <c r="G257">
        <v>2</v>
      </c>
      <c r="H257">
        <v>0</v>
      </c>
      <c r="I257">
        <v>8</v>
      </c>
      <c r="J257">
        <f t="shared" si="18"/>
        <v>568</v>
      </c>
      <c r="K257" s="1">
        <v>560</v>
      </c>
      <c r="L257" s="3">
        <v>0.55892857142857144</v>
      </c>
      <c r="M257" s="3">
        <v>7.1428571428571426E-3</v>
      </c>
      <c r="N257" s="3">
        <v>0.42142857142857143</v>
      </c>
    </row>
    <row r="258" spans="1:14" hidden="1" x14ac:dyDescent="0.2">
      <c r="A258" t="s">
        <v>202</v>
      </c>
      <c r="B258" t="s">
        <v>219</v>
      </c>
      <c r="C258">
        <v>677</v>
      </c>
      <c r="D258">
        <v>9</v>
      </c>
      <c r="E258">
        <v>22</v>
      </c>
      <c r="F258">
        <v>758</v>
      </c>
      <c r="G258">
        <v>11</v>
      </c>
      <c r="H258">
        <v>1</v>
      </c>
      <c r="I258">
        <v>19</v>
      </c>
      <c r="J258">
        <f t="shared" si="18"/>
        <v>1497</v>
      </c>
      <c r="K258" s="1">
        <v>1478</v>
      </c>
      <c r="L258" s="3">
        <v>0.4580514208389716</v>
      </c>
      <c r="M258" s="3">
        <v>1.4884979702300407E-2</v>
      </c>
      <c r="N258" s="3">
        <v>0.51285520974289578</v>
      </c>
    </row>
    <row r="259" spans="1:14" hidden="1" x14ac:dyDescent="0.2">
      <c r="A259" t="s">
        <v>202</v>
      </c>
      <c r="B259" t="s">
        <v>220</v>
      </c>
      <c r="C259">
        <v>1181</v>
      </c>
      <c r="D259">
        <v>13</v>
      </c>
      <c r="E259">
        <v>30</v>
      </c>
      <c r="F259">
        <v>1113</v>
      </c>
      <c r="G259">
        <v>12</v>
      </c>
      <c r="H259">
        <v>6</v>
      </c>
      <c r="I259">
        <v>29</v>
      </c>
      <c r="J259">
        <f t="shared" si="18"/>
        <v>2384</v>
      </c>
      <c r="K259" s="1">
        <v>2355</v>
      </c>
      <c r="L259" s="3">
        <v>0.50148619957537155</v>
      </c>
      <c r="M259" s="3">
        <v>1.2738853503184714E-2</v>
      </c>
      <c r="N259" s="3">
        <v>0.47261146496815287</v>
      </c>
    </row>
    <row r="260" spans="1:14" s="1" customFormat="1" x14ac:dyDescent="0.2">
      <c r="A260" s="1" t="s">
        <v>202</v>
      </c>
      <c r="B260" s="1" t="s">
        <v>490</v>
      </c>
      <c r="C260" s="1">
        <f t="shared" ref="C260:J260" si="19">SUM(C241:C259)</f>
        <v>13110</v>
      </c>
      <c r="D260" s="1">
        <f t="shared" si="19"/>
        <v>148</v>
      </c>
      <c r="E260" s="1">
        <f t="shared" si="19"/>
        <v>259</v>
      </c>
      <c r="F260" s="1">
        <f t="shared" si="19"/>
        <v>10409</v>
      </c>
      <c r="G260" s="1">
        <f t="shared" si="19"/>
        <v>59</v>
      </c>
      <c r="H260" s="1">
        <f t="shared" si="19"/>
        <v>18</v>
      </c>
      <c r="I260" s="1">
        <f t="shared" si="19"/>
        <v>327</v>
      </c>
      <c r="J260" s="1">
        <f t="shared" si="19"/>
        <v>24330</v>
      </c>
      <c r="K260" s="1">
        <v>24003</v>
      </c>
      <c r="L260" s="3">
        <v>0.54618172728408954</v>
      </c>
      <c r="M260" s="3">
        <v>1.079031787693205E-2</v>
      </c>
      <c r="N260" s="3">
        <v>0.4336541265675124</v>
      </c>
    </row>
    <row r="261" spans="1:14" hidden="1" x14ac:dyDescent="0.2">
      <c r="K261" s="1">
        <v>0</v>
      </c>
      <c r="L261" s="3" t="e">
        <v>#DIV/0!</v>
      </c>
      <c r="M261" s="3" t="e">
        <v>#DIV/0!</v>
      </c>
      <c r="N261" s="3" t="e">
        <v>#DIV/0!</v>
      </c>
    </row>
    <row r="262" spans="1:14" hidden="1" x14ac:dyDescent="0.2">
      <c r="A262" t="s">
        <v>221</v>
      </c>
      <c r="B262" t="s">
        <v>222</v>
      </c>
      <c r="C262">
        <v>156</v>
      </c>
      <c r="D262">
        <v>3</v>
      </c>
      <c r="E262">
        <v>9</v>
      </c>
      <c r="F262">
        <v>172</v>
      </c>
      <c r="G262">
        <v>0</v>
      </c>
      <c r="H262">
        <v>0</v>
      </c>
      <c r="I262">
        <v>5</v>
      </c>
      <c r="J262">
        <f t="shared" ref="J262:J297" si="20">SUM(C262:I262)</f>
        <v>345</v>
      </c>
      <c r="K262" s="1">
        <v>340</v>
      </c>
      <c r="L262" s="3">
        <v>0.45882352941176469</v>
      </c>
      <c r="M262" s="3">
        <v>2.6470588235294117E-2</v>
      </c>
      <c r="N262" s="3">
        <v>0.50588235294117645</v>
      </c>
    </row>
    <row r="263" spans="1:14" hidden="1" x14ac:dyDescent="0.2">
      <c r="A263" t="s">
        <v>221</v>
      </c>
      <c r="B263" t="s">
        <v>223</v>
      </c>
      <c r="C263">
        <v>215</v>
      </c>
      <c r="D263">
        <v>1</v>
      </c>
      <c r="E263">
        <v>7</v>
      </c>
      <c r="F263">
        <v>309</v>
      </c>
      <c r="G263">
        <v>0</v>
      </c>
      <c r="H263">
        <v>0</v>
      </c>
      <c r="I263">
        <v>7</v>
      </c>
      <c r="J263">
        <f t="shared" si="20"/>
        <v>539</v>
      </c>
      <c r="K263" s="1">
        <v>532</v>
      </c>
      <c r="L263" s="3">
        <v>0.40413533834586468</v>
      </c>
      <c r="M263" s="3">
        <v>1.3157894736842105E-2</v>
      </c>
      <c r="N263" s="3">
        <v>0.58082706766917291</v>
      </c>
    </row>
    <row r="264" spans="1:14" hidden="1" x14ac:dyDescent="0.2">
      <c r="A264" t="s">
        <v>221</v>
      </c>
      <c r="B264" t="s">
        <v>528</v>
      </c>
      <c r="C264">
        <v>988</v>
      </c>
      <c r="D264">
        <v>16</v>
      </c>
      <c r="E264">
        <v>26</v>
      </c>
      <c r="F264">
        <v>777</v>
      </c>
      <c r="G264">
        <v>5</v>
      </c>
      <c r="H264">
        <v>1</v>
      </c>
      <c r="I264">
        <v>20</v>
      </c>
      <c r="J264">
        <f t="shared" si="20"/>
        <v>1833</v>
      </c>
      <c r="K264" s="1">
        <v>1813</v>
      </c>
      <c r="L264" s="3">
        <v>0.54495311638168786</v>
      </c>
      <c r="M264" s="3">
        <v>1.4340871483728626E-2</v>
      </c>
      <c r="N264" s="3">
        <v>0.42857142857142855</v>
      </c>
    </row>
    <row r="265" spans="1:14" hidden="1" x14ac:dyDescent="0.2">
      <c r="A265" t="s">
        <v>221</v>
      </c>
      <c r="B265" t="s">
        <v>224</v>
      </c>
      <c r="C265">
        <v>487</v>
      </c>
      <c r="D265">
        <v>6</v>
      </c>
      <c r="E265">
        <v>7</v>
      </c>
      <c r="F265">
        <v>530</v>
      </c>
      <c r="G265">
        <v>2</v>
      </c>
      <c r="H265">
        <v>2</v>
      </c>
      <c r="I265">
        <v>7</v>
      </c>
      <c r="J265">
        <f t="shared" si="20"/>
        <v>1041</v>
      </c>
      <c r="K265" s="1">
        <v>1034</v>
      </c>
      <c r="L265" s="3">
        <v>0.47098646034816249</v>
      </c>
      <c r="M265" s="3">
        <v>6.7698259187620891E-3</v>
      </c>
      <c r="N265" s="3">
        <v>0.5125725338491296</v>
      </c>
    </row>
    <row r="266" spans="1:14" hidden="1" x14ac:dyDescent="0.2">
      <c r="A266" t="s">
        <v>221</v>
      </c>
      <c r="B266" t="s">
        <v>225</v>
      </c>
      <c r="C266">
        <v>433</v>
      </c>
      <c r="D266">
        <v>4</v>
      </c>
      <c r="E266">
        <v>9</v>
      </c>
      <c r="F266">
        <v>790</v>
      </c>
      <c r="G266">
        <v>5</v>
      </c>
      <c r="H266">
        <v>0</v>
      </c>
      <c r="I266">
        <v>15</v>
      </c>
      <c r="J266">
        <f t="shared" si="20"/>
        <v>1256</v>
      </c>
      <c r="K266" s="1">
        <v>1241</v>
      </c>
      <c r="L266" s="3">
        <v>0.34891216760676874</v>
      </c>
      <c r="M266" s="3">
        <v>7.2522159548751011E-3</v>
      </c>
      <c r="N266" s="3">
        <v>0.63658340048348105</v>
      </c>
    </row>
    <row r="267" spans="1:14" hidden="1" x14ac:dyDescent="0.2">
      <c r="A267" t="s">
        <v>221</v>
      </c>
      <c r="B267" t="s">
        <v>226</v>
      </c>
      <c r="C267">
        <v>36</v>
      </c>
      <c r="D267">
        <v>0</v>
      </c>
      <c r="E267">
        <v>2</v>
      </c>
      <c r="F267">
        <v>66</v>
      </c>
      <c r="G267">
        <v>0</v>
      </c>
      <c r="H267">
        <v>0</v>
      </c>
      <c r="I267">
        <v>2</v>
      </c>
      <c r="J267">
        <f t="shared" si="20"/>
        <v>106</v>
      </c>
      <c r="K267" s="1">
        <v>104</v>
      </c>
      <c r="L267" s="3">
        <v>0.34615384615384615</v>
      </c>
      <c r="M267" s="3">
        <v>1.9230769230769232E-2</v>
      </c>
      <c r="N267" s="3">
        <v>0.63461538461538458</v>
      </c>
    </row>
    <row r="268" spans="1:14" hidden="1" x14ac:dyDescent="0.2">
      <c r="A268" t="s">
        <v>221</v>
      </c>
      <c r="B268" t="s">
        <v>227</v>
      </c>
      <c r="C268">
        <v>169</v>
      </c>
      <c r="D268">
        <v>3</v>
      </c>
      <c r="E268">
        <v>2</v>
      </c>
      <c r="F268">
        <v>385</v>
      </c>
      <c r="G268">
        <v>2</v>
      </c>
      <c r="H268">
        <v>1</v>
      </c>
      <c r="I268">
        <v>9</v>
      </c>
      <c r="J268">
        <f t="shared" si="20"/>
        <v>571</v>
      </c>
      <c r="K268" s="1">
        <v>562</v>
      </c>
      <c r="L268" s="3">
        <v>0.30071174377224197</v>
      </c>
      <c r="M268" s="3">
        <v>3.5587188612099642E-3</v>
      </c>
      <c r="N268" s="3">
        <v>0.68505338078291811</v>
      </c>
    </row>
    <row r="269" spans="1:14" hidden="1" x14ac:dyDescent="0.2">
      <c r="A269" t="s">
        <v>221</v>
      </c>
      <c r="B269" t="s">
        <v>228</v>
      </c>
      <c r="C269">
        <v>408</v>
      </c>
      <c r="D269">
        <v>7</v>
      </c>
      <c r="E269">
        <v>5</v>
      </c>
      <c r="F269">
        <v>405</v>
      </c>
      <c r="G269">
        <v>3</v>
      </c>
      <c r="H269">
        <v>0</v>
      </c>
      <c r="I269">
        <v>10</v>
      </c>
      <c r="J269">
        <f t="shared" si="20"/>
        <v>838</v>
      </c>
      <c r="K269" s="1">
        <v>828</v>
      </c>
      <c r="L269" s="3">
        <v>0.49275362318840582</v>
      </c>
      <c r="M269" s="3">
        <v>6.038647342995169E-3</v>
      </c>
      <c r="N269" s="3">
        <v>0.4891304347826087</v>
      </c>
    </row>
    <row r="270" spans="1:14" hidden="1" x14ac:dyDescent="0.2">
      <c r="A270" t="s">
        <v>221</v>
      </c>
      <c r="B270" t="s">
        <v>229</v>
      </c>
      <c r="C270">
        <v>427</v>
      </c>
      <c r="D270">
        <v>9</v>
      </c>
      <c r="E270">
        <v>8</v>
      </c>
      <c r="F270">
        <v>870</v>
      </c>
      <c r="G270">
        <v>1</v>
      </c>
      <c r="H270">
        <v>0</v>
      </c>
      <c r="I270">
        <v>20</v>
      </c>
      <c r="J270">
        <f t="shared" si="20"/>
        <v>1335</v>
      </c>
      <c r="K270" s="1">
        <v>1315</v>
      </c>
      <c r="L270" s="3">
        <v>0.32471482889733838</v>
      </c>
      <c r="M270" s="3">
        <v>6.0836501901140681E-3</v>
      </c>
      <c r="N270" s="3">
        <v>0.66159695817490494</v>
      </c>
    </row>
    <row r="271" spans="1:14" hidden="1" x14ac:dyDescent="0.2">
      <c r="A271" t="s">
        <v>221</v>
      </c>
      <c r="B271" t="s">
        <v>230</v>
      </c>
      <c r="C271">
        <v>1120</v>
      </c>
      <c r="D271">
        <v>14</v>
      </c>
      <c r="E271">
        <v>17</v>
      </c>
      <c r="F271">
        <v>882</v>
      </c>
      <c r="G271">
        <v>11</v>
      </c>
      <c r="H271">
        <v>0</v>
      </c>
      <c r="I271">
        <v>40</v>
      </c>
      <c r="J271">
        <f t="shared" si="20"/>
        <v>2084</v>
      </c>
      <c r="K271" s="1">
        <v>2044</v>
      </c>
      <c r="L271" s="3">
        <v>0.54794520547945202</v>
      </c>
      <c r="M271" s="3">
        <v>8.3170254403131111E-3</v>
      </c>
      <c r="N271" s="3">
        <v>0.4315068493150685</v>
      </c>
    </row>
    <row r="272" spans="1:14" hidden="1" x14ac:dyDescent="0.2">
      <c r="A272" t="s">
        <v>221</v>
      </c>
      <c r="B272" t="s">
        <v>231</v>
      </c>
      <c r="C272">
        <v>58</v>
      </c>
      <c r="D272">
        <v>3</v>
      </c>
      <c r="E272">
        <v>4</v>
      </c>
      <c r="F272">
        <v>64</v>
      </c>
      <c r="G272">
        <v>2</v>
      </c>
      <c r="H272">
        <v>0</v>
      </c>
      <c r="I272">
        <v>2</v>
      </c>
      <c r="J272">
        <f t="shared" si="20"/>
        <v>133</v>
      </c>
      <c r="K272" s="1">
        <v>131</v>
      </c>
      <c r="L272" s="3">
        <v>0.44274809160305345</v>
      </c>
      <c r="M272" s="3">
        <v>3.0534351145038167E-2</v>
      </c>
      <c r="N272" s="3">
        <v>0.48854961832061067</v>
      </c>
    </row>
    <row r="273" spans="1:14" hidden="1" x14ac:dyDescent="0.2">
      <c r="A273" t="s">
        <v>221</v>
      </c>
      <c r="B273" t="s">
        <v>232</v>
      </c>
      <c r="C273">
        <v>302</v>
      </c>
      <c r="D273">
        <v>4</v>
      </c>
      <c r="E273">
        <v>5</v>
      </c>
      <c r="F273">
        <v>291</v>
      </c>
      <c r="G273">
        <v>1</v>
      </c>
      <c r="H273">
        <v>0</v>
      </c>
      <c r="I273">
        <v>7</v>
      </c>
      <c r="J273">
        <f t="shared" si="20"/>
        <v>610</v>
      </c>
      <c r="K273" s="1">
        <v>603</v>
      </c>
      <c r="L273" s="3">
        <v>0.50082918739635163</v>
      </c>
      <c r="M273" s="3">
        <v>8.291873963515755E-3</v>
      </c>
      <c r="N273" s="3">
        <v>0.48258706467661694</v>
      </c>
    </row>
    <row r="274" spans="1:14" hidden="1" x14ac:dyDescent="0.2">
      <c r="A274" t="s">
        <v>221</v>
      </c>
      <c r="B274" t="s">
        <v>233</v>
      </c>
      <c r="C274">
        <v>111</v>
      </c>
      <c r="D274">
        <v>2</v>
      </c>
      <c r="E274">
        <v>1</v>
      </c>
      <c r="F274">
        <v>82</v>
      </c>
      <c r="G274">
        <v>0</v>
      </c>
      <c r="H274">
        <v>0</v>
      </c>
      <c r="I274">
        <v>8</v>
      </c>
      <c r="J274">
        <f t="shared" si="20"/>
        <v>204</v>
      </c>
      <c r="K274" s="1">
        <v>196</v>
      </c>
      <c r="L274" s="3">
        <v>0.56632653061224492</v>
      </c>
      <c r="M274" s="3">
        <v>5.1020408163265302E-3</v>
      </c>
      <c r="N274" s="3">
        <v>0.41836734693877553</v>
      </c>
    </row>
    <row r="275" spans="1:14" hidden="1" x14ac:dyDescent="0.2">
      <c r="A275" t="s">
        <v>221</v>
      </c>
      <c r="B275" t="s">
        <v>234</v>
      </c>
      <c r="C275">
        <v>277</v>
      </c>
      <c r="D275">
        <v>4</v>
      </c>
      <c r="E275">
        <v>6</v>
      </c>
      <c r="F275">
        <v>447</v>
      </c>
      <c r="G275">
        <v>2</v>
      </c>
      <c r="H275">
        <v>0</v>
      </c>
      <c r="I275">
        <v>12</v>
      </c>
      <c r="J275">
        <f t="shared" si="20"/>
        <v>748</v>
      </c>
      <c r="K275" s="1">
        <v>736</v>
      </c>
      <c r="L275" s="3">
        <v>0.37635869565217389</v>
      </c>
      <c r="M275" s="3">
        <v>8.152173913043478E-3</v>
      </c>
      <c r="N275" s="3">
        <v>0.60733695652173914</v>
      </c>
    </row>
    <row r="276" spans="1:14" hidden="1" x14ac:dyDescent="0.2">
      <c r="A276" t="s">
        <v>221</v>
      </c>
      <c r="B276" t="s">
        <v>235</v>
      </c>
      <c r="C276">
        <v>304</v>
      </c>
      <c r="D276">
        <v>9</v>
      </c>
      <c r="E276">
        <v>11</v>
      </c>
      <c r="F276">
        <v>472</v>
      </c>
      <c r="G276">
        <v>1</v>
      </c>
      <c r="H276">
        <v>0</v>
      </c>
      <c r="I276">
        <v>13</v>
      </c>
      <c r="J276">
        <f t="shared" si="20"/>
        <v>810</v>
      </c>
      <c r="K276" s="1">
        <v>797</v>
      </c>
      <c r="L276" s="3">
        <v>0.38143036386449186</v>
      </c>
      <c r="M276" s="3">
        <v>1.3801756587202008E-2</v>
      </c>
      <c r="N276" s="3">
        <v>0.59222082810539523</v>
      </c>
    </row>
    <row r="277" spans="1:14" hidden="1" x14ac:dyDescent="0.2">
      <c r="A277" t="s">
        <v>221</v>
      </c>
      <c r="B277" t="s">
        <v>236</v>
      </c>
      <c r="C277">
        <v>396</v>
      </c>
      <c r="D277">
        <v>3</v>
      </c>
      <c r="E277">
        <v>6</v>
      </c>
      <c r="F277">
        <v>585</v>
      </c>
      <c r="G277">
        <v>1</v>
      </c>
      <c r="H277">
        <v>0</v>
      </c>
      <c r="I277">
        <v>11</v>
      </c>
      <c r="J277">
        <f t="shared" si="20"/>
        <v>1002</v>
      </c>
      <c r="K277" s="1">
        <v>991</v>
      </c>
      <c r="L277" s="3">
        <v>0.39959636730575177</v>
      </c>
      <c r="M277" s="3">
        <v>6.0544904137235112E-3</v>
      </c>
      <c r="N277" s="3">
        <v>0.59031281533804236</v>
      </c>
    </row>
    <row r="278" spans="1:14" hidden="1" x14ac:dyDescent="0.2">
      <c r="A278" t="s">
        <v>221</v>
      </c>
      <c r="B278" t="s">
        <v>237</v>
      </c>
      <c r="C278">
        <v>26</v>
      </c>
      <c r="D278">
        <v>0</v>
      </c>
      <c r="E278">
        <v>1</v>
      </c>
      <c r="F278">
        <v>30</v>
      </c>
      <c r="G278">
        <v>0</v>
      </c>
      <c r="H278">
        <v>0</v>
      </c>
      <c r="I278">
        <v>1</v>
      </c>
      <c r="J278">
        <f t="shared" si="20"/>
        <v>58</v>
      </c>
      <c r="K278" s="1">
        <v>57</v>
      </c>
      <c r="L278" s="3">
        <v>0.45614035087719296</v>
      </c>
      <c r="M278" s="3">
        <v>1.7543859649122806E-2</v>
      </c>
      <c r="N278" s="3">
        <v>0.52631578947368418</v>
      </c>
    </row>
    <row r="279" spans="1:14" hidden="1" x14ac:dyDescent="0.2">
      <c r="A279" t="s">
        <v>221</v>
      </c>
      <c r="B279" t="s">
        <v>238</v>
      </c>
      <c r="C279">
        <v>438</v>
      </c>
      <c r="D279">
        <v>6</v>
      </c>
      <c r="E279">
        <v>3</v>
      </c>
      <c r="F279">
        <v>387</v>
      </c>
      <c r="G279">
        <v>5</v>
      </c>
      <c r="H279">
        <v>1</v>
      </c>
      <c r="I279">
        <v>11</v>
      </c>
      <c r="J279">
        <f t="shared" si="20"/>
        <v>851</v>
      </c>
      <c r="K279" s="1">
        <v>840</v>
      </c>
      <c r="L279" s="3">
        <v>0.52142857142857146</v>
      </c>
      <c r="M279" s="3">
        <v>3.5714285714285713E-3</v>
      </c>
      <c r="N279" s="3">
        <v>0.46071428571428569</v>
      </c>
    </row>
    <row r="280" spans="1:14" hidden="1" x14ac:dyDescent="0.2">
      <c r="A280" t="s">
        <v>221</v>
      </c>
      <c r="B280" t="s">
        <v>239</v>
      </c>
      <c r="C280">
        <v>523</v>
      </c>
      <c r="D280">
        <v>3</v>
      </c>
      <c r="E280">
        <v>10</v>
      </c>
      <c r="F280">
        <v>729</v>
      </c>
      <c r="G280">
        <v>2</v>
      </c>
      <c r="H280">
        <v>0</v>
      </c>
      <c r="I280">
        <v>20</v>
      </c>
      <c r="J280">
        <f t="shared" si="20"/>
        <v>1287</v>
      </c>
      <c r="K280" s="1">
        <v>1267</v>
      </c>
      <c r="L280" s="3">
        <v>0.4127861089187056</v>
      </c>
      <c r="M280" s="3">
        <v>7.8926598263614842E-3</v>
      </c>
      <c r="N280" s="3">
        <v>0.57537490134175218</v>
      </c>
    </row>
    <row r="281" spans="1:14" hidden="1" x14ac:dyDescent="0.2">
      <c r="A281" t="s">
        <v>221</v>
      </c>
      <c r="B281" t="s">
        <v>240</v>
      </c>
      <c r="C281">
        <v>146</v>
      </c>
      <c r="D281">
        <v>5</v>
      </c>
      <c r="E281">
        <v>3</v>
      </c>
      <c r="F281">
        <v>115</v>
      </c>
      <c r="G281">
        <v>1</v>
      </c>
      <c r="H281">
        <v>0</v>
      </c>
      <c r="I281">
        <v>7</v>
      </c>
      <c r="J281">
        <f t="shared" si="20"/>
        <v>277</v>
      </c>
      <c r="K281" s="1">
        <v>270</v>
      </c>
      <c r="L281" s="3">
        <v>0.54074074074074074</v>
      </c>
      <c r="M281" s="3">
        <v>1.1111111111111112E-2</v>
      </c>
      <c r="N281" s="3">
        <v>0.42592592592592593</v>
      </c>
    </row>
    <row r="282" spans="1:14" hidden="1" x14ac:dyDescent="0.2">
      <c r="A282" t="s">
        <v>221</v>
      </c>
      <c r="B282" t="s">
        <v>241</v>
      </c>
      <c r="C282">
        <v>1499</v>
      </c>
      <c r="D282">
        <v>12</v>
      </c>
      <c r="E282">
        <v>25</v>
      </c>
      <c r="F282">
        <v>1495</v>
      </c>
      <c r="G282">
        <v>5</v>
      </c>
      <c r="H282">
        <v>1</v>
      </c>
      <c r="I282">
        <v>43</v>
      </c>
      <c r="J282">
        <f t="shared" si="20"/>
        <v>3080</v>
      </c>
      <c r="K282" s="1">
        <v>3037</v>
      </c>
      <c r="L282" s="3">
        <v>0.49357918999012185</v>
      </c>
      <c r="M282" s="3">
        <v>8.231807704972012E-3</v>
      </c>
      <c r="N282" s="3">
        <v>0.49226210075732629</v>
      </c>
    </row>
    <row r="283" spans="1:14" hidden="1" x14ac:dyDescent="0.2">
      <c r="A283" t="s">
        <v>221</v>
      </c>
      <c r="B283" t="s">
        <v>242</v>
      </c>
      <c r="C283">
        <v>547</v>
      </c>
      <c r="D283">
        <v>11</v>
      </c>
      <c r="E283">
        <v>15</v>
      </c>
      <c r="F283">
        <v>660</v>
      </c>
      <c r="G283">
        <v>3</v>
      </c>
      <c r="H283">
        <v>0</v>
      </c>
      <c r="I283">
        <v>10</v>
      </c>
      <c r="J283">
        <f t="shared" si="20"/>
        <v>1246</v>
      </c>
      <c r="K283" s="1">
        <v>1236</v>
      </c>
      <c r="L283" s="3">
        <v>0.44255663430420711</v>
      </c>
      <c r="M283" s="3">
        <v>1.2135922330097087E-2</v>
      </c>
      <c r="N283" s="3">
        <v>0.53398058252427183</v>
      </c>
    </row>
    <row r="284" spans="1:14" hidden="1" x14ac:dyDescent="0.2">
      <c r="A284" t="s">
        <v>221</v>
      </c>
      <c r="B284" t="s">
        <v>243</v>
      </c>
      <c r="C284">
        <v>803</v>
      </c>
      <c r="D284">
        <v>12</v>
      </c>
      <c r="E284">
        <v>18</v>
      </c>
      <c r="F284">
        <v>1609</v>
      </c>
      <c r="G284">
        <v>2</v>
      </c>
      <c r="H284">
        <v>0</v>
      </c>
      <c r="I284">
        <v>30</v>
      </c>
      <c r="J284">
        <f t="shared" si="20"/>
        <v>2474</v>
      </c>
      <c r="K284" s="1">
        <v>2444</v>
      </c>
      <c r="L284" s="3">
        <v>0.32855973813420619</v>
      </c>
      <c r="M284" s="3">
        <v>7.3649754500818331E-3</v>
      </c>
      <c r="N284" s="3">
        <v>0.65834697217675942</v>
      </c>
    </row>
    <row r="285" spans="1:14" hidden="1" x14ac:dyDescent="0.2">
      <c r="A285" t="s">
        <v>221</v>
      </c>
      <c r="B285" t="s">
        <v>244</v>
      </c>
      <c r="C285">
        <v>1206</v>
      </c>
      <c r="D285">
        <v>13</v>
      </c>
      <c r="E285">
        <v>30</v>
      </c>
      <c r="F285">
        <v>1683</v>
      </c>
      <c r="G285">
        <v>5</v>
      </c>
      <c r="H285">
        <v>1</v>
      </c>
      <c r="I285">
        <v>36</v>
      </c>
      <c r="J285">
        <f t="shared" si="20"/>
        <v>2974</v>
      </c>
      <c r="K285" s="1">
        <v>2938</v>
      </c>
      <c r="L285" s="3">
        <v>0.41048332198774679</v>
      </c>
      <c r="M285" s="3">
        <v>1.0211027910142955E-2</v>
      </c>
      <c r="N285" s="3">
        <v>0.57283866575901976</v>
      </c>
    </row>
    <row r="286" spans="1:14" hidden="1" x14ac:dyDescent="0.2">
      <c r="A286" t="s">
        <v>221</v>
      </c>
      <c r="B286" t="s">
        <v>245</v>
      </c>
      <c r="C286">
        <v>284</v>
      </c>
      <c r="D286">
        <v>3</v>
      </c>
      <c r="E286">
        <v>8</v>
      </c>
      <c r="F286">
        <v>584</v>
      </c>
      <c r="G286">
        <v>4</v>
      </c>
      <c r="H286">
        <v>0</v>
      </c>
      <c r="I286">
        <v>17</v>
      </c>
      <c r="J286">
        <f t="shared" si="20"/>
        <v>900</v>
      </c>
      <c r="K286" s="1">
        <v>883</v>
      </c>
      <c r="L286" s="3">
        <v>0.32163080407701017</v>
      </c>
      <c r="M286" s="3">
        <v>9.0600226500566258E-3</v>
      </c>
      <c r="N286" s="3">
        <v>0.66138165345413369</v>
      </c>
    </row>
    <row r="287" spans="1:14" hidden="1" x14ac:dyDescent="0.2">
      <c r="A287" t="s">
        <v>221</v>
      </c>
      <c r="B287" t="s">
        <v>246</v>
      </c>
      <c r="C287">
        <v>325</v>
      </c>
      <c r="D287">
        <v>7</v>
      </c>
      <c r="E287">
        <v>10</v>
      </c>
      <c r="F287">
        <v>597</v>
      </c>
      <c r="G287">
        <v>3</v>
      </c>
      <c r="H287">
        <v>1</v>
      </c>
      <c r="I287">
        <v>5</v>
      </c>
      <c r="J287">
        <f t="shared" si="20"/>
        <v>948</v>
      </c>
      <c r="K287" s="1">
        <v>943</v>
      </c>
      <c r="L287" s="3">
        <v>0.34464475079533402</v>
      </c>
      <c r="M287" s="3">
        <v>1.0604453870625663E-2</v>
      </c>
      <c r="N287" s="3">
        <v>0.63308589607635202</v>
      </c>
    </row>
    <row r="288" spans="1:14" hidden="1" x14ac:dyDescent="0.2">
      <c r="A288" t="s">
        <v>221</v>
      </c>
      <c r="B288" t="s">
        <v>247</v>
      </c>
      <c r="C288">
        <v>89</v>
      </c>
      <c r="D288">
        <v>2</v>
      </c>
      <c r="E288">
        <v>2</v>
      </c>
      <c r="F288">
        <v>168</v>
      </c>
      <c r="G288">
        <v>0</v>
      </c>
      <c r="H288">
        <v>0</v>
      </c>
      <c r="I288">
        <v>1</v>
      </c>
      <c r="J288">
        <f t="shared" si="20"/>
        <v>262</v>
      </c>
      <c r="K288" s="1">
        <v>261</v>
      </c>
      <c r="L288" s="3">
        <v>0.34099616858237547</v>
      </c>
      <c r="M288" s="3">
        <v>7.6628352490421452E-3</v>
      </c>
      <c r="N288" s="3">
        <v>0.64367816091954022</v>
      </c>
    </row>
    <row r="289" spans="1:14" hidden="1" x14ac:dyDescent="0.2">
      <c r="A289" t="s">
        <v>221</v>
      </c>
      <c r="B289" t="s">
        <v>248</v>
      </c>
      <c r="C289">
        <v>1152</v>
      </c>
      <c r="D289">
        <v>12</v>
      </c>
      <c r="E289">
        <v>14</v>
      </c>
      <c r="F289">
        <v>1551</v>
      </c>
      <c r="G289">
        <v>6</v>
      </c>
      <c r="H289">
        <v>0</v>
      </c>
      <c r="I289">
        <v>53</v>
      </c>
      <c r="J289">
        <f t="shared" si="20"/>
        <v>2788</v>
      </c>
      <c r="K289" s="1">
        <v>2735</v>
      </c>
      <c r="L289" s="3">
        <v>0.42120658135283362</v>
      </c>
      <c r="M289" s="3">
        <v>5.1188299817184644E-3</v>
      </c>
      <c r="N289" s="3">
        <v>0.56709323583180982</v>
      </c>
    </row>
    <row r="290" spans="1:14" hidden="1" x14ac:dyDescent="0.2">
      <c r="A290" t="s">
        <v>221</v>
      </c>
      <c r="B290" t="s">
        <v>249</v>
      </c>
      <c r="C290">
        <v>97</v>
      </c>
      <c r="D290">
        <v>2</v>
      </c>
      <c r="E290">
        <v>2</v>
      </c>
      <c r="F290">
        <v>95</v>
      </c>
      <c r="G290">
        <v>1</v>
      </c>
      <c r="H290">
        <v>0</v>
      </c>
      <c r="I290">
        <v>5</v>
      </c>
      <c r="J290">
        <f t="shared" si="20"/>
        <v>202</v>
      </c>
      <c r="K290" s="1">
        <v>197</v>
      </c>
      <c r="L290" s="3">
        <v>0.49238578680203043</v>
      </c>
      <c r="M290" s="3">
        <v>1.015228426395939E-2</v>
      </c>
      <c r="N290" s="3">
        <v>0.48223350253807107</v>
      </c>
    </row>
    <row r="291" spans="1:14" hidden="1" x14ac:dyDescent="0.2">
      <c r="A291" t="s">
        <v>221</v>
      </c>
      <c r="B291" t="s">
        <v>250</v>
      </c>
      <c r="C291">
        <v>125</v>
      </c>
      <c r="D291">
        <v>0</v>
      </c>
      <c r="E291">
        <v>4</v>
      </c>
      <c r="F291">
        <v>118</v>
      </c>
      <c r="G291">
        <v>1</v>
      </c>
      <c r="H291">
        <v>0</v>
      </c>
      <c r="I291">
        <v>6</v>
      </c>
      <c r="J291">
        <f t="shared" si="20"/>
        <v>254</v>
      </c>
      <c r="K291" s="1">
        <v>248</v>
      </c>
      <c r="L291" s="3">
        <v>0.50403225806451613</v>
      </c>
      <c r="M291" s="3">
        <v>1.6129032258064516E-2</v>
      </c>
      <c r="N291" s="3">
        <v>0.47580645161290325</v>
      </c>
    </row>
    <row r="292" spans="1:14" hidden="1" x14ac:dyDescent="0.2">
      <c r="A292" t="s">
        <v>221</v>
      </c>
      <c r="B292" t="s">
        <v>251</v>
      </c>
      <c r="C292">
        <v>219</v>
      </c>
      <c r="D292">
        <v>3</v>
      </c>
      <c r="E292">
        <v>10</v>
      </c>
      <c r="F292">
        <v>369</v>
      </c>
      <c r="G292">
        <v>0</v>
      </c>
      <c r="H292">
        <v>0</v>
      </c>
      <c r="I292">
        <v>12</v>
      </c>
      <c r="J292">
        <f t="shared" si="20"/>
        <v>613</v>
      </c>
      <c r="K292" s="1">
        <v>601</v>
      </c>
      <c r="L292" s="3">
        <v>0.36439267886855242</v>
      </c>
      <c r="M292" s="3">
        <v>1.6638935108153077E-2</v>
      </c>
      <c r="N292" s="3">
        <v>0.6139767054908486</v>
      </c>
    </row>
    <row r="293" spans="1:14" hidden="1" x14ac:dyDescent="0.2">
      <c r="A293" t="s">
        <v>221</v>
      </c>
      <c r="B293" t="s">
        <v>252</v>
      </c>
      <c r="C293">
        <v>157</v>
      </c>
      <c r="D293">
        <v>3</v>
      </c>
      <c r="E293">
        <v>3</v>
      </c>
      <c r="F293">
        <v>119</v>
      </c>
      <c r="G293">
        <v>0</v>
      </c>
      <c r="H293">
        <v>0</v>
      </c>
      <c r="I293">
        <v>5</v>
      </c>
      <c r="J293">
        <f t="shared" si="20"/>
        <v>287</v>
      </c>
      <c r="K293" s="1">
        <v>282</v>
      </c>
      <c r="L293" s="3">
        <v>0.55673758865248224</v>
      </c>
      <c r="M293" s="3">
        <v>1.0638297872340425E-2</v>
      </c>
      <c r="N293" s="3">
        <v>0.42198581560283688</v>
      </c>
    </row>
    <row r="294" spans="1:14" hidden="1" x14ac:dyDescent="0.2">
      <c r="A294" t="s">
        <v>221</v>
      </c>
      <c r="B294" t="s">
        <v>253</v>
      </c>
      <c r="C294">
        <v>15</v>
      </c>
      <c r="D294">
        <v>0</v>
      </c>
      <c r="E294">
        <v>0</v>
      </c>
      <c r="F294">
        <v>41</v>
      </c>
      <c r="G294">
        <v>0</v>
      </c>
      <c r="H294">
        <v>0</v>
      </c>
      <c r="I294">
        <v>1</v>
      </c>
      <c r="J294">
        <f t="shared" si="20"/>
        <v>57</v>
      </c>
      <c r="K294" s="1">
        <v>56</v>
      </c>
      <c r="L294" s="3">
        <v>0.26785714285714285</v>
      </c>
      <c r="M294" s="3">
        <v>0</v>
      </c>
      <c r="N294" s="3">
        <v>0.7321428571428571</v>
      </c>
    </row>
    <row r="295" spans="1:14" hidden="1" x14ac:dyDescent="0.2">
      <c r="A295" t="s">
        <v>221</v>
      </c>
      <c r="B295" t="s">
        <v>254</v>
      </c>
      <c r="C295">
        <v>460</v>
      </c>
      <c r="D295">
        <v>7</v>
      </c>
      <c r="E295">
        <v>7</v>
      </c>
      <c r="F295">
        <v>572</v>
      </c>
      <c r="G295">
        <v>3</v>
      </c>
      <c r="H295">
        <v>0</v>
      </c>
      <c r="I295">
        <v>8</v>
      </c>
      <c r="J295">
        <f t="shared" si="20"/>
        <v>1057</v>
      </c>
      <c r="K295" s="1">
        <v>1049</v>
      </c>
      <c r="L295" s="3">
        <v>0.43851286939942802</v>
      </c>
      <c r="M295" s="3">
        <v>6.6730219256434702E-3</v>
      </c>
      <c r="N295" s="3">
        <v>0.54528122020972358</v>
      </c>
    </row>
    <row r="296" spans="1:14" hidden="1" x14ac:dyDescent="0.2">
      <c r="A296" t="s">
        <v>221</v>
      </c>
      <c r="B296" t="s">
        <v>255</v>
      </c>
      <c r="C296">
        <v>385</v>
      </c>
      <c r="D296">
        <v>7</v>
      </c>
      <c r="E296">
        <v>6</v>
      </c>
      <c r="F296">
        <v>631</v>
      </c>
      <c r="G296">
        <v>2</v>
      </c>
      <c r="H296">
        <v>1</v>
      </c>
      <c r="I296">
        <v>12</v>
      </c>
      <c r="J296">
        <f t="shared" si="20"/>
        <v>1044</v>
      </c>
      <c r="K296" s="1">
        <v>1032</v>
      </c>
      <c r="L296" s="3">
        <v>0.37306201550387597</v>
      </c>
      <c r="M296" s="3">
        <v>5.8139534883720929E-3</v>
      </c>
      <c r="N296" s="3">
        <v>0.61143410852713176</v>
      </c>
    </row>
    <row r="297" spans="1:14" hidden="1" x14ac:dyDescent="0.2">
      <c r="A297" t="s">
        <v>221</v>
      </c>
      <c r="B297" t="s">
        <v>529</v>
      </c>
      <c r="C297">
        <v>382</v>
      </c>
      <c r="D297">
        <v>4</v>
      </c>
      <c r="E297">
        <v>9</v>
      </c>
      <c r="F297">
        <v>548</v>
      </c>
      <c r="G297">
        <v>4</v>
      </c>
      <c r="H297">
        <v>0</v>
      </c>
      <c r="I297">
        <v>3</v>
      </c>
      <c r="J297">
        <f t="shared" si="20"/>
        <v>950</v>
      </c>
      <c r="K297" s="1">
        <v>947</v>
      </c>
      <c r="L297" s="3">
        <v>0.40337909186906018</v>
      </c>
      <c r="M297" s="3">
        <v>9.5036958817317843E-3</v>
      </c>
      <c r="N297" s="3">
        <v>0.57866948257655759</v>
      </c>
    </row>
    <row r="298" spans="1:14" s="1" customFormat="1" x14ac:dyDescent="0.2">
      <c r="A298" s="1" t="s">
        <v>221</v>
      </c>
      <c r="B298" s="1" t="s">
        <v>491</v>
      </c>
      <c r="C298" s="1">
        <f t="shared" ref="C298:J298" si="21">SUM(C262:C297)</f>
        <v>14765</v>
      </c>
      <c r="D298" s="1">
        <f t="shared" si="21"/>
        <v>200</v>
      </c>
      <c r="E298" s="1">
        <f t="shared" si="21"/>
        <v>305</v>
      </c>
      <c r="F298" s="1">
        <f t="shared" si="21"/>
        <v>19228</v>
      </c>
      <c r="G298" s="1">
        <f t="shared" si="21"/>
        <v>83</v>
      </c>
      <c r="H298" s="1">
        <f t="shared" si="21"/>
        <v>9</v>
      </c>
      <c r="I298" s="1">
        <f t="shared" si="21"/>
        <v>474</v>
      </c>
      <c r="J298" s="1">
        <f t="shared" si="21"/>
        <v>35064</v>
      </c>
      <c r="K298" s="1">
        <v>34590</v>
      </c>
      <c r="L298" s="3">
        <v>0.42685747325816709</v>
      </c>
      <c r="M298" s="3">
        <v>8.8175773344897363E-3</v>
      </c>
      <c r="N298" s="3">
        <v>0.55588320323793006</v>
      </c>
    </row>
    <row r="299" spans="1:14" hidden="1" x14ac:dyDescent="0.2">
      <c r="K299" s="1">
        <v>0</v>
      </c>
      <c r="L299" s="3" t="e">
        <v>#DIV/0!</v>
      </c>
      <c r="M299" s="3" t="e">
        <v>#DIV/0!</v>
      </c>
      <c r="N299" s="3" t="e">
        <v>#DIV/0!</v>
      </c>
    </row>
    <row r="300" spans="1:14" hidden="1" x14ac:dyDescent="0.2">
      <c r="A300" t="s">
        <v>256</v>
      </c>
      <c r="B300" t="s">
        <v>257</v>
      </c>
      <c r="C300">
        <v>188</v>
      </c>
      <c r="D300">
        <v>3</v>
      </c>
      <c r="E300">
        <v>8</v>
      </c>
      <c r="F300">
        <v>338</v>
      </c>
      <c r="G300">
        <v>0</v>
      </c>
      <c r="H300">
        <v>0</v>
      </c>
      <c r="I300">
        <v>7</v>
      </c>
      <c r="J300">
        <f>SUM(C300:I300)</f>
        <v>544</v>
      </c>
      <c r="K300" s="1">
        <v>537</v>
      </c>
      <c r="L300" s="3">
        <v>0.3500931098696462</v>
      </c>
      <c r="M300" s="3">
        <v>1.4897579143389199E-2</v>
      </c>
      <c r="N300" s="3">
        <v>0.62942271880819367</v>
      </c>
    </row>
    <row r="301" spans="1:14" hidden="1" x14ac:dyDescent="0.2">
      <c r="A301" t="s">
        <v>256</v>
      </c>
      <c r="B301" t="s">
        <v>531</v>
      </c>
      <c r="C301">
        <v>17</v>
      </c>
      <c r="D301">
        <v>0</v>
      </c>
      <c r="E301">
        <v>1</v>
      </c>
      <c r="F301">
        <v>13</v>
      </c>
      <c r="G301">
        <v>1</v>
      </c>
      <c r="H301">
        <v>0</v>
      </c>
      <c r="I301">
        <v>0</v>
      </c>
      <c r="J301">
        <f>SUM(C301:I301)</f>
        <v>32</v>
      </c>
      <c r="K301" s="1">
        <v>32</v>
      </c>
      <c r="L301" s="3">
        <v>0.53125</v>
      </c>
      <c r="M301" s="3">
        <v>3.125E-2</v>
      </c>
      <c r="N301" s="3">
        <v>0.40625</v>
      </c>
    </row>
    <row r="302" spans="1:14" hidden="1" x14ac:dyDescent="0.2">
      <c r="A302" t="s">
        <v>256</v>
      </c>
      <c r="B302" t="s">
        <v>258</v>
      </c>
      <c r="C302">
        <v>9332</v>
      </c>
      <c r="D302">
        <v>131</v>
      </c>
      <c r="E302">
        <v>175</v>
      </c>
      <c r="F302">
        <v>6212</v>
      </c>
      <c r="G302">
        <v>52</v>
      </c>
      <c r="H302">
        <v>20</v>
      </c>
      <c r="I302">
        <v>176</v>
      </c>
      <c r="J302">
        <f>SUM(C302:I302)</f>
        <v>16098</v>
      </c>
      <c r="K302" s="1">
        <v>15922</v>
      </c>
      <c r="L302" s="3">
        <v>0.58610727295565879</v>
      </c>
      <c r="M302" s="3">
        <v>1.0991081522421807E-2</v>
      </c>
      <c r="N302" s="3">
        <v>0.39015199095591008</v>
      </c>
    </row>
    <row r="303" spans="1:14" hidden="1" x14ac:dyDescent="0.2">
      <c r="A303" t="s">
        <v>256</v>
      </c>
      <c r="B303" t="s">
        <v>259</v>
      </c>
      <c r="C303">
        <v>182</v>
      </c>
      <c r="D303">
        <v>6</v>
      </c>
      <c r="E303">
        <v>9</v>
      </c>
      <c r="F303">
        <v>516</v>
      </c>
      <c r="G303">
        <v>0</v>
      </c>
      <c r="H303">
        <v>0</v>
      </c>
      <c r="I303">
        <v>10</v>
      </c>
      <c r="J303">
        <f t="shared" ref="J303:J334" si="22">SUM(C303:I303)</f>
        <v>723</v>
      </c>
      <c r="K303" s="1">
        <v>713</v>
      </c>
      <c r="L303" s="3">
        <v>0.2552594670406732</v>
      </c>
      <c r="M303" s="3">
        <v>1.2622720897615708E-2</v>
      </c>
      <c r="N303" s="3">
        <v>0.72370266479663392</v>
      </c>
    </row>
    <row r="304" spans="1:14" hidden="1" x14ac:dyDescent="0.2">
      <c r="A304" t="s">
        <v>256</v>
      </c>
      <c r="B304" t="s">
        <v>260</v>
      </c>
      <c r="C304">
        <v>383</v>
      </c>
      <c r="D304">
        <v>3</v>
      </c>
      <c r="E304">
        <v>10</v>
      </c>
      <c r="F304">
        <v>551</v>
      </c>
      <c r="G304">
        <v>2</v>
      </c>
      <c r="H304">
        <v>0</v>
      </c>
      <c r="I304">
        <v>7</v>
      </c>
      <c r="J304">
        <f t="shared" si="22"/>
        <v>956</v>
      </c>
      <c r="K304" s="1">
        <v>949</v>
      </c>
      <c r="L304" s="3">
        <v>0.40358271865121181</v>
      </c>
      <c r="M304" s="3">
        <v>1.053740779768177E-2</v>
      </c>
      <c r="N304" s="3">
        <v>0.58061116965226556</v>
      </c>
    </row>
    <row r="305" spans="1:14" hidden="1" x14ac:dyDescent="0.2">
      <c r="A305" t="s">
        <v>256</v>
      </c>
      <c r="B305" t="s">
        <v>261</v>
      </c>
      <c r="C305">
        <v>2550</v>
      </c>
      <c r="D305">
        <v>39</v>
      </c>
      <c r="E305">
        <v>54</v>
      </c>
      <c r="F305">
        <v>2615</v>
      </c>
      <c r="G305">
        <v>18</v>
      </c>
      <c r="H305">
        <v>6</v>
      </c>
      <c r="I305">
        <v>95</v>
      </c>
      <c r="J305">
        <f t="shared" si="22"/>
        <v>5377</v>
      </c>
      <c r="K305" s="1">
        <v>5282</v>
      </c>
      <c r="L305" s="3">
        <v>0.48277167739492616</v>
      </c>
      <c r="M305" s="3">
        <v>1.0223400227186671E-2</v>
      </c>
      <c r="N305" s="3">
        <v>0.49507762211283607</v>
      </c>
    </row>
    <row r="306" spans="1:14" hidden="1" x14ac:dyDescent="0.2">
      <c r="A306" t="s">
        <v>256</v>
      </c>
      <c r="B306" t="s">
        <v>262</v>
      </c>
      <c r="C306">
        <v>59</v>
      </c>
      <c r="D306">
        <v>2</v>
      </c>
      <c r="E306">
        <v>0</v>
      </c>
      <c r="F306">
        <v>185</v>
      </c>
      <c r="G306">
        <v>0</v>
      </c>
      <c r="H306">
        <v>0</v>
      </c>
      <c r="I306">
        <v>3</v>
      </c>
      <c r="J306">
        <f t="shared" si="22"/>
        <v>249</v>
      </c>
      <c r="K306" s="1">
        <v>246</v>
      </c>
      <c r="L306" s="3">
        <v>0.23983739837398374</v>
      </c>
      <c r="M306" s="3">
        <v>0</v>
      </c>
      <c r="N306" s="3">
        <v>0.75203252032520329</v>
      </c>
    </row>
    <row r="307" spans="1:14" hidden="1" x14ac:dyDescent="0.2">
      <c r="A307" t="s">
        <v>256</v>
      </c>
      <c r="B307" t="s">
        <v>263</v>
      </c>
      <c r="C307">
        <v>580</v>
      </c>
      <c r="D307">
        <v>7</v>
      </c>
      <c r="E307">
        <v>10</v>
      </c>
      <c r="F307">
        <v>1234</v>
      </c>
      <c r="G307">
        <v>1</v>
      </c>
      <c r="H307">
        <v>1</v>
      </c>
      <c r="I307">
        <v>14</v>
      </c>
      <c r="J307">
        <f t="shared" si="22"/>
        <v>1847</v>
      </c>
      <c r="K307" s="1">
        <v>1833</v>
      </c>
      <c r="L307" s="3">
        <v>0.31642116748499727</v>
      </c>
      <c r="M307" s="3">
        <v>5.4555373704309879E-3</v>
      </c>
      <c r="N307" s="3">
        <v>0.6732133115111838</v>
      </c>
    </row>
    <row r="308" spans="1:14" hidden="1" x14ac:dyDescent="0.2">
      <c r="A308" t="s">
        <v>256</v>
      </c>
      <c r="B308" t="s">
        <v>264</v>
      </c>
      <c r="C308">
        <v>15</v>
      </c>
      <c r="D308">
        <v>0</v>
      </c>
      <c r="E308">
        <v>2</v>
      </c>
      <c r="F308">
        <v>68</v>
      </c>
      <c r="G308">
        <v>0</v>
      </c>
      <c r="H308">
        <v>0</v>
      </c>
      <c r="I308">
        <v>1</v>
      </c>
      <c r="J308">
        <f t="shared" si="22"/>
        <v>86</v>
      </c>
      <c r="K308" s="1">
        <v>85</v>
      </c>
      <c r="L308" s="3">
        <v>0.17647058823529413</v>
      </c>
      <c r="M308" s="3">
        <v>2.3529411764705882E-2</v>
      </c>
      <c r="N308" s="3">
        <v>0.8</v>
      </c>
    </row>
    <row r="309" spans="1:14" hidden="1" x14ac:dyDescent="0.2">
      <c r="A309" t="s">
        <v>256</v>
      </c>
      <c r="B309" t="s">
        <v>265</v>
      </c>
      <c r="C309">
        <v>181</v>
      </c>
      <c r="D309">
        <v>4</v>
      </c>
      <c r="E309">
        <v>9</v>
      </c>
      <c r="F309">
        <v>596</v>
      </c>
      <c r="G309">
        <v>3</v>
      </c>
      <c r="H309">
        <v>0</v>
      </c>
      <c r="I309">
        <v>6</v>
      </c>
      <c r="J309">
        <f t="shared" si="22"/>
        <v>799</v>
      </c>
      <c r="K309" s="1">
        <v>793</v>
      </c>
      <c r="L309" s="3">
        <v>0.22824716267339218</v>
      </c>
      <c r="M309" s="3">
        <v>1.1349306431273645E-2</v>
      </c>
      <c r="N309" s="3">
        <v>0.75157629255989911</v>
      </c>
    </row>
    <row r="310" spans="1:14" hidden="1" x14ac:dyDescent="0.2">
      <c r="A310" t="s">
        <v>256</v>
      </c>
      <c r="B310" t="s">
        <v>266</v>
      </c>
      <c r="C310">
        <v>57</v>
      </c>
      <c r="D310">
        <v>1</v>
      </c>
      <c r="E310">
        <v>0</v>
      </c>
      <c r="F310">
        <v>252</v>
      </c>
      <c r="G310">
        <v>1</v>
      </c>
      <c r="H310">
        <v>0</v>
      </c>
      <c r="I310">
        <v>6</v>
      </c>
      <c r="J310">
        <f t="shared" si="22"/>
        <v>317</v>
      </c>
      <c r="K310" s="1">
        <v>311</v>
      </c>
      <c r="L310" s="3">
        <v>0.18327974276527331</v>
      </c>
      <c r="M310" s="3">
        <v>0</v>
      </c>
      <c r="N310" s="3">
        <v>0.81028938906752412</v>
      </c>
    </row>
    <row r="311" spans="1:14" hidden="1" x14ac:dyDescent="0.2">
      <c r="A311" t="s">
        <v>256</v>
      </c>
      <c r="B311" t="s">
        <v>267</v>
      </c>
      <c r="C311">
        <v>202</v>
      </c>
      <c r="D311">
        <v>1</v>
      </c>
      <c r="E311">
        <v>6</v>
      </c>
      <c r="F311">
        <v>329</v>
      </c>
      <c r="G311">
        <v>1</v>
      </c>
      <c r="H311">
        <v>0</v>
      </c>
      <c r="I311">
        <v>5</v>
      </c>
      <c r="J311">
        <f t="shared" si="22"/>
        <v>544</v>
      </c>
      <c r="K311" s="1">
        <v>539</v>
      </c>
      <c r="L311" s="3">
        <v>0.37476808905380332</v>
      </c>
      <c r="M311" s="3">
        <v>1.1131725417439703E-2</v>
      </c>
      <c r="N311" s="3">
        <v>0.61038961038961037</v>
      </c>
    </row>
    <row r="312" spans="1:14" hidden="1" x14ac:dyDescent="0.2">
      <c r="A312" t="s">
        <v>256</v>
      </c>
      <c r="B312" t="s">
        <v>268</v>
      </c>
      <c r="C312">
        <v>330</v>
      </c>
      <c r="D312">
        <v>3</v>
      </c>
      <c r="E312">
        <v>9</v>
      </c>
      <c r="F312">
        <v>882</v>
      </c>
      <c r="G312">
        <v>0</v>
      </c>
      <c r="H312">
        <v>2</v>
      </c>
      <c r="I312">
        <v>16</v>
      </c>
      <c r="J312">
        <f t="shared" si="22"/>
        <v>1242</v>
      </c>
      <c r="K312" s="1">
        <v>1226</v>
      </c>
      <c r="L312" s="3">
        <v>0.26916802610114193</v>
      </c>
      <c r="M312" s="3">
        <v>7.34094616639478E-3</v>
      </c>
      <c r="N312" s="3">
        <v>0.71941272430668846</v>
      </c>
    </row>
    <row r="313" spans="1:14" hidden="1" x14ac:dyDescent="0.2">
      <c r="A313" t="s">
        <v>256</v>
      </c>
      <c r="B313" t="s">
        <v>269</v>
      </c>
      <c r="C313">
        <v>373</v>
      </c>
      <c r="D313">
        <v>6</v>
      </c>
      <c r="E313">
        <v>6</v>
      </c>
      <c r="F313">
        <v>1201</v>
      </c>
      <c r="G313">
        <v>2</v>
      </c>
      <c r="H313">
        <v>1</v>
      </c>
      <c r="I313">
        <v>23</v>
      </c>
      <c r="J313">
        <f t="shared" si="22"/>
        <v>1612</v>
      </c>
      <c r="K313" s="1">
        <v>1589</v>
      </c>
      <c r="L313" s="3">
        <v>0.23473882945248584</v>
      </c>
      <c r="M313" s="3">
        <v>3.775959723096287E-3</v>
      </c>
      <c r="N313" s="3">
        <v>0.7558212712397735</v>
      </c>
    </row>
    <row r="314" spans="1:14" hidden="1" x14ac:dyDescent="0.2">
      <c r="A314" t="s">
        <v>256</v>
      </c>
      <c r="B314" t="s">
        <v>270</v>
      </c>
      <c r="C314">
        <v>693</v>
      </c>
      <c r="D314">
        <v>12</v>
      </c>
      <c r="E314">
        <v>17</v>
      </c>
      <c r="F314">
        <v>1271</v>
      </c>
      <c r="G314">
        <v>4</v>
      </c>
      <c r="H314">
        <v>0</v>
      </c>
      <c r="I314">
        <v>18</v>
      </c>
      <c r="J314">
        <f t="shared" si="22"/>
        <v>2015</v>
      </c>
      <c r="K314" s="1">
        <v>1997</v>
      </c>
      <c r="L314" s="3">
        <v>0.34702053079619427</v>
      </c>
      <c r="M314" s="3">
        <v>8.5127691537305959E-3</v>
      </c>
      <c r="N314" s="3">
        <v>0.63645468202303457</v>
      </c>
    </row>
    <row r="315" spans="1:14" hidden="1" x14ac:dyDescent="0.2">
      <c r="A315" t="s">
        <v>256</v>
      </c>
      <c r="B315" t="s">
        <v>271</v>
      </c>
      <c r="C315">
        <v>266</v>
      </c>
      <c r="D315">
        <v>4</v>
      </c>
      <c r="E315">
        <v>5</v>
      </c>
      <c r="F315">
        <v>474</v>
      </c>
      <c r="G315">
        <v>3</v>
      </c>
      <c r="H315">
        <v>0</v>
      </c>
      <c r="I315">
        <v>8</v>
      </c>
      <c r="J315">
        <f t="shared" si="22"/>
        <v>760</v>
      </c>
      <c r="K315" s="1">
        <v>752</v>
      </c>
      <c r="L315" s="3">
        <v>0.35372340425531917</v>
      </c>
      <c r="M315" s="3">
        <v>6.648936170212766E-3</v>
      </c>
      <c r="N315" s="3">
        <v>0.63031914893617025</v>
      </c>
    </row>
    <row r="316" spans="1:14" hidden="1" x14ac:dyDescent="0.2">
      <c r="A316" t="s">
        <v>256</v>
      </c>
      <c r="B316" t="s">
        <v>511</v>
      </c>
      <c r="C316">
        <v>3</v>
      </c>
      <c r="D316">
        <v>0</v>
      </c>
      <c r="E316">
        <v>0</v>
      </c>
      <c r="F316">
        <v>13</v>
      </c>
      <c r="G316">
        <v>0</v>
      </c>
      <c r="H316">
        <v>0</v>
      </c>
      <c r="I316">
        <v>1</v>
      </c>
      <c r="J316">
        <f t="shared" si="22"/>
        <v>17</v>
      </c>
      <c r="K316" s="1">
        <v>16</v>
      </c>
      <c r="L316" s="3">
        <v>0.1875</v>
      </c>
      <c r="M316" s="3">
        <v>0</v>
      </c>
      <c r="N316" s="3">
        <v>0.8125</v>
      </c>
    </row>
    <row r="317" spans="1:14" hidden="1" x14ac:dyDescent="0.2">
      <c r="A317" t="s">
        <v>256</v>
      </c>
      <c r="B317" t="s">
        <v>272</v>
      </c>
      <c r="C317">
        <v>343</v>
      </c>
      <c r="D317">
        <v>2</v>
      </c>
      <c r="E317">
        <v>7</v>
      </c>
      <c r="F317">
        <v>557</v>
      </c>
      <c r="G317">
        <v>2</v>
      </c>
      <c r="H317">
        <v>1</v>
      </c>
      <c r="I317">
        <v>12</v>
      </c>
      <c r="J317">
        <f t="shared" si="22"/>
        <v>924</v>
      </c>
      <c r="K317" s="1">
        <v>912</v>
      </c>
      <c r="L317" s="3">
        <v>0.37609649122807015</v>
      </c>
      <c r="M317" s="3">
        <v>7.6754385964912276E-3</v>
      </c>
      <c r="N317" s="3">
        <v>0.61074561403508776</v>
      </c>
    </row>
    <row r="318" spans="1:14" hidden="1" x14ac:dyDescent="0.2">
      <c r="A318" t="s">
        <v>256</v>
      </c>
      <c r="B318" t="s">
        <v>273</v>
      </c>
      <c r="C318">
        <v>520</v>
      </c>
      <c r="D318">
        <v>12</v>
      </c>
      <c r="E318">
        <v>10</v>
      </c>
      <c r="F318">
        <v>940</v>
      </c>
      <c r="G318">
        <v>2</v>
      </c>
      <c r="H318">
        <v>0</v>
      </c>
      <c r="I318">
        <v>17</v>
      </c>
      <c r="J318">
        <f t="shared" si="22"/>
        <v>1501</v>
      </c>
      <c r="K318" s="1">
        <v>1484</v>
      </c>
      <c r="L318" s="3">
        <v>0.35040431266846361</v>
      </c>
      <c r="M318" s="3">
        <v>6.7385444743935314E-3</v>
      </c>
      <c r="N318" s="3">
        <v>0.63342318059299196</v>
      </c>
    </row>
    <row r="319" spans="1:14" hidden="1" x14ac:dyDescent="0.2">
      <c r="A319" t="s">
        <v>256</v>
      </c>
      <c r="B319" t="s">
        <v>274</v>
      </c>
      <c r="C319">
        <v>29</v>
      </c>
      <c r="D319">
        <v>0</v>
      </c>
      <c r="E319">
        <v>1</v>
      </c>
      <c r="F319">
        <v>69</v>
      </c>
      <c r="G319">
        <v>0</v>
      </c>
      <c r="H319">
        <v>0</v>
      </c>
      <c r="I319">
        <v>2</v>
      </c>
      <c r="J319">
        <f t="shared" si="22"/>
        <v>101</v>
      </c>
      <c r="K319" s="1">
        <v>99</v>
      </c>
      <c r="L319" s="3">
        <v>0.29292929292929293</v>
      </c>
      <c r="M319" s="3">
        <v>1.0101010101010102E-2</v>
      </c>
      <c r="N319" s="3">
        <v>0.69696969696969702</v>
      </c>
    </row>
    <row r="320" spans="1:14" hidden="1" x14ac:dyDescent="0.2">
      <c r="A320" t="s">
        <v>256</v>
      </c>
      <c r="B320" t="s">
        <v>275</v>
      </c>
      <c r="C320">
        <v>254</v>
      </c>
      <c r="D320">
        <v>3</v>
      </c>
      <c r="E320">
        <v>7</v>
      </c>
      <c r="F320">
        <v>632</v>
      </c>
      <c r="G320">
        <v>1</v>
      </c>
      <c r="H320">
        <v>1</v>
      </c>
      <c r="I320">
        <v>14</v>
      </c>
      <c r="J320">
        <f t="shared" si="22"/>
        <v>912</v>
      </c>
      <c r="K320" s="1">
        <v>898</v>
      </c>
      <c r="L320" s="3">
        <v>0.2828507795100223</v>
      </c>
      <c r="M320" s="3">
        <v>7.7951002227171495E-3</v>
      </c>
      <c r="N320" s="3">
        <v>0.70378619153674837</v>
      </c>
    </row>
    <row r="321" spans="1:14" hidden="1" x14ac:dyDescent="0.2">
      <c r="A321" t="s">
        <v>256</v>
      </c>
      <c r="B321" t="s">
        <v>276</v>
      </c>
      <c r="C321">
        <v>204</v>
      </c>
      <c r="D321">
        <v>4</v>
      </c>
      <c r="E321">
        <v>5</v>
      </c>
      <c r="F321">
        <v>513</v>
      </c>
      <c r="G321">
        <v>0</v>
      </c>
      <c r="H321">
        <v>0</v>
      </c>
      <c r="I321">
        <v>5</v>
      </c>
      <c r="J321">
        <f t="shared" si="22"/>
        <v>731</v>
      </c>
      <c r="K321" s="1">
        <v>726</v>
      </c>
      <c r="L321" s="3">
        <v>0.28099173553719009</v>
      </c>
      <c r="M321" s="3">
        <v>6.8870523415977963E-3</v>
      </c>
      <c r="N321" s="3">
        <v>0.70661157024793386</v>
      </c>
    </row>
    <row r="322" spans="1:14" hidden="1" x14ac:dyDescent="0.2">
      <c r="A322" t="s">
        <v>256</v>
      </c>
      <c r="B322" t="s">
        <v>277</v>
      </c>
      <c r="C322">
        <v>159</v>
      </c>
      <c r="D322">
        <v>0</v>
      </c>
      <c r="E322">
        <v>4</v>
      </c>
      <c r="F322">
        <v>391</v>
      </c>
      <c r="G322">
        <v>1</v>
      </c>
      <c r="H322">
        <v>0</v>
      </c>
      <c r="I322">
        <v>7</v>
      </c>
      <c r="J322">
        <f t="shared" si="22"/>
        <v>562</v>
      </c>
      <c r="K322" s="1">
        <v>555</v>
      </c>
      <c r="L322" s="3">
        <v>0.2864864864864865</v>
      </c>
      <c r="M322" s="3">
        <v>7.2072072072072073E-3</v>
      </c>
      <c r="N322" s="3">
        <v>0.70450450450450453</v>
      </c>
    </row>
    <row r="323" spans="1:14" hidden="1" x14ac:dyDescent="0.2">
      <c r="A323" t="s">
        <v>256</v>
      </c>
      <c r="B323" t="s">
        <v>278</v>
      </c>
      <c r="C323">
        <v>175</v>
      </c>
      <c r="D323">
        <v>2</v>
      </c>
      <c r="E323">
        <v>7</v>
      </c>
      <c r="F323">
        <v>451</v>
      </c>
      <c r="G323">
        <v>2</v>
      </c>
      <c r="H323">
        <v>0</v>
      </c>
      <c r="I323">
        <v>10</v>
      </c>
      <c r="J323">
        <f t="shared" si="22"/>
        <v>647</v>
      </c>
      <c r="K323" s="1">
        <v>637</v>
      </c>
      <c r="L323" s="3">
        <v>0.27472527472527475</v>
      </c>
      <c r="M323" s="3">
        <v>1.098901098901099E-2</v>
      </c>
      <c r="N323" s="3">
        <v>0.70800627943485084</v>
      </c>
    </row>
    <row r="324" spans="1:14" hidden="1" x14ac:dyDescent="0.2">
      <c r="A324" t="s">
        <v>256</v>
      </c>
      <c r="B324" t="s">
        <v>279</v>
      </c>
      <c r="C324">
        <v>1119</v>
      </c>
      <c r="D324">
        <v>15</v>
      </c>
      <c r="E324">
        <v>29</v>
      </c>
      <c r="F324">
        <v>1697</v>
      </c>
      <c r="G324">
        <v>5</v>
      </c>
      <c r="H324">
        <v>5</v>
      </c>
      <c r="I324">
        <v>40</v>
      </c>
      <c r="J324">
        <f t="shared" si="22"/>
        <v>2910</v>
      </c>
      <c r="K324" s="1">
        <v>2870</v>
      </c>
      <c r="L324" s="3">
        <v>0.38989547038327527</v>
      </c>
      <c r="M324" s="3">
        <v>1.0104529616724738E-2</v>
      </c>
      <c r="N324" s="3">
        <v>0.59128919860627183</v>
      </c>
    </row>
    <row r="325" spans="1:14" hidden="1" x14ac:dyDescent="0.2">
      <c r="A325" t="s">
        <v>256</v>
      </c>
      <c r="B325" t="s">
        <v>280</v>
      </c>
      <c r="C325">
        <v>204</v>
      </c>
      <c r="D325">
        <v>5</v>
      </c>
      <c r="E325">
        <v>2</v>
      </c>
      <c r="F325">
        <v>524</v>
      </c>
      <c r="G325">
        <v>2</v>
      </c>
      <c r="H325">
        <v>0</v>
      </c>
      <c r="I325">
        <v>13</v>
      </c>
      <c r="J325">
        <f t="shared" si="22"/>
        <v>750</v>
      </c>
      <c r="K325" s="1">
        <v>737</v>
      </c>
      <c r="L325" s="3">
        <v>0.27679782903663502</v>
      </c>
      <c r="M325" s="3">
        <v>2.7137042062415195E-3</v>
      </c>
      <c r="N325" s="3">
        <v>0.71099050203527814</v>
      </c>
    </row>
    <row r="326" spans="1:14" hidden="1" x14ac:dyDescent="0.2">
      <c r="A326" t="s">
        <v>256</v>
      </c>
      <c r="B326" t="s">
        <v>281</v>
      </c>
      <c r="C326">
        <v>2522</v>
      </c>
      <c r="D326">
        <v>48</v>
      </c>
      <c r="E326">
        <v>44</v>
      </c>
      <c r="F326">
        <v>2457</v>
      </c>
      <c r="G326">
        <v>12</v>
      </c>
      <c r="H326">
        <v>4</v>
      </c>
      <c r="I326">
        <v>54</v>
      </c>
      <c r="J326">
        <f t="shared" si="22"/>
        <v>5141</v>
      </c>
      <c r="K326" s="1">
        <v>5087</v>
      </c>
      <c r="L326" s="3">
        <v>0.49577354039709065</v>
      </c>
      <c r="M326" s="3">
        <v>8.6494987222331433E-3</v>
      </c>
      <c r="N326" s="3">
        <v>0.4829958718301553</v>
      </c>
    </row>
    <row r="327" spans="1:14" hidden="1" x14ac:dyDescent="0.2">
      <c r="A327" t="s">
        <v>256</v>
      </c>
      <c r="B327" t="s">
        <v>282</v>
      </c>
      <c r="C327">
        <v>1522</v>
      </c>
      <c r="D327">
        <v>27</v>
      </c>
      <c r="E327">
        <v>23</v>
      </c>
      <c r="F327">
        <v>2530</v>
      </c>
      <c r="G327">
        <v>6</v>
      </c>
      <c r="H327">
        <v>3</v>
      </c>
      <c r="I327">
        <v>45</v>
      </c>
      <c r="J327">
        <f t="shared" si="22"/>
        <v>4156</v>
      </c>
      <c r="K327" s="1">
        <v>4111</v>
      </c>
      <c r="L327" s="3">
        <v>0.37022622233033325</v>
      </c>
      <c r="M327" s="3">
        <v>5.5947458039406466E-3</v>
      </c>
      <c r="N327" s="3">
        <v>0.61542203843347121</v>
      </c>
    </row>
    <row r="328" spans="1:14" hidden="1" x14ac:dyDescent="0.2">
      <c r="A328" t="s">
        <v>256</v>
      </c>
      <c r="B328" t="s">
        <v>532</v>
      </c>
      <c r="C328">
        <v>2</v>
      </c>
      <c r="D328">
        <v>0</v>
      </c>
      <c r="E328">
        <v>0</v>
      </c>
      <c r="F328">
        <v>12</v>
      </c>
      <c r="G328">
        <v>0</v>
      </c>
      <c r="H328">
        <v>0</v>
      </c>
      <c r="I328">
        <v>0</v>
      </c>
      <c r="J328">
        <f t="shared" si="22"/>
        <v>14</v>
      </c>
      <c r="K328" s="1">
        <v>14</v>
      </c>
      <c r="L328" s="3">
        <v>0.14285714285714285</v>
      </c>
      <c r="M328" s="3">
        <v>0</v>
      </c>
      <c r="N328" s="3">
        <v>0.8571428571428571</v>
      </c>
    </row>
    <row r="329" spans="1:14" hidden="1" x14ac:dyDescent="0.2">
      <c r="A329" t="s">
        <v>256</v>
      </c>
      <c r="B329" t="s">
        <v>283</v>
      </c>
      <c r="C329">
        <v>918</v>
      </c>
      <c r="D329">
        <v>15</v>
      </c>
      <c r="E329">
        <v>18</v>
      </c>
      <c r="F329">
        <v>1166</v>
      </c>
      <c r="G329">
        <v>4</v>
      </c>
      <c r="H329">
        <v>1</v>
      </c>
      <c r="I329">
        <v>25</v>
      </c>
      <c r="J329">
        <f t="shared" si="22"/>
        <v>2147</v>
      </c>
      <c r="K329" s="1">
        <v>2122</v>
      </c>
      <c r="L329" s="3">
        <v>0.43261074458058435</v>
      </c>
      <c r="M329" s="3">
        <v>8.4825636192271438E-3</v>
      </c>
      <c r="N329" s="3">
        <v>0.54948162111215837</v>
      </c>
    </row>
    <row r="330" spans="1:14" hidden="1" x14ac:dyDescent="0.2">
      <c r="A330" t="s">
        <v>256</v>
      </c>
      <c r="B330" t="s">
        <v>284</v>
      </c>
      <c r="C330">
        <v>241</v>
      </c>
      <c r="D330">
        <v>7</v>
      </c>
      <c r="E330">
        <v>2</v>
      </c>
      <c r="F330">
        <v>428</v>
      </c>
      <c r="G330">
        <v>2</v>
      </c>
      <c r="H330">
        <v>0</v>
      </c>
      <c r="I330">
        <v>11</v>
      </c>
      <c r="J330">
        <f t="shared" si="22"/>
        <v>691</v>
      </c>
      <c r="K330" s="1">
        <v>680</v>
      </c>
      <c r="L330" s="3">
        <v>0.35441176470588237</v>
      </c>
      <c r="M330" s="3">
        <v>2.9411764705882353E-3</v>
      </c>
      <c r="N330" s="3">
        <v>0.62941176470588234</v>
      </c>
    </row>
    <row r="331" spans="1:14" hidden="1" x14ac:dyDescent="0.2">
      <c r="A331" t="s">
        <v>256</v>
      </c>
      <c r="B331" t="s">
        <v>285</v>
      </c>
      <c r="C331">
        <v>255</v>
      </c>
      <c r="D331">
        <v>5</v>
      </c>
      <c r="E331">
        <v>3</v>
      </c>
      <c r="F331">
        <v>605</v>
      </c>
      <c r="G331">
        <v>1</v>
      </c>
      <c r="H331">
        <v>0</v>
      </c>
      <c r="I331">
        <v>8</v>
      </c>
      <c r="J331">
        <f t="shared" si="22"/>
        <v>877</v>
      </c>
      <c r="K331" s="1">
        <v>869</v>
      </c>
      <c r="L331" s="3">
        <v>0.29344073647871116</v>
      </c>
      <c r="M331" s="3">
        <v>3.4522439585730723E-3</v>
      </c>
      <c r="N331" s="3">
        <v>0.69620253164556967</v>
      </c>
    </row>
    <row r="332" spans="1:14" hidden="1" x14ac:dyDescent="0.2">
      <c r="A332" t="s">
        <v>256</v>
      </c>
      <c r="B332" t="s">
        <v>286</v>
      </c>
      <c r="C332">
        <v>225</v>
      </c>
      <c r="D332">
        <v>7</v>
      </c>
      <c r="E332">
        <v>7</v>
      </c>
      <c r="F332">
        <v>561</v>
      </c>
      <c r="G332">
        <v>1</v>
      </c>
      <c r="H332">
        <v>0</v>
      </c>
      <c r="I332">
        <v>5</v>
      </c>
      <c r="J332">
        <f t="shared" si="22"/>
        <v>806</v>
      </c>
      <c r="K332" s="1">
        <v>801</v>
      </c>
      <c r="L332" s="3">
        <v>0.2808988764044944</v>
      </c>
      <c r="M332" s="3">
        <v>8.7390761548064924E-3</v>
      </c>
      <c r="N332" s="3">
        <v>0.70037453183520604</v>
      </c>
    </row>
    <row r="333" spans="1:14" hidden="1" x14ac:dyDescent="0.2">
      <c r="A333" t="s">
        <v>256</v>
      </c>
      <c r="B333" t="s">
        <v>533</v>
      </c>
      <c r="C333">
        <v>5</v>
      </c>
      <c r="D333">
        <v>1</v>
      </c>
      <c r="E333">
        <v>0</v>
      </c>
      <c r="F333">
        <v>69</v>
      </c>
      <c r="G333">
        <v>1</v>
      </c>
      <c r="H333">
        <v>0</v>
      </c>
      <c r="I333">
        <v>1</v>
      </c>
      <c r="J333">
        <f t="shared" si="22"/>
        <v>77</v>
      </c>
      <c r="K333" s="1">
        <v>76</v>
      </c>
      <c r="L333" s="3">
        <v>6.5789473684210523E-2</v>
      </c>
      <c r="M333" s="3">
        <v>0</v>
      </c>
      <c r="N333" s="3">
        <v>0.90789473684210531</v>
      </c>
    </row>
    <row r="334" spans="1:14" hidden="1" x14ac:dyDescent="0.2">
      <c r="A334" t="s">
        <v>256</v>
      </c>
      <c r="B334" t="s">
        <v>535</v>
      </c>
      <c r="C334">
        <v>97</v>
      </c>
      <c r="D334">
        <v>2</v>
      </c>
      <c r="E334">
        <v>5</v>
      </c>
      <c r="F334">
        <v>252</v>
      </c>
      <c r="G334">
        <v>0</v>
      </c>
      <c r="H334">
        <v>0</v>
      </c>
      <c r="I334">
        <v>0</v>
      </c>
      <c r="J334">
        <f t="shared" si="22"/>
        <v>356</v>
      </c>
      <c r="K334" s="1">
        <v>356</v>
      </c>
      <c r="L334" s="3">
        <v>0.27247191011235955</v>
      </c>
      <c r="M334" s="3">
        <v>1.4044943820224719E-2</v>
      </c>
      <c r="N334" s="3">
        <v>0.7078651685393258</v>
      </c>
    </row>
    <row r="335" spans="1:14" hidden="1" x14ac:dyDescent="0.2">
      <c r="A335" t="s">
        <v>256</v>
      </c>
      <c r="B335" t="s">
        <v>287</v>
      </c>
      <c r="C335">
        <v>37</v>
      </c>
      <c r="D335">
        <v>0</v>
      </c>
      <c r="E335">
        <v>1</v>
      </c>
      <c r="F335">
        <v>43</v>
      </c>
      <c r="G335">
        <v>0</v>
      </c>
      <c r="H335">
        <v>0</v>
      </c>
      <c r="I335">
        <v>3</v>
      </c>
      <c r="J335">
        <f t="shared" ref="J335:J364" si="23">SUM(C335:I335)</f>
        <v>84</v>
      </c>
      <c r="K335" s="1">
        <v>81</v>
      </c>
      <c r="L335" s="3">
        <v>0.4567901234567901</v>
      </c>
      <c r="M335" s="3">
        <v>1.2345679012345678E-2</v>
      </c>
      <c r="N335" s="3">
        <v>0.53086419753086422</v>
      </c>
    </row>
    <row r="336" spans="1:14" hidden="1" x14ac:dyDescent="0.2">
      <c r="A336" t="s">
        <v>256</v>
      </c>
      <c r="B336" t="s">
        <v>288</v>
      </c>
      <c r="C336">
        <v>137</v>
      </c>
      <c r="D336">
        <v>2</v>
      </c>
      <c r="E336">
        <v>2</v>
      </c>
      <c r="F336">
        <v>400</v>
      </c>
      <c r="G336">
        <v>3</v>
      </c>
      <c r="H336">
        <v>0</v>
      </c>
      <c r="I336">
        <v>4</v>
      </c>
      <c r="J336">
        <f t="shared" si="23"/>
        <v>548</v>
      </c>
      <c r="K336" s="1">
        <v>544</v>
      </c>
      <c r="L336" s="3">
        <v>0.25183823529411764</v>
      </c>
      <c r="M336" s="3">
        <v>3.6764705882352941E-3</v>
      </c>
      <c r="N336" s="3">
        <v>0.73529411764705888</v>
      </c>
    </row>
    <row r="337" spans="1:14" hidden="1" x14ac:dyDescent="0.2">
      <c r="A337" t="s">
        <v>256</v>
      </c>
      <c r="B337" t="s">
        <v>289</v>
      </c>
      <c r="C337">
        <v>495</v>
      </c>
      <c r="D337">
        <v>13</v>
      </c>
      <c r="E337">
        <v>12</v>
      </c>
      <c r="F337">
        <v>1226</v>
      </c>
      <c r="G337">
        <v>4</v>
      </c>
      <c r="H337">
        <v>1</v>
      </c>
      <c r="I337">
        <v>24</v>
      </c>
      <c r="J337">
        <f t="shared" si="23"/>
        <v>1775</v>
      </c>
      <c r="K337" s="1">
        <v>1751</v>
      </c>
      <c r="L337" s="3">
        <v>0.28269560251284981</v>
      </c>
      <c r="M337" s="3">
        <v>6.8532267275842372E-3</v>
      </c>
      <c r="N337" s="3">
        <v>0.7001713306681896</v>
      </c>
    </row>
    <row r="338" spans="1:14" hidden="1" x14ac:dyDescent="0.2">
      <c r="A338" t="s">
        <v>256</v>
      </c>
      <c r="B338" t="s">
        <v>290</v>
      </c>
      <c r="C338">
        <v>840</v>
      </c>
      <c r="D338">
        <v>13</v>
      </c>
      <c r="E338">
        <v>17</v>
      </c>
      <c r="F338">
        <v>1926</v>
      </c>
      <c r="G338">
        <v>6</v>
      </c>
      <c r="H338">
        <v>0</v>
      </c>
      <c r="I338">
        <v>26</v>
      </c>
      <c r="J338">
        <f t="shared" si="23"/>
        <v>2828</v>
      </c>
      <c r="K338" s="1">
        <v>2802</v>
      </c>
      <c r="L338" s="3">
        <v>0.29978586723768735</v>
      </c>
      <c r="M338" s="3">
        <v>6.0670949321912923E-3</v>
      </c>
      <c r="N338" s="3">
        <v>0.68736616702355458</v>
      </c>
    </row>
    <row r="339" spans="1:14" hidden="1" x14ac:dyDescent="0.2">
      <c r="A339" t="s">
        <v>256</v>
      </c>
      <c r="B339" t="s">
        <v>291</v>
      </c>
      <c r="C339">
        <v>68</v>
      </c>
      <c r="D339">
        <v>1</v>
      </c>
      <c r="E339">
        <v>2</v>
      </c>
      <c r="F339">
        <v>196</v>
      </c>
      <c r="G339">
        <v>0</v>
      </c>
      <c r="H339">
        <v>0</v>
      </c>
      <c r="I339">
        <v>5</v>
      </c>
      <c r="J339">
        <f t="shared" si="23"/>
        <v>272</v>
      </c>
      <c r="K339" s="1">
        <v>267</v>
      </c>
      <c r="L339" s="3">
        <v>0.25468164794007492</v>
      </c>
      <c r="M339" s="3">
        <v>7.4906367041198503E-3</v>
      </c>
      <c r="N339" s="3">
        <v>0.73408239700374533</v>
      </c>
    </row>
    <row r="340" spans="1:14" hidden="1" x14ac:dyDescent="0.2">
      <c r="A340" t="s">
        <v>256</v>
      </c>
      <c r="B340" t="s">
        <v>530</v>
      </c>
      <c r="C340">
        <v>11</v>
      </c>
      <c r="D340">
        <v>0</v>
      </c>
      <c r="E340">
        <v>0</v>
      </c>
      <c r="F340">
        <v>46</v>
      </c>
      <c r="G340">
        <v>0</v>
      </c>
      <c r="H340">
        <v>0</v>
      </c>
      <c r="I340">
        <v>0</v>
      </c>
      <c r="J340">
        <f t="shared" si="23"/>
        <v>57</v>
      </c>
      <c r="K340" s="1">
        <v>57</v>
      </c>
      <c r="L340" s="3">
        <v>0.19298245614035087</v>
      </c>
      <c r="M340" s="3">
        <v>0</v>
      </c>
      <c r="N340" s="3">
        <v>0.80701754385964908</v>
      </c>
    </row>
    <row r="341" spans="1:14" ht="16" hidden="1" x14ac:dyDescent="0.2">
      <c r="A341" t="s">
        <v>256</v>
      </c>
      <c r="B341" s="2" t="s">
        <v>536</v>
      </c>
      <c r="C341">
        <v>128</v>
      </c>
      <c r="D341">
        <v>4</v>
      </c>
      <c r="E341">
        <v>3</v>
      </c>
      <c r="F341">
        <v>287</v>
      </c>
      <c r="G341">
        <v>3</v>
      </c>
      <c r="H341">
        <v>0</v>
      </c>
      <c r="I341">
        <v>5</v>
      </c>
      <c r="J341">
        <f t="shared" si="23"/>
        <v>430</v>
      </c>
      <c r="K341" s="1">
        <v>425</v>
      </c>
      <c r="L341" s="3">
        <v>0.30117647058823527</v>
      </c>
      <c r="M341" s="3">
        <v>7.058823529411765E-3</v>
      </c>
      <c r="N341" s="3">
        <v>0.67529411764705882</v>
      </c>
    </row>
    <row r="342" spans="1:14" hidden="1" x14ac:dyDescent="0.2">
      <c r="A342" t="s">
        <v>256</v>
      </c>
      <c r="B342" t="s">
        <v>292</v>
      </c>
      <c r="C342">
        <v>17</v>
      </c>
      <c r="D342">
        <v>1</v>
      </c>
      <c r="E342">
        <v>0</v>
      </c>
      <c r="F342">
        <v>56</v>
      </c>
      <c r="G342">
        <v>0</v>
      </c>
      <c r="H342">
        <v>0</v>
      </c>
      <c r="I342">
        <v>0</v>
      </c>
      <c r="J342">
        <f t="shared" si="23"/>
        <v>74</v>
      </c>
      <c r="K342" s="1">
        <v>74</v>
      </c>
      <c r="L342" s="3">
        <v>0.22972972972972974</v>
      </c>
      <c r="M342" s="3">
        <v>0</v>
      </c>
      <c r="N342" s="3">
        <v>0.7567567567567568</v>
      </c>
    </row>
    <row r="343" spans="1:14" hidden="1" x14ac:dyDescent="0.2">
      <c r="A343" t="s">
        <v>256</v>
      </c>
      <c r="B343" t="s">
        <v>537</v>
      </c>
      <c r="C343">
        <v>190</v>
      </c>
      <c r="D343">
        <v>6</v>
      </c>
      <c r="E343">
        <v>2</v>
      </c>
      <c r="F343">
        <v>541</v>
      </c>
      <c r="G343">
        <v>1</v>
      </c>
      <c r="H343">
        <v>3</v>
      </c>
      <c r="I343">
        <v>3</v>
      </c>
      <c r="J343">
        <f t="shared" si="23"/>
        <v>746</v>
      </c>
      <c r="K343" s="1">
        <v>743</v>
      </c>
      <c r="L343" s="3">
        <v>0.25572005383580082</v>
      </c>
      <c r="M343" s="3">
        <v>2.6917900403768506E-3</v>
      </c>
      <c r="N343" s="3">
        <v>0.72812920592193808</v>
      </c>
    </row>
    <row r="344" spans="1:14" hidden="1" x14ac:dyDescent="0.2">
      <c r="A344" t="s">
        <v>256</v>
      </c>
      <c r="B344" t="s">
        <v>538</v>
      </c>
      <c r="C344">
        <v>845</v>
      </c>
      <c r="D344">
        <v>13</v>
      </c>
      <c r="E344">
        <v>17</v>
      </c>
      <c r="F344">
        <v>998</v>
      </c>
      <c r="G344">
        <v>7</v>
      </c>
      <c r="H344">
        <v>1</v>
      </c>
      <c r="I344">
        <v>26</v>
      </c>
      <c r="J344">
        <f t="shared" si="23"/>
        <v>1907</v>
      </c>
      <c r="K344" s="1">
        <v>1881</v>
      </c>
      <c r="L344" s="3">
        <v>0.44922913343965976</v>
      </c>
      <c r="M344" s="3">
        <v>9.0377458798511431E-3</v>
      </c>
      <c r="N344" s="3">
        <v>0.53056884635832002</v>
      </c>
    </row>
    <row r="345" spans="1:14" hidden="1" x14ac:dyDescent="0.2">
      <c r="A345" t="s">
        <v>256</v>
      </c>
      <c r="B345" t="s">
        <v>539</v>
      </c>
      <c r="C345">
        <v>1125</v>
      </c>
      <c r="D345">
        <v>9</v>
      </c>
      <c r="E345">
        <v>18</v>
      </c>
      <c r="F345">
        <v>1484</v>
      </c>
      <c r="G345">
        <v>4</v>
      </c>
      <c r="H345">
        <v>0</v>
      </c>
      <c r="I345">
        <v>44</v>
      </c>
      <c r="J345">
        <f t="shared" si="23"/>
        <v>2684</v>
      </c>
      <c r="K345" s="1">
        <v>2640</v>
      </c>
      <c r="L345" s="3">
        <v>0.42613636363636365</v>
      </c>
      <c r="M345" s="3">
        <v>6.8181818181818179E-3</v>
      </c>
      <c r="N345" s="3">
        <v>0.56212121212121213</v>
      </c>
    </row>
    <row r="346" spans="1:14" hidden="1" x14ac:dyDescent="0.2">
      <c r="A346" t="s">
        <v>256</v>
      </c>
      <c r="B346" t="s">
        <v>293</v>
      </c>
      <c r="C346">
        <v>50</v>
      </c>
      <c r="D346">
        <v>0</v>
      </c>
      <c r="E346">
        <v>5</v>
      </c>
      <c r="F346">
        <v>99</v>
      </c>
      <c r="G346">
        <v>0</v>
      </c>
      <c r="H346">
        <v>0</v>
      </c>
      <c r="I346">
        <v>1</v>
      </c>
      <c r="J346">
        <f t="shared" si="23"/>
        <v>155</v>
      </c>
      <c r="K346" s="1">
        <v>154</v>
      </c>
      <c r="L346" s="3">
        <v>0.32467532467532467</v>
      </c>
      <c r="M346" s="3">
        <v>3.2467532467532464E-2</v>
      </c>
      <c r="N346" s="3">
        <v>0.6428571428571429</v>
      </c>
    </row>
    <row r="347" spans="1:14" hidden="1" x14ac:dyDescent="0.2">
      <c r="A347" t="s">
        <v>256</v>
      </c>
      <c r="B347" t="s">
        <v>294</v>
      </c>
      <c r="C347">
        <v>390</v>
      </c>
      <c r="D347">
        <v>10</v>
      </c>
      <c r="E347">
        <v>12</v>
      </c>
      <c r="F347">
        <v>640</v>
      </c>
      <c r="G347">
        <v>1</v>
      </c>
      <c r="H347">
        <v>0</v>
      </c>
      <c r="I347">
        <v>17</v>
      </c>
      <c r="J347">
        <f t="shared" si="23"/>
        <v>1070</v>
      </c>
      <c r="K347" s="1">
        <v>1053</v>
      </c>
      <c r="L347" s="3">
        <v>0.37037037037037035</v>
      </c>
      <c r="M347" s="3">
        <v>1.1396011396011397E-2</v>
      </c>
      <c r="N347" s="3">
        <v>0.6077872744539411</v>
      </c>
    </row>
    <row r="348" spans="1:14" hidden="1" x14ac:dyDescent="0.2">
      <c r="A348" t="s">
        <v>256</v>
      </c>
      <c r="B348" t="s">
        <v>295</v>
      </c>
      <c r="C348">
        <v>605</v>
      </c>
      <c r="D348">
        <v>6</v>
      </c>
      <c r="E348">
        <v>11</v>
      </c>
      <c r="F348">
        <v>1227</v>
      </c>
      <c r="G348">
        <v>4</v>
      </c>
      <c r="H348">
        <v>1</v>
      </c>
      <c r="I348">
        <v>20</v>
      </c>
      <c r="J348">
        <f t="shared" si="23"/>
        <v>1874</v>
      </c>
      <c r="K348" s="1">
        <v>1854</v>
      </c>
      <c r="L348" s="3">
        <v>0.32632146709816612</v>
      </c>
      <c r="M348" s="3">
        <v>5.9331175836030208E-3</v>
      </c>
      <c r="N348" s="3">
        <v>0.6618122977346278</v>
      </c>
    </row>
    <row r="349" spans="1:14" hidden="1" x14ac:dyDescent="0.2">
      <c r="A349" t="s">
        <v>256</v>
      </c>
      <c r="B349" t="s">
        <v>540</v>
      </c>
      <c r="C349">
        <v>2267</v>
      </c>
      <c r="D349">
        <v>31</v>
      </c>
      <c r="E349">
        <v>58</v>
      </c>
      <c r="F349">
        <v>1745</v>
      </c>
      <c r="G349">
        <v>19</v>
      </c>
      <c r="H349">
        <v>0</v>
      </c>
      <c r="I349">
        <v>25</v>
      </c>
      <c r="J349">
        <f t="shared" si="23"/>
        <v>4145</v>
      </c>
      <c r="K349" s="1">
        <v>4120</v>
      </c>
      <c r="L349" s="3">
        <v>0.550242718446602</v>
      </c>
      <c r="M349" s="3">
        <v>1.4077669902912621E-2</v>
      </c>
      <c r="N349" s="3">
        <v>0.42354368932038833</v>
      </c>
    </row>
    <row r="350" spans="1:14" hidden="1" x14ac:dyDescent="0.2">
      <c r="A350" t="s">
        <v>256</v>
      </c>
      <c r="B350" t="s">
        <v>296</v>
      </c>
      <c r="C350">
        <v>3676</v>
      </c>
      <c r="D350">
        <v>44</v>
      </c>
      <c r="E350">
        <v>98</v>
      </c>
      <c r="F350">
        <v>1523</v>
      </c>
      <c r="G350">
        <v>41</v>
      </c>
      <c r="H350">
        <v>16</v>
      </c>
      <c r="I350">
        <v>73</v>
      </c>
      <c r="J350">
        <f t="shared" si="23"/>
        <v>5471</v>
      </c>
      <c r="K350" s="1">
        <v>5398</v>
      </c>
      <c r="L350" s="3">
        <v>0.68099296035568724</v>
      </c>
      <c r="M350" s="3">
        <v>1.8154872174879585E-2</v>
      </c>
      <c r="N350" s="3">
        <v>0.28214153390144497</v>
      </c>
    </row>
    <row r="351" spans="1:14" hidden="1" x14ac:dyDescent="0.2">
      <c r="A351" t="s">
        <v>256</v>
      </c>
      <c r="B351" t="s">
        <v>297</v>
      </c>
      <c r="C351">
        <v>1122</v>
      </c>
      <c r="D351">
        <v>16</v>
      </c>
      <c r="E351">
        <v>14</v>
      </c>
      <c r="F351">
        <v>1489</v>
      </c>
      <c r="G351">
        <v>6</v>
      </c>
      <c r="H351">
        <v>1</v>
      </c>
      <c r="I351">
        <v>26</v>
      </c>
      <c r="J351">
        <f t="shared" si="23"/>
        <v>2674</v>
      </c>
      <c r="K351" s="1">
        <v>2648</v>
      </c>
      <c r="L351" s="3">
        <v>0.42371601208459214</v>
      </c>
      <c r="M351" s="3">
        <v>5.287009063444109E-3</v>
      </c>
      <c r="N351" s="3">
        <v>0.56231117824773413</v>
      </c>
    </row>
    <row r="352" spans="1:14" hidden="1" x14ac:dyDescent="0.2">
      <c r="A352" t="s">
        <v>256</v>
      </c>
      <c r="B352" t="s">
        <v>298</v>
      </c>
      <c r="C352">
        <v>54</v>
      </c>
      <c r="D352">
        <v>1</v>
      </c>
      <c r="E352">
        <v>3</v>
      </c>
      <c r="F352">
        <v>180</v>
      </c>
      <c r="G352">
        <v>0</v>
      </c>
      <c r="H352">
        <v>0</v>
      </c>
      <c r="I352">
        <v>6</v>
      </c>
      <c r="J352">
        <f t="shared" si="23"/>
        <v>244</v>
      </c>
      <c r="K352" s="1">
        <v>238</v>
      </c>
      <c r="L352" s="3">
        <v>0.22689075630252101</v>
      </c>
      <c r="M352" s="3">
        <v>1.2605042016806723E-2</v>
      </c>
      <c r="N352" s="3">
        <v>0.75630252100840334</v>
      </c>
    </row>
    <row r="353" spans="1:14" hidden="1" x14ac:dyDescent="0.2">
      <c r="A353" t="s">
        <v>256</v>
      </c>
      <c r="B353" t="s">
        <v>299</v>
      </c>
      <c r="C353">
        <v>138</v>
      </c>
      <c r="D353">
        <v>0</v>
      </c>
      <c r="E353">
        <v>5</v>
      </c>
      <c r="F353">
        <v>362</v>
      </c>
      <c r="G353">
        <v>1</v>
      </c>
      <c r="H353">
        <v>0</v>
      </c>
      <c r="I353">
        <v>8</v>
      </c>
      <c r="J353">
        <f t="shared" si="23"/>
        <v>514</v>
      </c>
      <c r="K353" s="1">
        <v>506</v>
      </c>
      <c r="L353" s="3">
        <v>0.27272727272727271</v>
      </c>
      <c r="M353" s="3">
        <v>9.881422924901186E-3</v>
      </c>
      <c r="N353" s="3">
        <v>0.71541501976284583</v>
      </c>
    </row>
    <row r="354" spans="1:14" ht="32" hidden="1" x14ac:dyDescent="0.2">
      <c r="A354" t="s">
        <v>256</v>
      </c>
      <c r="B354" s="2" t="s">
        <v>300</v>
      </c>
      <c r="C354">
        <v>241</v>
      </c>
      <c r="D354">
        <v>1</v>
      </c>
      <c r="E354">
        <v>5</v>
      </c>
      <c r="F354">
        <v>62</v>
      </c>
      <c r="G354">
        <v>2</v>
      </c>
      <c r="H354">
        <v>3</v>
      </c>
      <c r="I354">
        <v>4</v>
      </c>
      <c r="J354">
        <f t="shared" si="23"/>
        <v>318</v>
      </c>
      <c r="K354" s="1">
        <v>314</v>
      </c>
      <c r="L354" s="3">
        <v>0.76751592356687903</v>
      </c>
      <c r="M354" s="3">
        <v>1.5923566878980892E-2</v>
      </c>
      <c r="N354" s="3">
        <v>0.19745222929936307</v>
      </c>
    </row>
    <row r="355" spans="1:14" hidden="1" x14ac:dyDescent="0.2">
      <c r="A355" t="s">
        <v>256</v>
      </c>
      <c r="B355" t="s">
        <v>301</v>
      </c>
      <c r="C355">
        <v>216</v>
      </c>
      <c r="D355">
        <v>4</v>
      </c>
      <c r="E355">
        <v>6</v>
      </c>
      <c r="F355">
        <v>552</v>
      </c>
      <c r="G355">
        <v>1</v>
      </c>
      <c r="H355">
        <v>0</v>
      </c>
      <c r="I355">
        <v>4</v>
      </c>
      <c r="J355">
        <f t="shared" si="23"/>
        <v>783</v>
      </c>
      <c r="K355" s="1">
        <v>779</v>
      </c>
      <c r="L355" s="3">
        <v>0.2772785622593068</v>
      </c>
      <c r="M355" s="3">
        <v>7.7021822849807449E-3</v>
      </c>
      <c r="N355" s="3">
        <v>0.70860077021822854</v>
      </c>
    </row>
    <row r="356" spans="1:14" hidden="1" x14ac:dyDescent="0.2">
      <c r="A356" t="s">
        <v>256</v>
      </c>
      <c r="B356" t="s">
        <v>534</v>
      </c>
      <c r="C356">
        <v>20</v>
      </c>
      <c r="D356">
        <v>2</v>
      </c>
      <c r="E356">
        <v>0</v>
      </c>
      <c r="F356">
        <v>80</v>
      </c>
      <c r="G356">
        <v>0</v>
      </c>
      <c r="H356">
        <v>0</v>
      </c>
      <c r="I356">
        <v>1</v>
      </c>
      <c r="J356">
        <f t="shared" si="23"/>
        <v>103</v>
      </c>
      <c r="K356" s="1">
        <v>102</v>
      </c>
      <c r="L356" s="3">
        <v>0.19607843137254902</v>
      </c>
      <c r="M356" s="3">
        <v>0</v>
      </c>
      <c r="N356" s="3">
        <v>0.78431372549019607</v>
      </c>
    </row>
    <row r="357" spans="1:14" hidden="1" x14ac:dyDescent="0.2">
      <c r="A357" t="s">
        <v>256</v>
      </c>
      <c r="B357" t="s">
        <v>302</v>
      </c>
      <c r="C357">
        <v>13</v>
      </c>
      <c r="D357">
        <v>0</v>
      </c>
      <c r="E357">
        <v>0</v>
      </c>
      <c r="F357">
        <v>13</v>
      </c>
      <c r="G357">
        <v>0</v>
      </c>
      <c r="H357">
        <v>0</v>
      </c>
      <c r="I357">
        <v>1</v>
      </c>
      <c r="J357">
        <f t="shared" si="23"/>
        <v>27</v>
      </c>
      <c r="K357" s="1">
        <v>26</v>
      </c>
      <c r="L357" s="3">
        <v>0.5</v>
      </c>
      <c r="M357" s="3">
        <v>0</v>
      </c>
      <c r="N357" s="3">
        <v>0.5</v>
      </c>
    </row>
    <row r="358" spans="1:14" hidden="1" x14ac:dyDescent="0.2">
      <c r="A358" t="s">
        <v>256</v>
      </c>
      <c r="B358" t="s">
        <v>303</v>
      </c>
      <c r="C358">
        <v>33</v>
      </c>
      <c r="D358">
        <v>2</v>
      </c>
      <c r="E358">
        <v>1</v>
      </c>
      <c r="F358">
        <v>150</v>
      </c>
      <c r="G358">
        <v>0</v>
      </c>
      <c r="H358">
        <v>0</v>
      </c>
      <c r="I358">
        <v>2</v>
      </c>
      <c r="J358">
        <f t="shared" si="23"/>
        <v>188</v>
      </c>
      <c r="K358" s="1">
        <v>186</v>
      </c>
      <c r="L358" s="3">
        <v>0.17741935483870969</v>
      </c>
      <c r="M358" s="3">
        <v>5.3763440860215058E-3</v>
      </c>
      <c r="N358" s="3">
        <v>0.80645161290322576</v>
      </c>
    </row>
    <row r="359" spans="1:14" hidden="1" x14ac:dyDescent="0.2">
      <c r="A359" t="s">
        <v>256</v>
      </c>
      <c r="B359" t="s">
        <v>304</v>
      </c>
      <c r="C359">
        <v>37</v>
      </c>
      <c r="D359">
        <v>2</v>
      </c>
      <c r="E359">
        <v>0</v>
      </c>
      <c r="F359">
        <v>154</v>
      </c>
      <c r="G359">
        <v>0</v>
      </c>
      <c r="H359">
        <v>0</v>
      </c>
      <c r="I359">
        <v>1</v>
      </c>
      <c r="J359">
        <f t="shared" si="23"/>
        <v>194</v>
      </c>
      <c r="K359" s="1">
        <v>193</v>
      </c>
      <c r="L359" s="3">
        <v>0.19170984455958548</v>
      </c>
      <c r="M359" s="3">
        <v>0</v>
      </c>
      <c r="N359" s="3">
        <v>0.79792746113989632</v>
      </c>
    </row>
    <row r="360" spans="1:14" hidden="1" x14ac:dyDescent="0.2">
      <c r="A360" t="s">
        <v>256</v>
      </c>
      <c r="B360" t="s">
        <v>305</v>
      </c>
      <c r="C360">
        <v>233</v>
      </c>
      <c r="D360">
        <v>7</v>
      </c>
      <c r="E360">
        <v>2</v>
      </c>
      <c r="F360">
        <v>558</v>
      </c>
      <c r="G360">
        <v>3</v>
      </c>
      <c r="H360">
        <v>1</v>
      </c>
      <c r="I360">
        <v>6</v>
      </c>
      <c r="J360">
        <f t="shared" si="23"/>
        <v>810</v>
      </c>
      <c r="K360" s="1">
        <v>804</v>
      </c>
      <c r="L360" s="3">
        <v>0.28980099502487561</v>
      </c>
      <c r="M360" s="3">
        <v>2.4875621890547263E-3</v>
      </c>
      <c r="N360" s="3">
        <v>0.69402985074626866</v>
      </c>
    </row>
    <row r="361" spans="1:14" hidden="1" x14ac:dyDescent="0.2">
      <c r="A361" t="s">
        <v>256</v>
      </c>
      <c r="B361" t="s">
        <v>306</v>
      </c>
      <c r="C361">
        <v>672</v>
      </c>
      <c r="D361">
        <v>8</v>
      </c>
      <c r="E361">
        <v>10</v>
      </c>
      <c r="F361">
        <v>483</v>
      </c>
      <c r="G361">
        <v>4</v>
      </c>
      <c r="H361">
        <v>1</v>
      </c>
      <c r="I361">
        <v>18</v>
      </c>
      <c r="J361">
        <f t="shared" si="23"/>
        <v>1196</v>
      </c>
      <c r="K361" s="1">
        <v>1178</v>
      </c>
      <c r="L361" s="3">
        <v>0.57045840407470294</v>
      </c>
      <c r="M361" s="3">
        <v>8.4889643463497456E-3</v>
      </c>
      <c r="N361" s="3">
        <v>0.41001697792869268</v>
      </c>
    </row>
    <row r="362" spans="1:14" hidden="1" x14ac:dyDescent="0.2">
      <c r="A362" t="s">
        <v>256</v>
      </c>
      <c r="B362" t="s">
        <v>307</v>
      </c>
      <c r="C362">
        <v>8</v>
      </c>
      <c r="D362">
        <v>1</v>
      </c>
      <c r="E362">
        <v>0</v>
      </c>
      <c r="F362">
        <v>34</v>
      </c>
      <c r="G362">
        <v>0</v>
      </c>
      <c r="H362">
        <v>0</v>
      </c>
      <c r="I362">
        <v>0</v>
      </c>
      <c r="J362">
        <f t="shared" si="23"/>
        <v>43</v>
      </c>
      <c r="K362" s="1">
        <v>43</v>
      </c>
      <c r="L362" s="3">
        <v>0.18604651162790697</v>
      </c>
      <c r="M362" s="3">
        <v>0</v>
      </c>
      <c r="N362" s="3">
        <v>0.79069767441860461</v>
      </c>
    </row>
    <row r="363" spans="1:14" hidden="1" x14ac:dyDescent="0.2">
      <c r="A363" t="s">
        <v>256</v>
      </c>
      <c r="B363" t="s">
        <v>308</v>
      </c>
      <c r="C363">
        <v>52</v>
      </c>
      <c r="D363">
        <v>1</v>
      </c>
      <c r="E363">
        <v>0</v>
      </c>
      <c r="F363">
        <v>158</v>
      </c>
      <c r="G363">
        <v>0</v>
      </c>
      <c r="H363">
        <v>0</v>
      </c>
      <c r="I363">
        <v>1</v>
      </c>
      <c r="J363">
        <f t="shared" si="23"/>
        <v>212</v>
      </c>
      <c r="K363" s="1">
        <v>211</v>
      </c>
      <c r="L363" s="3">
        <v>0.24644549763033174</v>
      </c>
      <c r="M363" s="3">
        <v>0</v>
      </c>
      <c r="N363" s="3">
        <v>0.74881516587677721</v>
      </c>
    </row>
    <row r="364" spans="1:14" hidden="1" x14ac:dyDescent="0.2">
      <c r="A364" t="s">
        <v>256</v>
      </c>
      <c r="B364" t="s">
        <v>309</v>
      </c>
      <c r="C364">
        <v>20</v>
      </c>
      <c r="D364">
        <v>1</v>
      </c>
      <c r="E364">
        <v>2</v>
      </c>
      <c r="F364">
        <v>122</v>
      </c>
      <c r="G364">
        <v>0</v>
      </c>
      <c r="H364">
        <v>0</v>
      </c>
      <c r="I364">
        <v>3</v>
      </c>
      <c r="J364">
        <f t="shared" si="23"/>
        <v>148</v>
      </c>
      <c r="K364" s="1">
        <v>145</v>
      </c>
      <c r="L364" s="3">
        <v>0.13793103448275862</v>
      </c>
      <c r="M364" s="3">
        <v>1.3793103448275862E-2</v>
      </c>
      <c r="N364" s="3">
        <v>0.8413793103448276</v>
      </c>
    </row>
    <row r="365" spans="1:14" s="1" customFormat="1" x14ac:dyDescent="0.2">
      <c r="A365" s="1" t="s">
        <v>256</v>
      </c>
      <c r="B365" s="1" t="s">
        <v>492</v>
      </c>
      <c r="C365" s="1">
        <f t="shared" ref="C365:J365" si="24">SUM(C300:C364)</f>
        <v>37945</v>
      </c>
      <c r="D365" s="1">
        <f t="shared" si="24"/>
        <v>576</v>
      </c>
      <c r="E365" s="1">
        <f t="shared" si="24"/>
        <v>801</v>
      </c>
      <c r="F365" s="1">
        <f t="shared" si="24"/>
        <v>47438</v>
      </c>
      <c r="G365" s="1">
        <f t="shared" si="24"/>
        <v>240</v>
      </c>
      <c r="H365" s="1">
        <f t="shared" si="24"/>
        <v>73</v>
      </c>
      <c r="I365" s="1">
        <f t="shared" si="24"/>
        <v>1022</v>
      </c>
      <c r="J365" s="1">
        <f t="shared" si="24"/>
        <v>88095</v>
      </c>
      <c r="K365" s="1">
        <v>87073</v>
      </c>
      <c r="L365" s="3">
        <v>0.43578376764324189</v>
      </c>
      <c r="M365" s="3">
        <v>9.1991777014688823E-3</v>
      </c>
      <c r="N365" s="3">
        <v>0.54480723071445802</v>
      </c>
    </row>
    <row r="366" spans="1:14" hidden="1" x14ac:dyDescent="0.2">
      <c r="K366" s="1">
        <v>0</v>
      </c>
      <c r="L366" s="3" t="e">
        <v>#DIV/0!</v>
      </c>
      <c r="M366" s="3" t="e">
        <v>#DIV/0!</v>
      </c>
      <c r="N366" s="3" t="e">
        <v>#DIV/0!</v>
      </c>
    </row>
    <row r="367" spans="1:14" hidden="1" x14ac:dyDescent="0.2">
      <c r="A367" t="s">
        <v>310</v>
      </c>
      <c r="B367" t="s">
        <v>311</v>
      </c>
      <c r="C367">
        <v>126</v>
      </c>
      <c r="D367">
        <v>2</v>
      </c>
      <c r="E367">
        <v>3</v>
      </c>
      <c r="F367">
        <v>276</v>
      </c>
      <c r="G367">
        <v>0</v>
      </c>
      <c r="H367">
        <v>0</v>
      </c>
      <c r="I367">
        <v>2</v>
      </c>
      <c r="J367">
        <f t="shared" ref="J367:J384" si="25">SUM(C367:I367)</f>
        <v>409</v>
      </c>
      <c r="K367" s="1">
        <v>407</v>
      </c>
      <c r="L367" s="3">
        <v>0.30958230958230959</v>
      </c>
      <c r="M367" s="3">
        <v>7.3710073710073713E-3</v>
      </c>
      <c r="N367" s="3">
        <v>0.67813267813267808</v>
      </c>
    </row>
    <row r="368" spans="1:14" hidden="1" x14ac:dyDescent="0.2">
      <c r="A368" t="s">
        <v>310</v>
      </c>
      <c r="B368" t="s">
        <v>312</v>
      </c>
      <c r="C368">
        <v>48</v>
      </c>
      <c r="D368">
        <v>0</v>
      </c>
      <c r="E368">
        <v>0</v>
      </c>
      <c r="F368">
        <v>121</v>
      </c>
      <c r="G368">
        <v>0</v>
      </c>
      <c r="H368">
        <v>0</v>
      </c>
      <c r="I368">
        <v>3</v>
      </c>
      <c r="J368">
        <f t="shared" si="25"/>
        <v>172</v>
      </c>
      <c r="K368" s="1">
        <v>169</v>
      </c>
      <c r="L368" s="3">
        <v>0.28402366863905326</v>
      </c>
      <c r="M368" s="3">
        <v>0</v>
      </c>
      <c r="N368" s="3">
        <v>0.71597633136094674</v>
      </c>
    </row>
    <row r="369" spans="1:14" hidden="1" x14ac:dyDescent="0.2">
      <c r="A369" t="s">
        <v>310</v>
      </c>
      <c r="B369" t="s">
        <v>313</v>
      </c>
      <c r="C369">
        <v>59</v>
      </c>
      <c r="D369">
        <v>1</v>
      </c>
      <c r="E369">
        <v>0</v>
      </c>
      <c r="F369">
        <v>56</v>
      </c>
      <c r="G369">
        <v>0</v>
      </c>
      <c r="H369">
        <v>0</v>
      </c>
      <c r="I369">
        <v>1</v>
      </c>
      <c r="J369">
        <f t="shared" si="25"/>
        <v>117</v>
      </c>
      <c r="K369" s="1">
        <v>116</v>
      </c>
      <c r="L369" s="3">
        <v>0.50862068965517238</v>
      </c>
      <c r="M369" s="3">
        <v>0</v>
      </c>
      <c r="N369" s="3">
        <v>0.48275862068965519</v>
      </c>
    </row>
    <row r="370" spans="1:14" hidden="1" x14ac:dyDescent="0.2">
      <c r="A370" t="s">
        <v>310</v>
      </c>
      <c r="B370" t="s">
        <v>314</v>
      </c>
      <c r="C370">
        <v>44</v>
      </c>
      <c r="D370">
        <v>0</v>
      </c>
      <c r="E370">
        <v>0</v>
      </c>
      <c r="F370">
        <v>82</v>
      </c>
      <c r="G370">
        <v>0</v>
      </c>
      <c r="H370">
        <v>0</v>
      </c>
      <c r="I370">
        <v>2</v>
      </c>
      <c r="J370">
        <f t="shared" si="25"/>
        <v>128</v>
      </c>
      <c r="K370" s="1">
        <v>126</v>
      </c>
      <c r="L370" s="3">
        <v>0.34920634920634919</v>
      </c>
      <c r="M370" s="3">
        <v>0</v>
      </c>
      <c r="N370" s="3">
        <v>0.65079365079365081</v>
      </c>
    </row>
    <row r="371" spans="1:14" hidden="1" x14ac:dyDescent="0.2">
      <c r="A371" t="s">
        <v>310</v>
      </c>
      <c r="B371" t="s">
        <v>564</v>
      </c>
      <c r="C371">
        <v>248</v>
      </c>
      <c r="D371">
        <v>5</v>
      </c>
      <c r="E371">
        <v>11</v>
      </c>
      <c r="F371">
        <v>539</v>
      </c>
      <c r="G371">
        <v>0</v>
      </c>
      <c r="H371">
        <v>0</v>
      </c>
      <c r="I371">
        <v>7</v>
      </c>
      <c r="J371">
        <f t="shared" si="25"/>
        <v>810</v>
      </c>
      <c r="K371" s="1">
        <v>803</v>
      </c>
      <c r="L371" s="3">
        <v>0.30884184308841844</v>
      </c>
      <c r="M371" s="3">
        <v>1.3698630136986301E-2</v>
      </c>
      <c r="N371" s="3">
        <v>0.67123287671232879</v>
      </c>
    </row>
    <row r="372" spans="1:14" hidden="1" x14ac:dyDescent="0.2">
      <c r="A372" t="s">
        <v>310</v>
      </c>
      <c r="B372" t="s">
        <v>315</v>
      </c>
      <c r="C372">
        <v>912</v>
      </c>
      <c r="D372">
        <v>16</v>
      </c>
      <c r="E372">
        <v>27</v>
      </c>
      <c r="F372">
        <v>1459</v>
      </c>
      <c r="G372">
        <v>10</v>
      </c>
      <c r="H372">
        <v>2</v>
      </c>
      <c r="I372">
        <v>23</v>
      </c>
      <c r="J372">
        <f t="shared" si="25"/>
        <v>2449</v>
      </c>
      <c r="K372" s="1">
        <v>2426</v>
      </c>
      <c r="L372" s="3">
        <v>0.37592745259686727</v>
      </c>
      <c r="M372" s="3">
        <v>1.1129431162407255E-2</v>
      </c>
      <c r="N372" s="3">
        <v>0.60140148392415493</v>
      </c>
    </row>
    <row r="373" spans="1:14" hidden="1" x14ac:dyDescent="0.2">
      <c r="A373" t="s">
        <v>310</v>
      </c>
      <c r="B373" t="s">
        <v>541</v>
      </c>
      <c r="C373">
        <v>484</v>
      </c>
      <c r="D373">
        <v>4</v>
      </c>
      <c r="E373">
        <v>4</v>
      </c>
      <c r="F373">
        <v>692</v>
      </c>
      <c r="G373">
        <v>4</v>
      </c>
      <c r="H373">
        <v>0</v>
      </c>
      <c r="I373">
        <v>17</v>
      </c>
      <c r="J373">
        <f t="shared" si="25"/>
        <v>1205</v>
      </c>
      <c r="K373" s="1">
        <v>1188</v>
      </c>
      <c r="L373" s="3">
        <v>0.40740740740740738</v>
      </c>
      <c r="M373" s="3">
        <v>3.3670033670033669E-3</v>
      </c>
      <c r="N373" s="3">
        <v>0.5824915824915825</v>
      </c>
    </row>
    <row r="374" spans="1:14" hidden="1" x14ac:dyDescent="0.2">
      <c r="A374" t="s">
        <v>310</v>
      </c>
      <c r="B374" t="s">
        <v>542</v>
      </c>
      <c r="C374">
        <v>271</v>
      </c>
      <c r="D374">
        <v>7</v>
      </c>
      <c r="E374">
        <v>7</v>
      </c>
      <c r="F374">
        <v>502</v>
      </c>
      <c r="G374">
        <v>3</v>
      </c>
      <c r="H374">
        <v>0</v>
      </c>
      <c r="I374">
        <v>10</v>
      </c>
      <c r="J374">
        <f t="shared" si="25"/>
        <v>800</v>
      </c>
      <c r="K374" s="1">
        <v>790</v>
      </c>
      <c r="L374" s="3">
        <v>0.3430379746835443</v>
      </c>
      <c r="M374" s="3">
        <v>8.8607594936708865E-3</v>
      </c>
      <c r="N374" s="3">
        <v>0.63544303797468349</v>
      </c>
    </row>
    <row r="375" spans="1:14" hidden="1" x14ac:dyDescent="0.2">
      <c r="A375" t="s">
        <v>310</v>
      </c>
      <c r="B375" t="s">
        <v>316</v>
      </c>
      <c r="C375">
        <v>50</v>
      </c>
      <c r="D375">
        <v>1</v>
      </c>
      <c r="E375">
        <v>1</v>
      </c>
      <c r="F375">
        <v>86</v>
      </c>
      <c r="G375">
        <v>0</v>
      </c>
      <c r="H375">
        <v>0</v>
      </c>
      <c r="I375">
        <v>3</v>
      </c>
      <c r="J375">
        <f t="shared" si="25"/>
        <v>141</v>
      </c>
      <c r="K375" s="1">
        <v>138</v>
      </c>
      <c r="L375" s="3">
        <v>0.36231884057971014</v>
      </c>
      <c r="M375" s="3">
        <v>7.246376811594203E-3</v>
      </c>
      <c r="N375" s="3">
        <v>0.62318840579710144</v>
      </c>
    </row>
    <row r="376" spans="1:14" hidden="1" x14ac:dyDescent="0.2">
      <c r="A376" t="s">
        <v>310</v>
      </c>
      <c r="B376" t="s">
        <v>317</v>
      </c>
      <c r="C376">
        <v>54</v>
      </c>
      <c r="D376">
        <v>4</v>
      </c>
      <c r="E376">
        <v>0</v>
      </c>
      <c r="F376">
        <v>124</v>
      </c>
      <c r="G376">
        <v>0</v>
      </c>
      <c r="H376">
        <v>0</v>
      </c>
      <c r="I376">
        <v>1</v>
      </c>
      <c r="J376">
        <f t="shared" si="25"/>
        <v>183</v>
      </c>
      <c r="K376" s="1">
        <v>182</v>
      </c>
      <c r="L376" s="3">
        <v>0.2967032967032967</v>
      </c>
      <c r="M376" s="3">
        <v>0</v>
      </c>
      <c r="N376" s="3">
        <v>0.68131868131868134</v>
      </c>
    </row>
    <row r="377" spans="1:14" hidden="1" x14ac:dyDescent="0.2">
      <c r="A377" t="s">
        <v>310</v>
      </c>
      <c r="B377" t="s">
        <v>543</v>
      </c>
      <c r="C377">
        <v>429</v>
      </c>
      <c r="D377">
        <v>4</v>
      </c>
      <c r="E377">
        <v>13</v>
      </c>
      <c r="F377">
        <v>821</v>
      </c>
      <c r="G377">
        <v>3</v>
      </c>
      <c r="H377">
        <v>0</v>
      </c>
      <c r="I377">
        <v>16</v>
      </c>
      <c r="J377">
        <f t="shared" si="25"/>
        <v>1286</v>
      </c>
      <c r="K377" s="1">
        <v>1270</v>
      </c>
      <c r="L377" s="3">
        <v>0.33779527559055117</v>
      </c>
      <c r="M377" s="3">
        <v>1.0236220472440945E-2</v>
      </c>
      <c r="N377" s="3">
        <v>0.64645669291338581</v>
      </c>
    </row>
    <row r="378" spans="1:14" hidden="1" x14ac:dyDescent="0.2">
      <c r="A378" t="s">
        <v>310</v>
      </c>
      <c r="B378" t="s">
        <v>318</v>
      </c>
      <c r="C378">
        <v>169</v>
      </c>
      <c r="D378">
        <v>5</v>
      </c>
      <c r="E378">
        <v>5</v>
      </c>
      <c r="F378">
        <v>338</v>
      </c>
      <c r="G378">
        <v>0</v>
      </c>
      <c r="H378">
        <v>1</v>
      </c>
      <c r="I378">
        <v>7</v>
      </c>
      <c r="J378">
        <f t="shared" si="25"/>
        <v>525</v>
      </c>
      <c r="K378" s="1">
        <v>518</v>
      </c>
      <c r="L378" s="3">
        <v>0.32625482625482627</v>
      </c>
      <c r="M378" s="3">
        <v>9.6525096525096523E-3</v>
      </c>
      <c r="N378" s="3">
        <v>0.65250965250965254</v>
      </c>
    </row>
    <row r="379" spans="1:14" hidden="1" x14ac:dyDescent="0.2">
      <c r="A379" t="s">
        <v>310</v>
      </c>
      <c r="B379" t="s">
        <v>319</v>
      </c>
      <c r="C379">
        <v>138</v>
      </c>
      <c r="D379">
        <v>5</v>
      </c>
      <c r="E379">
        <v>35</v>
      </c>
      <c r="F379">
        <v>307</v>
      </c>
      <c r="G379">
        <v>1</v>
      </c>
      <c r="H379">
        <v>0</v>
      </c>
      <c r="I379">
        <v>6</v>
      </c>
      <c r="J379">
        <f t="shared" si="25"/>
        <v>492</v>
      </c>
      <c r="K379" s="1">
        <v>486</v>
      </c>
      <c r="L379" s="3">
        <v>0.2839506172839506</v>
      </c>
      <c r="M379" s="3">
        <v>7.2016460905349799E-2</v>
      </c>
      <c r="N379" s="3">
        <v>0.63168724279835387</v>
      </c>
    </row>
    <row r="380" spans="1:14" hidden="1" x14ac:dyDescent="0.2">
      <c r="A380" t="s">
        <v>310</v>
      </c>
      <c r="B380" t="s">
        <v>320</v>
      </c>
      <c r="C380">
        <v>244</v>
      </c>
      <c r="D380">
        <v>6</v>
      </c>
      <c r="E380">
        <v>7</v>
      </c>
      <c r="F380">
        <v>505</v>
      </c>
      <c r="G380">
        <v>0</v>
      </c>
      <c r="H380">
        <v>0</v>
      </c>
      <c r="I380">
        <v>7</v>
      </c>
      <c r="J380">
        <f t="shared" si="25"/>
        <v>769</v>
      </c>
      <c r="K380" s="1">
        <v>762</v>
      </c>
      <c r="L380" s="3">
        <v>0.32020997375328086</v>
      </c>
      <c r="M380" s="3">
        <v>9.1863517060367453E-3</v>
      </c>
      <c r="N380" s="3">
        <v>0.66272965879265089</v>
      </c>
    </row>
    <row r="381" spans="1:14" hidden="1" x14ac:dyDescent="0.2">
      <c r="A381" t="s">
        <v>310</v>
      </c>
      <c r="B381" t="s">
        <v>321</v>
      </c>
      <c r="C381">
        <v>111</v>
      </c>
      <c r="D381">
        <v>2</v>
      </c>
      <c r="E381">
        <v>3</v>
      </c>
      <c r="F381">
        <v>306</v>
      </c>
      <c r="G381">
        <v>0</v>
      </c>
      <c r="H381">
        <v>0</v>
      </c>
      <c r="I381">
        <v>7</v>
      </c>
      <c r="J381">
        <f t="shared" si="25"/>
        <v>429</v>
      </c>
      <c r="K381" s="1">
        <v>422</v>
      </c>
      <c r="L381" s="3">
        <v>0.26303317535545023</v>
      </c>
      <c r="M381" s="3">
        <v>7.1090047393364926E-3</v>
      </c>
      <c r="N381" s="3">
        <v>0.72511848341232232</v>
      </c>
    </row>
    <row r="382" spans="1:14" hidden="1" x14ac:dyDescent="0.2">
      <c r="A382" t="s">
        <v>310</v>
      </c>
      <c r="B382" t="s">
        <v>322</v>
      </c>
      <c r="C382">
        <v>48</v>
      </c>
      <c r="D382">
        <v>1</v>
      </c>
      <c r="E382">
        <v>4</v>
      </c>
      <c r="F382">
        <v>112</v>
      </c>
      <c r="G382">
        <v>0</v>
      </c>
      <c r="H382">
        <v>0</v>
      </c>
      <c r="I382">
        <v>3</v>
      </c>
      <c r="J382">
        <f t="shared" si="25"/>
        <v>168</v>
      </c>
      <c r="K382" s="1">
        <v>165</v>
      </c>
      <c r="L382" s="3">
        <v>0.29090909090909089</v>
      </c>
      <c r="M382" s="3">
        <v>2.4242424242424242E-2</v>
      </c>
      <c r="N382" s="3">
        <v>0.67878787878787883</v>
      </c>
    </row>
    <row r="383" spans="1:14" hidden="1" x14ac:dyDescent="0.2">
      <c r="A383" t="s">
        <v>310</v>
      </c>
      <c r="B383" t="s">
        <v>323</v>
      </c>
      <c r="C383">
        <v>54</v>
      </c>
      <c r="D383">
        <v>0</v>
      </c>
      <c r="E383">
        <v>1</v>
      </c>
      <c r="F383">
        <v>89</v>
      </c>
      <c r="G383">
        <v>0</v>
      </c>
      <c r="H383">
        <v>0</v>
      </c>
      <c r="I383">
        <v>0</v>
      </c>
      <c r="J383">
        <f t="shared" si="25"/>
        <v>144</v>
      </c>
      <c r="K383" s="1">
        <v>144</v>
      </c>
      <c r="L383" s="3">
        <v>0.375</v>
      </c>
      <c r="M383" s="3">
        <v>6.9444444444444441E-3</v>
      </c>
      <c r="N383" s="3">
        <v>0.61805555555555558</v>
      </c>
    </row>
    <row r="384" spans="1:14" hidden="1" x14ac:dyDescent="0.2">
      <c r="A384" t="s">
        <v>310</v>
      </c>
      <c r="B384" t="s">
        <v>324</v>
      </c>
      <c r="C384">
        <v>21</v>
      </c>
      <c r="D384">
        <v>0</v>
      </c>
      <c r="E384">
        <v>0</v>
      </c>
      <c r="F384">
        <v>72</v>
      </c>
      <c r="G384">
        <v>0</v>
      </c>
      <c r="H384">
        <v>0</v>
      </c>
      <c r="I384">
        <v>3</v>
      </c>
      <c r="J384">
        <f t="shared" si="25"/>
        <v>96</v>
      </c>
      <c r="K384" s="1">
        <v>93</v>
      </c>
      <c r="L384" s="3">
        <v>0.22580645161290322</v>
      </c>
      <c r="M384" s="3">
        <v>0</v>
      </c>
      <c r="N384" s="3">
        <v>0.77419354838709675</v>
      </c>
    </row>
    <row r="385" spans="1:14" s="1" customFormat="1" x14ac:dyDescent="0.2">
      <c r="A385" s="1" t="s">
        <v>310</v>
      </c>
      <c r="B385" s="1" t="s">
        <v>493</v>
      </c>
      <c r="C385" s="1">
        <f t="shared" ref="C385:J385" si="26">SUM(C367:C384)</f>
        <v>3510</v>
      </c>
      <c r="D385" s="1">
        <f t="shared" si="26"/>
        <v>63</v>
      </c>
      <c r="E385" s="1">
        <f t="shared" si="26"/>
        <v>121</v>
      </c>
      <c r="F385" s="1">
        <f t="shared" si="26"/>
        <v>6487</v>
      </c>
      <c r="G385" s="1">
        <f t="shared" si="26"/>
        <v>21</v>
      </c>
      <c r="H385" s="1">
        <f t="shared" si="26"/>
        <v>3</v>
      </c>
      <c r="I385" s="1">
        <f t="shared" si="26"/>
        <v>118</v>
      </c>
      <c r="J385" s="1">
        <f t="shared" si="26"/>
        <v>10323</v>
      </c>
      <c r="K385" s="1">
        <v>10205</v>
      </c>
      <c r="L385" s="3">
        <v>0.34394904458598724</v>
      </c>
      <c r="M385" s="3">
        <v>1.1856932876041157E-2</v>
      </c>
      <c r="N385" s="3">
        <v>0.63566878980891717</v>
      </c>
    </row>
    <row r="386" spans="1:14" hidden="1" x14ac:dyDescent="0.2">
      <c r="K386" s="1">
        <v>0</v>
      </c>
      <c r="L386" s="3" t="e">
        <v>#DIV/0!</v>
      </c>
      <c r="M386" s="3" t="e">
        <v>#DIV/0!</v>
      </c>
      <c r="N386" s="3" t="e">
        <v>#DIV/0!</v>
      </c>
    </row>
    <row r="387" spans="1:14" hidden="1" x14ac:dyDescent="0.2">
      <c r="A387" t="s">
        <v>325</v>
      </c>
      <c r="B387" t="s">
        <v>326</v>
      </c>
      <c r="C387">
        <v>265</v>
      </c>
      <c r="D387">
        <v>2</v>
      </c>
      <c r="E387">
        <v>1</v>
      </c>
      <c r="F387">
        <v>90</v>
      </c>
      <c r="G387">
        <v>0</v>
      </c>
      <c r="H387">
        <v>0</v>
      </c>
      <c r="I387">
        <v>3</v>
      </c>
      <c r="J387">
        <f t="shared" ref="J387:J396" si="27">SUM(C387:I387)</f>
        <v>361</v>
      </c>
      <c r="K387" s="1">
        <v>358</v>
      </c>
      <c r="L387" s="3">
        <v>0.74022346368715086</v>
      </c>
      <c r="M387" s="3">
        <v>2.7932960893854749E-3</v>
      </c>
      <c r="N387" s="3">
        <v>0.25139664804469275</v>
      </c>
    </row>
    <row r="388" spans="1:14" hidden="1" x14ac:dyDescent="0.2">
      <c r="A388" t="s">
        <v>325</v>
      </c>
      <c r="B388" t="s">
        <v>327</v>
      </c>
      <c r="C388">
        <v>3492</v>
      </c>
      <c r="D388">
        <v>18</v>
      </c>
      <c r="E388">
        <v>83</v>
      </c>
      <c r="F388">
        <v>1581</v>
      </c>
      <c r="G388">
        <v>33</v>
      </c>
      <c r="H388">
        <v>1</v>
      </c>
      <c r="I388">
        <v>57</v>
      </c>
      <c r="J388">
        <f t="shared" si="27"/>
        <v>5265</v>
      </c>
      <c r="K388" s="1">
        <v>5208</v>
      </c>
      <c r="L388" s="3">
        <v>0.67050691244239635</v>
      </c>
      <c r="M388" s="3">
        <v>1.5937019969278033E-2</v>
      </c>
      <c r="N388" s="3">
        <v>0.30357142857142855</v>
      </c>
    </row>
    <row r="389" spans="1:14" hidden="1" x14ac:dyDescent="0.2">
      <c r="A389" t="s">
        <v>325</v>
      </c>
      <c r="B389" t="s">
        <v>328</v>
      </c>
      <c r="C389">
        <v>770</v>
      </c>
      <c r="D389">
        <v>8</v>
      </c>
      <c r="E389">
        <v>15</v>
      </c>
      <c r="F389">
        <v>1137</v>
      </c>
      <c r="G389">
        <v>5</v>
      </c>
      <c r="H389">
        <v>0</v>
      </c>
      <c r="I389">
        <v>38</v>
      </c>
      <c r="J389">
        <f t="shared" si="27"/>
        <v>1973</v>
      </c>
      <c r="K389" s="1">
        <v>1935</v>
      </c>
      <c r="L389" s="3">
        <v>0.3979328165374677</v>
      </c>
      <c r="M389" s="3">
        <v>7.7519379844961239E-3</v>
      </c>
      <c r="N389" s="3">
        <v>0.58759689922480618</v>
      </c>
    </row>
    <row r="390" spans="1:14" hidden="1" x14ac:dyDescent="0.2">
      <c r="A390" t="s">
        <v>325</v>
      </c>
      <c r="B390" t="s">
        <v>329</v>
      </c>
      <c r="C390">
        <v>1111</v>
      </c>
      <c r="D390">
        <v>17</v>
      </c>
      <c r="E390">
        <v>31</v>
      </c>
      <c r="F390">
        <v>906</v>
      </c>
      <c r="G390">
        <v>9</v>
      </c>
      <c r="H390">
        <v>2</v>
      </c>
      <c r="I390">
        <v>30</v>
      </c>
      <c r="J390">
        <f t="shared" si="27"/>
        <v>2106</v>
      </c>
      <c r="K390" s="1">
        <v>2076</v>
      </c>
      <c r="L390" s="3">
        <v>0.5351637764932563</v>
      </c>
      <c r="M390" s="3">
        <v>1.4932562620423893E-2</v>
      </c>
      <c r="N390" s="3">
        <v>0.43641618497109824</v>
      </c>
    </row>
    <row r="391" spans="1:14" hidden="1" x14ac:dyDescent="0.2">
      <c r="A391" t="s">
        <v>325</v>
      </c>
      <c r="B391" t="s">
        <v>330</v>
      </c>
      <c r="C391">
        <v>553</v>
      </c>
      <c r="D391">
        <v>5</v>
      </c>
      <c r="E391">
        <v>15</v>
      </c>
      <c r="F391">
        <v>284</v>
      </c>
      <c r="G391">
        <v>3</v>
      </c>
      <c r="H391">
        <v>1</v>
      </c>
      <c r="I391">
        <v>13</v>
      </c>
      <c r="J391">
        <f t="shared" si="27"/>
        <v>874</v>
      </c>
      <c r="K391" s="1">
        <v>861</v>
      </c>
      <c r="L391" s="3">
        <v>0.64227642276422769</v>
      </c>
      <c r="M391" s="3">
        <v>1.7421602787456445E-2</v>
      </c>
      <c r="N391" s="3">
        <v>0.32984901277584205</v>
      </c>
    </row>
    <row r="392" spans="1:14" hidden="1" x14ac:dyDescent="0.2">
      <c r="A392" t="s">
        <v>325</v>
      </c>
      <c r="B392" t="s">
        <v>331</v>
      </c>
      <c r="C392">
        <v>849</v>
      </c>
      <c r="D392">
        <v>11</v>
      </c>
      <c r="E392">
        <v>15</v>
      </c>
      <c r="F392">
        <v>762</v>
      </c>
      <c r="G392">
        <v>6</v>
      </c>
      <c r="H392">
        <v>0</v>
      </c>
      <c r="I392">
        <v>0</v>
      </c>
      <c r="J392">
        <f t="shared" si="27"/>
        <v>1643</v>
      </c>
      <c r="K392" s="1">
        <v>1643</v>
      </c>
      <c r="L392" s="3">
        <v>0.51673767498478396</v>
      </c>
      <c r="M392" s="3">
        <v>9.1296409007912364E-3</v>
      </c>
      <c r="N392" s="3">
        <v>0.46378575776019476</v>
      </c>
    </row>
    <row r="393" spans="1:14" hidden="1" x14ac:dyDescent="0.2">
      <c r="A393" t="s">
        <v>325</v>
      </c>
      <c r="B393" t="s">
        <v>332</v>
      </c>
      <c r="C393">
        <v>966</v>
      </c>
      <c r="D393">
        <v>13</v>
      </c>
      <c r="E393">
        <v>24</v>
      </c>
      <c r="F393">
        <v>1143</v>
      </c>
      <c r="G393">
        <v>12</v>
      </c>
      <c r="H393">
        <v>0</v>
      </c>
      <c r="I393">
        <v>32</v>
      </c>
      <c r="J393">
        <f t="shared" si="27"/>
        <v>2190</v>
      </c>
      <c r="K393" s="1">
        <v>2158</v>
      </c>
      <c r="L393" s="3">
        <v>0.44763670064874883</v>
      </c>
      <c r="M393" s="3">
        <v>1.1121408711770158E-2</v>
      </c>
      <c r="N393" s="3">
        <v>0.52965708989805371</v>
      </c>
    </row>
    <row r="394" spans="1:14" hidden="1" x14ac:dyDescent="0.2">
      <c r="A394" t="s">
        <v>325</v>
      </c>
      <c r="B394" t="s">
        <v>333</v>
      </c>
      <c r="C394">
        <v>4112</v>
      </c>
      <c r="D394">
        <v>55</v>
      </c>
      <c r="E394">
        <v>65</v>
      </c>
      <c r="F394">
        <v>2302</v>
      </c>
      <c r="G394">
        <v>19</v>
      </c>
      <c r="H394">
        <v>4</v>
      </c>
      <c r="I394">
        <v>112</v>
      </c>
      <c r="J394">
        <f t="shared" si="27"/>
        <v>6669</v>
      </c>
      <c r="K394" s="1">
        <v>6557</v>
      </c>
      <c r="L394" s="3">
        <v>0.62711605917340252</v>
      </c>
      <c r="M394" s="3">
        <v>9.9130700015250869E-3</v>
      </c>
      <c r="N394" s="3">
        <v>0.35107518682324235</v>
      </c>
    </row>
    <row r="395" spans="1:14" hidden="1" x14ac:dyDescent="0.2">
      <c r="A395" t="s">
        <v>325</v>
      </c>
      <c r="B395" t="s">
        <v>334</v>
      </c>
      <c r="C395">
        <v>777</v>
      </c>
      <c r="D395">
        <v>10</v>
      </c>
      <c r="E395">
        <v>13</v>
      </c>
      <c r="F395">
        <v>622</v>
      </c>
      <c r="G395">
        <v>2</v>
      </c>
      <c r="H395">
        <v>1</v>
      </c>
      <c r="I395">
        <v>21</v>
      </c>
      <c r="J395">
        <f t="shared" si="27"/>
        <v>1446</v>
      </c>
      <c r="K395" s="1">
        <v>1425</v>
      </c>
      <c r="L395" s="3">
        <v>0.54526315789473689</v>
      </c>
      <c r="M395" s="3">
        <v>9.1228070175438589E-3</v>
      </c>
      <c r="N395" s="3">
        <v>0.43649122807017543</v>
      </c>
    </row>
    <row r="396" spans="1:14" hidden="1" x14ac:dyDescent="0.2">
      <c r="A396" t="s">
        <v>325</v>
      </c>
      <c r="B396" t="s">
        <v>335</v>
      </c>
      <c r="C396">
        <v>1087</v>
      </c>
      <c r="D396">
        <v>23</v>
      </c>
      <c r="E396">
        <v>25</v>
      </c>
      <c r="F396">
        <v>1090</v>
      </c>
      <c r="G396">
        <v>7</v>
      </c>
      <c r="H396">
        <v>3</v>
      </c>
      <c r="I396">
        <v>48</v>
      </c>
      <c r="J396">
        <f t="shared" si="27"/>
        <v>2283</v>
      </c>
      <c r="K396" s="1">
        <v>2235</v>
      </c>
      <c r="L396" s="3">
        <v>0.48635346756152126</v>
      </c>
      <c r="M396" s="3">
        <v>1.1185682326621925E-2</v>
      </c>
      <c r="N396" s="3">
        <v>0.48769574944071586</v>
      </c>
    </row>
    <row r="397" spans="1:14" s="1" customFormat="1" x14ac:dyDescent="0.2">
      <c r="A397" s="1" t="s">
        <v>325</v>
      </c>
      <c r="B397" s="1" t="s">
        <v>494</v>
      </c>
      <c r="C397" s="1">
        <f t="shared" ref="C397:J397" si="28">SUM(C387:C396)</f>
        <v>13982</v>
      </c>
      <c r="D397" s="1">
        <f t="shared" si="28"/>
        <v>162</v>
      </c>
      <c r="E397" s="1">
        <f t="shared" si="28"/>
        <v>287</v>
      </c>
      <c r="F397" s="1">
        <f t="shared" si="28"/>
        <v>9917</v>
      </c>
      <c r="G397" s="1">
        <f t="shared" si="28"/>
        <v>96</v>
      </c>
      <c r="H397" s="1">
        <f t="shared" si="28"/>
        <v>12</v>
      </c>
      <c r="I397" s="1">
        <f t="shared" si="28"/>
        <v>354</v>
      </c>
      <c r="J397" s="1">
        <f t="shared" si="28"/>
        <v>24810</v>
      </c>
      <c r="K397" s="1">
        <v>24456</v>
      </c>
      <c r="L397" s="3">
        <v>0.57172064115145571</v>
      </c>
      <c r="M397" s="3">
        <v>1.1735361465489041E-2</v>
      </c>
      <c r="N397" s="3">
        <v>0.40550376185803078</v>
      </c>
    </row>
    <row r="398" spans="1:14" hidden="1" x14ac:dyDescent="0.2">
      <c r="K398" s="1">
        <v>0</v>
      </c>
      <c r="L398" s="3" t="e">
        <v>#DIV/0!</v>
      </c>
      <c r="M398" s="3" t="e">
        <v>#DIV/0!</v>
      </c>
      <c r="N398" s="3" t="e">
        <v>#DIV/0!</v>
      </c>
    </row>
    <row r="399" spans="1:14" hidden="1" x14ac:dyDescent="0.2">
      <c r="A399" t="s">
        <v>336</v>
      </c>
      <c r="B399" t="s">
        <v>337</v>
      </c>
      <c r="C399">
        <v>383</v>
      </c>
      <c r="D399">
        <v>4</v>
      </c>
      <c r="E399">
        <v>11</v>
      </c>
      <c r="F399">
        <v>898</v>
      </c>
      <c r="G399">
        <v>6</v>
      </c>
      <c r="H399">
        <v>0</v>
      </c>
      <c r="I399">
        <v>15</v>
      </c>
      <c r="J399">
        <f t="shared" ref="J399:J415" si="29">SUM(C399:I399)</f>
        <v>1317</v>
      </c>
      <c r="K399" s="1">
        <v>1302</v>
      </c>
      <c r="L399" s="3">
        <v>0.29416282642089092</v>
      </c>
      <c r="M399" s="3">
        <v>8.4485407066052232E-3</v>
      </c>
      <c r="N399" s="3">
        <v>0.68970814132104452</v>
      </c>
    </row>
    <row r="400" spans="1:14" hidden="1" x14ac:dyDescent="0.2">
      <c r="A400" t="s">
        <v>336</v>
      </c>
      <c r="B400" t="s">
        <v>338</v>
      </c>
      <c r="C400">
        <v>182</v>
      </c>
      <c r="D400">
        <v>1</v>
      </c>
      <c r="E400">
        <v>2</v>
      </c>
      <c r="F400">
        <v>354</v>
      </c>
      <c r="G400">
        <v>2</v>
      </c>
      <c r="H400">
        <v>0</v>
      </c>
      <c r="I400">
        <v>6</v>
      </c>
      <c r="J400">
        <f t="shared" si="29"/>
        <v>547</v>
      </c>
      <c r="K400" s="1">
        <v>541</v>
      </c>
      <c r="L400" s="3">
        <v>0.33641404805914971</v>
      </c>
      <c r="M400" s="3">
        <v>3.6968576709796672E-3</v>
      </c>
      <c r="N400" s="3">
        <v>0.65434380776340106</v>
      </c>
    </row>
    <row r="401" spans="1:14" hidden="1" x14ac:dyDescent="0.2">
      <c r="A401" t="s">
        <v>336</v>
      </c>
      <c r="B401" t="s">
        <v>544</v>
      </c>
      <c r="C401">
        <v>168</v>
      </c>
      <c r="D401">
        <v>0</v>
      </c>
      <c r="E401">
        <v>8</v>
      </c>
      <c r="F401">
        <v>390</v>
      </c>
      <c r="G401">
        <v>0</v>
      </c>
      <c r="H401">
        <v>2</v>
      </c>
      <c r="I401">
        <v>7</v>
      </c>
      <c r="J401">
        <f t="shared" si="29"/>
        <v>575</v>
      </c>
      <c r="K401" s="1">
        <v>568</v>
      </c>
      <c r="L401" s="3">
        <v>0.29577464788732394</v>
      </c>
      <c r="M401" s="3">
        <v>1.4084507042253521E-2</v>
      </c>
      <c r="N401" s="3">
        <v>0.68661971830985913</v>
      </c>
    </row>
    <row r="402" spans="1:14" hidden="1" x14ac:dyDescent="0.2">
      <c r="A402" t="s">
        <v>336</v>
      </c>
      <c r="B402" t="s">
        <v>339</v>
      </c>
      <c r="C402">
        <v>17</v>
      </c>
      <c r="D402">
        <v>0</v>
      </c>
      <c r="E402">
        <v>1</v>
      </c>
      <c r="F402">
        <v>25</v>
      </c>
      <c r="G402">
        <v>0</v>
      </c>
      <c r="H402">
        <v>0</v>
      </c>
      <c r="I402">
        <v>0</v>
      </c>
      <c r="J402">
        <f t="shared" si="29"/>
        <v>43</v>
      </c>
      <c r="K402" s="1">
        <v>43</v>
      </c>
      <c r="L402" s="3">
        <v>0.39534883720930231</v>
      </c>
      <c r="M402" s="3">
        <v>2.3255813953488372E-2</v>
      </c>
      <c r="N402" s="3">
        <v>0.58139534883720934</v>
      </c>
    </row>
    <row r="403" spans="1:14" hidden="1" x14ac:dyDescent="0.2">
      <c r="A403" t="s">
        <v>336</v>
      </c>
      <c r="B403" t="s">
        <v>340</v>
      </c>
      <c r="C403">
        <v>60</v>
      </c>
      <c r="D403">
        <v>1</v>
      </c>
      <c r="E403">
        <v>3</v>
      </c>
      <c r="F403">
        <v>188</v>
      </c>
      <c r="G403">
        <v>2</v>
      </c>
      <c r="H403">
        <v>0</v>
      </c>
      <c r="I403">
        <v>1</v>
      </c>
      <c r="J403">
        <f t="shared" si="29"/>
        <v>255</v>
      </c>
      <c r="K403" s="1">
        <v>254</v>
      </c>
      <c r="L403" s="3">
        <v>0.23622047244094488</v>
      </c>
      <c r="M403" s="3">
        <v>1.1811023622047244E-2</v>
      </c>
      <c r="N403" s="3">
        <v>0.74015748031496065</v>
      </c>
    </row>
    <row r="404" spans="1:14" hidden="1" x14ac:dyDescent="0.2">
      <c r="A404" t="s">
        <v>336</v>
      </c>
      <c r="B404" t="s">
        <v>341</v>
      </c>
      <c r="C404">
        <v>402</v>
      </c>
      <c r="D404">
        <v>2</v>
      </c>
      <c r="E404">
        <v>10</v>
      </c>
      <c r="F404">
        <v>794</v>
      </c>
      <c r="G404">
        <v>10</v>
      </c>
      <c r="H404">
        <v>1</v>
      </c>
      <c r="I404">
        <v>17</v>
      </c>
      <c r="J404">
        <f t="shared" si="29"/>
        <v>1236</v>
      </c>
      <c r="K404" s="1">
        <v>1219</v>
      </c>
      <c r="L404" s="3">
        <v>0.32977850697292865</v>
      </c>
      <c r="M404" s="3">
        <v>8.2034454470877767E-3</v>
      </c>
      <c r="N404" s="3">
        <v>0.65135356849876946</v>
      </c>
    </row>
    <row r="405" spans="1:14" hidden="1" x14ac:dyDescent="0.2">
      <c r="A405" t="s">
        <v>336</v>
      </c>
      <c r="B405" t="s">
        <v>342</v>
      </c>
      <c r="C405">
        <v>23</v>
      </c>
      <c r="D405">
        <v>0</v>
      </c>
      <c r="E405">
        <v>0</v>
      </c>
      <c r="F405">
        <v>38</v>
      </c>
      <c r="G405">
        <v>0</v>
      </c>
      <c r="H405">
        <v>0</v>
      </c>
      <c r="I405">
        <v>1</v>
      </c>
      <c r="J405">
        <f t="shared" si="29"/>
        <v>62</v>
      </c>
      <c r="K405" s="1">
        <v>61</v>
      </c>
      <c r="L405" s="3">
        <v>0.37704918032786883</v>
      </c>
      <c r="M405" s="3">
        <v>0</v>
      </c>
      <c r="N405" s="3">
        <v>0.62295081967213117</v>
      </c>
    </row>
    <row r="406" spans="1:14" hidden="1" x14ac:dyDescent="0.2">
      <c r="A406" t="s">
        <v>336</v>
      </c>
      <c r="B406" t="s">
        <v>343</v>
      </c>
      <c r="C406">
        <v>283</v>
      </c>
      <c r="D406">
        <v>11</v>
      </c>
      <c r="E406">
        <v>4</v>
      </c>
      <c r="F406">
        <v>535</v>
      </c>
      <c r="G406">
        <v>2</v>
      </c>
      <c r="H406">
        <v>0</v>
      </c>
      <c r="I406">
        <v>6</v>
      </c>
      <c r="J406">
        <f t="shared" si="29"/>
        <v>841</v>
      </c>
      <c r="K406" s="1">
        <v>835</v>
      </c>
      <c r="L406" s="3">
        <v>0.33892215568862277</v>
      </c>
      <c r="M406" s="3">
        <v>4.7904191616766467E-3</v>
      </c>
      <c r="N406" s="3">
        <v>0.64071856287425155</v>
      </c>
    </row>
    <row r="407" spans="1:14" hidden="1" x14ac:dyDescent="0.2">
      <c r="A407" t="s">
        <v>336</v>
      </c>
      <c r="B407" t="s">
        <v>344</v>
      </c>
      <c r="C407">
        <v>7</v>
      </c>
      <c r="D407">
        <v>0</v>
      </c>
      <c r="E407">
        <v>0</v>
      </c>
      <c r="F407">
        <v>20</v>
      </c>
      <c r="G407">
        <v>0</v>
      </c>
      <c r="H407">
        <v>0</v>
      </c>
      <c r="I407">
        <v>0</v>
      </c>
      <c r="J407">
        <f t="shared" si="29"/>
        <v>27</v>
      </c>
      <c r="K407" s="1">
        <v>27</v>
      </c>
      <c r="L407" s="3">
        <v>0.25925925925925924</v>
      </c>
      <c r="M407" s="3">
        <v>0</v>
      </c>
      <c r="N407" s="3">
        <v>0.7407407407407407</v>
      </c>
    </row>
    <row r="408" spans="1:14" hidden="1" x14ac:dyDescent="0.2">
      <c r="A408" t="s">
        <v>336</v>
      </c>
      <c r="B408" t="s">
        <v>345</v>
      </c>
      <c r="C408">
        <v>160</v>
      </c>
      <c r="D408">
        <v>1</v>
      </c>
      <c r="E408">
        <v>3</v>
      </c>
      <c r="F408">
        <v>326</v>
      </c>
      <c r="G408">
        <v>2</v>
      </c>
      <c r="H408">
        <v>0</v>
      </c>
      <c r="I408">
        <v>10</v>
      </c>
      <c r="J408">
        <f t="shared" si="29"/>
        <v>502</v>
      </c>
      <c r="K408" s="1">
        <v>492</v>
      </c>
      <c r="L408" s="3">
        <v>0.32520325203252032</v>
      </c>
      <c r="M408" s="3">
        <v>6.0975609756097563E-3</v>
      </c>
      <c r="N408" s="3">
        <v>0.66260162601626016</v>
      </c>
    </row>
    <row r="409" spans="1:14" hidden="1" x14ac:dyDescent="0.2">
      <c r="A409" t="s">
        <v>336</v>
      </c>
      <c r="B409" t="s">
        <v>346</v>
      </c>
      <c r="C409">
        <v>213</v>
      </c>
      <c r="D409">
        <v>5</v>
      </c>
      <c r="E409">
        <v>4</v>
      </c>
      <c r="F409">
        <v>434</v>
      </c>
      <c r="G409">
        <v>1</v>
      </c>
      <c r="H409">
        <v>0</v>
      </c>
      <c r="I409">
        <v>11</v>
      </c>
      <c r="J409">
        <f t="shared" si="29"/>
        <v>668</v>
      </c>
      <c r="K409" s="1">
        <v>657</v>
      </c>
      <c r="L409" s="3">
        <v>0.32420091324200911</v>
      </c>
      <c r="M409" s="3">
        <v>6.0882800608828003E-3</v>
      </c>
      <c r="N409" s="3">
        <v>0.66057838660578383</v>
      </c>
    </row>
    <row r="410" spans="1:14" hidden="1" x14ac:dyDescent="0.2">
      <c r="A410" t="s">
        <v>336</v>
      </c>
      <c r="B410" t="s">
        <v>347</v>
      </c>
      <c r="C410">
        <v>1424</v>
      </c>
      <c r="D410">
        <v>24</v>
      </c>
      <c r="E410">
        <v>27</v>
      </c>
      <c r="F410">
        <v>1949</v>
      </c>
      <c r="G410">
        <v>11</v>
      </c>
      <c r="H410">
        <v>0</v>
      </c>
      <c r="I410">
        <v>42</v>
      </c>
      <c r="J410">
        <f t="shared" si="29"/>
        <v>3477</v>
      </c>
      <c r="K410" s="1">
        <v>3435</v>
      </c>
      <c r="L410" s="3">
        <v>0.4145560407569141</v>
      </c>
      <c r="M410" s="3">
        <v>7.8602620087336247E-3</v>
      </c>
      <c r="N410" s="3">
        <v>0.56739446870451238</v>
      </c>
    </row>
    <row r="411" spans="1:14" hidden="1" x14ac:dyDescent="0.2">
      <c r="A411" t="s">
        <v>336</v>
      </c>
      <c r="B411" t="s">
        <v>348</v>
      </c>
      <c r="C411">
        <v>155</v>
      </c>
      <c r="D411">
        <v>1</v>
      </c>
      <c r="E411">
        <v>4</v>
      </c>
      <c r="F411">
        <v>350</v>
      </c>
      <c r="G411">
        <v>1</v>
      </c>
      <c r="H411">
        <v>0</v>
      </c>
      <c r="I411">
        <v>4</v>
      </c>
      <c r="J411">
        <f t="shared" si="29"/>
        <v>515</v>
      </c>
      <c r="K411" s="1">
        <v>511</v>
      </c>
      <c r="L411" s="3">
        <v>0.30332681017612523</v>
      </c>
      <c r="M411" s="3">
        <v>7.8277886497064575E-3</v>
      </c>
      <c r="N411" s="3">
        <v>0.68493150684931503</v>
      </c>
    </row>
    <row r="412" spans="1:14" hidden="1" x14ac:dyDescent="0.2">
      <c r="A412" t="s">
        <v>336</v>
      </c>
      <c r="B412" t="s">
        <v>349</v>
      </c>
      <c r="C412">
        <v>293</v>
      </c>
      <c r="D412">
        <v>7</v>
      </c>
      <c r="E412">
        <v>8</v>
      </c>
      <c r="F412">
        <v>663</v>
      </c>
      <c r="G412">
        <v>1</v>
      </c>
      <c r="H412">
        <v>0</v>
      </c>
      <c r="I412">
        <v>14</v>
      </c>
      <c r="J412">
        <f t="shared" si="29"/>
        <v>986</v>
      </c>
      <c r="K412" s="1">
        <v>972</v>
      </c>
      <c r="L412" s="3">
        <v>0.30144032921810698</v>
      </c>
      <c r="M412" s="3">
        <v>8.23045267489712E-3</v>
      </c>
      <c r="N412" s="3">
        <v>0.6820987654320988</v>
      </c>
    </row>
    <row r="413" spans="1:14" hidden="1" x14ac:dyDescent="0.2">
      <c r="A413" t="s">
        <v>336</v>
      </c>
      <c r="B413" t="s">
        <v>350</v>
      </c>
      <c r="C413">
        <v>20</v>
      </c>
      <c r="D413">
        <v>0</v>
      </c>
      <c r="E413">
        <v>0</v>
      </c>
      <c r="F413">
        <v>18</v>
      </c>
      <c r="G413">
        <v>0</v>
      </c>
      <c r="H413">
        <v>0</v>
      </c>
      <c r="I413">
        <v>1</v>
      </c>
      <c r="J413">
        <f t="shared" si="29"/>
        <v>39</v>
      </c>
      <c r="K413" s="1">
        <v>38</v>
      </c>
      <c r="L413" s="3">
        <v>0.52631578947368418</v>
      </c>
      <c r="M413" s="3">
        <v>0</v>
      </c>
      <c r="N413" s="3">
        <v>0.47368421052631576</v>
      </c>
    </row>
    <row r="414" spans="1:14" hidden="1" x14ac:dyDescent="0.2">
      <c r="A414" t="s">
        <v>336</v>
      </c>
      <c r="B414" t="s">
        <v>565</v>
      </c>
      <c r="C414">
        <v>127</v>
      </c>
      <c r="D414">
        <v>3</v>
      </c>
      <c r="E414">
        <v>5</v>
      </c>
      <c r="F414">
        <v>401</v>
      </c>
      <c r="G414">
        <v>0</v>
      </c>
      <c r="H414">
        <v>0</v>
      </c>
      <c r="I414">
        <v>6</v>
      </c>
      <c r="J414">
        <f t="shared" si="29"/>
        <v>542</v>
      </c>
      <c r="K414" s="1">
        <v>536</v>
      </c>
      <c r="L414" s="3">
        <v>0.23694029850746268</v>
      </c>
      <c r="M414" s="3">
        <v>9.3283582089552231E-3</v>
      </c>
      <c r="N414" s="3">
        <v>0.74813432835820892</v>
      </c>
    </row>
    <row r="415" spans="1:14" hidden="1" x14ac:dyDescent="0.2">
      <c r="A415" t="s">
        <v>336</v>
      </c>
      <c r="B415" t="s">
        <v>545</v>
      </c>
      <c r="C415">
        <v>38</v>
      </c>
      <c r="D415">
        <v>0</v>
      </c>
      <c r="E415">
        <v>4</v>
      </c>
      <c r="F415">
        <v>62</v>
      </c>
      <c r="G415">
        <v>0</v>
      </c>
      <c r="H415">
        <v>0</v>
      </c>
      <c r="I415">
        <v>2</v>
      </c>
      <c r="J415">
        <f t="shared" si="29"/>
        <v>106</v>
      </c>
      <c r="K415" s="1">
        <v>104</v>
      </c>
      <c r="L415" s="3">
        <v>0.36538461538461536</v>
      </c>
      <c r="M415" s="3">
        <v>3.8461538461538464E-2</v>
      </c>
      <c r="N415" s="3">
        <v>0.59615384615384615</v>
      </c>
    </row>
    <row r="416" spans="1:14" hidden="1" x14ac:dyDescent="0.2">
      <c r="A416" t="s">
        <v>336</v>
      </c>
      <c r="B416" t="s">
        <v>351</v>
      </c>
      <c r="C416">
        <v>893</v>
      </c>
      <c r="D416">
        <v>16</v>
      </c>
      <c r="E416">
        <v>24</v>
      </c>
      <c r="F416">
        <v>1503</v>
      </c>
      <c r="G416">
        <v>3</v>
      </c>
      <c r="H416">
        <v>1</v>
      </c>
      <c r="I416">
        <v>32</v>
      </c>
      <c r="J416">
        <f t="shared" ref="J416:J434" si="30">SUM(C416:I416)</f>
        <v>2472</v>
      </c>
      <c r="K416" s="1">
        <v>2440</v>
      </c>
      <c r="L416" s="3">
        <v>0.36598360655737705</v>
      </c>
      <c r="M416" s="3">
        <v>9.8360655737704927E-3</v>
      </c>
      <c r="N416" s="3">
        <v>0.61598360655737705</v>
      </c>
    </row>
    <row r="417" spans="1:14" hidden="1" x14ac:dyDescent="0.2">
      <c r="A417" t="s">
        <v>336</v>
      </c>
      <c r="B417" t="s">
        <v>352</v>
      </c>
      <c r="C417">
        <v>194</v>
      </c>
      <c r="D417">
        <v>2</v>
      </c>
      <c r="E417">
        <v>1</v>
      </c>
      <c r="F417">
        <v>294</v>
      </c>
      <c r="G417">
        <v>4</v>
      </c>
      <c r="H417">
        <v>0</v>
      </c>
      <c r="I417">
        <v>11</v>
      </c>
      <c r="J417">
        <f t="shared" si="30"/>
        <v>506</v>
      </c>
      <c r="K417" s="1">
        <v>495</v>
      </c>
      <c r="L417" s="3">
        <v>0.39191919191919194</v>
      </c>
      <c r="M417" s="3">
        <v>2.0202020202020202E-3</v>
      </c>
      <c r="N417" s="3">
        <v>0.59393939393939399</v>
      </c>
    </row>
    <row r="418" spans="1:14" hidden="1" x14ac:dyDescent="0.2">
      <c r="A418" t="s">
        <v>336</v>
      </c>
      <c r="B418" t="s">
        <v>353</v>
      </c>
      <c r="C418">
        <v>27</v>
      </c>
      <c r="D418">
        <v>0</v>
      </c>
      <c r="E418">
        <v>0</v>
      </c>
      <c r="F418">
        <v>96</v>
      </c>
      <c r="G418">
        <v>0</v>
      </c>
      <c r="H418">
        <v>0</v>
      </c>
      <c r="I418">
        <v>4</v>
      </c>
      <c r="J418">
        <f t="shared" si="30"/>
        <v>127</v>
      </c>
      <c r="K418" s="1">
        <v>123</v>
      </c>
      <c r="L418" s="3">
        <v>0.21951219512195122</v>
      </c>
      <c r="M418" s="3">
        <v>0</v>
      </c>
      <c r="N418" s="3">
        <v>0.78048780487804881</v>
      </c>
    </row>
    <row r="419" spans="1:14" hidden="1" x14ac:dyDescent="0.2">
      <c r="A419" t="s">
        <v>336</v>
      </c>
      <c r="B419" t="s">
        <v>566</v>
      </c>
      <c r="C419">
        <v>69</v>
      </c>
      <c r="D419">
        <v>2</v>
      </c>
      <c r="E419">
        <v>1</v>
      </c>
      <c r="F419">
        <v>218</v>
      </c>
      <c r="G419">
        <v>0</v>
      </c>
      <c r="H419">
        <v>0</v>
      </c>
      <c r="I419">
        <v>4</v>
      </c>
      <c r="J419">
        <f t="shared" si="30"/>
        <v>294</v>
      </c>
      <c r="K419" s="1">
        <v>290</v>
      </c>
      <c r="L419" s="3">
        <v>0.23793103448275862</v>
      </c>
      <c r="M419" s="3">
        <v>3.4482758620689655E-3</v>
      </c>
      <c r="N419" s="3">
        <v>0.75172413793103443</v>
      </c>
    </row>
    <row r="420" spans="1:14" hidden="1" x14ac:dyDescent="0.2">
      <c r="A420" t="s">
        <v>336</v>
      </c>
      <c r="B420" t="s">
        <v>547</v>
      </c>
      <c r="C420">
        <v>0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0</v>
      </c>
      <c r="J420">
        <f t="shared" si="30"/>
        <v>5</v>
      </c>
      <c r="K420" s="1">
        <v>5</v>
      </c>
      <c r="L420" s="3">
        <v>0</v>
      </c>
      <c r="M420" s="3">
        <v>0</v>
      </c>
      <c r="N420" s="3">
        <v>1</v>
      </c>
    </row>
    <row r="421" spans="1:14" hidden="1" x14ac:dyDescent="0.2">
      <c r="A421" t="s">
        <v>336</v>
      </c>
      <c r="B421" t="s">
        <v>354</v>
      </c>
      <c r="C421">
        <v>197</v>
      </c>
      <c r="D421">
        <v>1</v>
      </c>
      <c r="E421">
        <v>6</v>
      </c>
      <c r="F421">
        <v>305</v>
      </c>
      <c r="G421">
        <v>1</v>
      </c>
      <c r="H421">
        <v>0</v>
      </c>
      <c r="I421">
        <v>7</v>
      </c>
      <c r="J421">
        <f t="shared" si="30"/>
        <v>517</v>
      </c>
      <c r="K421" s="1">
        <v>510</v>
      </c>
      <c r="L421" s="3">
        <v>0.38627450980392158</v>
      </c>
      <c r="M421" s="3">
        <v>1.1764705882352941E-2</v>
      </c>
      <c r="N421" s="3">
        <v>0.59803921568627449</v>
      </c>
    </row>
    <row r="422" spans="1:14" hidden="1" x14ac:dyDescent="0.2">
      <c r="A422" t="s">
        <v>336</v>
      </c>
      <c r="B422" t="s">
        <v>355</v>
      </c>
      <c r="C422">
        <v>703</v>
      </c>
      <c r="D422">
        <v>8</v>
      </c>
      <c r="E422">
        <v>18</v>
      </c>
      <c r="F422">
        <v>1187</v>
      </c>
      <c r="G422">
        <v>3</v>
      </c>
      <c r="H422">
        <v>0</v>
      </c>
      <c r="I422">
        <v>22</v>
      </c>
      <c r="J422">
        <f t="shared" si="30"/>
        <v>1941</v>
      </c>
      <c r="K422" s="1">
        <v>1919</v>
      </c>
      <c r="L422" s="3">
        <v>0.36633663366336633</v>
      </c>
      <c r="M422" s="3">
        <v>9.3798853569567481E-3</v>
      </c>
      <c r="N422" s="3">
        <v>0.61855132881709218</v>
      </c>
    </row>
    <row r="423" spans="1:14" hidden="1" x14ac:dyDescent="0.2">
      <c r="A423" t="s">
        <v>336</v>
      </c>
      <c r="B423" t="s">
        <v>356</v>
      </c>
      <c r="C423">
        <v>320</v>
      </c>
      <c r="D423">
        <v>2</v>
      </c>
      <c r="E423">
        <v>6</v>
      </c>
      <c r="F423">
        <v>844</v>
      </c>
      <c r="G423">
        <v>3</v>
      </c>
      <c r="H423">
        <v>1</v>
      </c>
      <c r="I423">
        <v>8</v>
      </c>
      <c r="J423">
        <f t="shared" si="30"/>
        <v>1184</v>
      </c>
      <c r="K423" s="1">
        <v>1176</v>
      </c>
      <c r="L423" s="3">
        <v>0.27210884353741499</v>
      </c>
      <c r="M423" s="3">
        <v>5.1020408163265302E-3</v>
      </c>
      <c r="N423" s="3">
        <v>0.71768707482993199</v>
      </c>
    </row>
    <row r="424" spans="1:14" hidden="1" x14ac:dyDescent="0.2">
      <c r="A424" t="s">
        <v>336</v>
      </c>
      <c r="B424" t="s">
        <v>357</v>
      </c>
      <c r="C424">
        <v>763</v>
      </c>
      <c r="D424">
        <v>17</v>
      </c>
      <c r="E424">
        <v>14</v>
      </c>
      <c r="F424">
        <v>1247</v>
      </c>
      <c r="G424">
        <v>5</v>
      </c>
      <c r="H424">
        <v>2</v>
      </c>
      <c r="I424">
        <v>32</v>
      </c>
      <c r="J424">
        <f t="shared" si="30"/>
        <v>2080</v>
      </c>
      <c r="K424" s="1">
        <v>2048</v>
      </c>
      <c r="L424" s="3">
        <v>0.37255859375</v>
      </c>
      <c r="M424" s="3">
        <v>6.8359375E-3</v>
      </c>
      <c r="N424" s="3">
        <v>0.60888671875</v>
      </c>
    </row>
    <row r="425" spans="1:14" hidden="1" x14ac:dyDescent="0.2">
      <c r="A425" t="s">
        <v>336</v>
      </c>
      <c r="B425" t="s">
        <v>358</v>
      </c>
      <c r="C425">
        <v>15</v>
      </c>
      <c r="D425">
        <v>0</v>
      </c>
      <c r="E425">
        <v>1</v>
      </c>
      <c r="F425">
        <v>34</v>
      </c>
      <c r="G425">
        <v>1</v>
      </c>
      <c r="H425">
        <v>0</v>
      </c>
      <c r="I425">
        <v>0</v>
      </c>
      <c r="J425">
        <f t="shared" si="30"/>
        <v>51</v>
      </c>
      <c r="K425" s="1">
        <v>51</v>
      </c>
      <c r="L425" s="3">
        <v>0.29411764705882354</v>
      </c>
      <c r="M425" s="3">
        <v>1.9607843137254902E-2</v>
      </c>
      <c r="N425" s="3">
        <v>0.66666666666666663</v>
      </c>
    </row>
    <row r="426" spans="1:14" hidden="1" x14ac:dyDescent="0.2">
      <c r="A426" t="s">
        <v>336</v>
      </c>
      <c r="B426" t="s">
        <v>359</v>
      </c>
      <c r="C426">
        <v>102</v>
      </c>
      <c r="D426">
        <v>2</v>
      </c>
      <c r="E426">
        <v>3</v>
      </c>
      <c r="F426">
        <v>209</v>
      </c>
      <c r="G426">
        <v>0</v>
      </c>
      <c r="H426">
        <v>0</v>
      </c>
      <c r="I426">
        <v>2</v>
      </c>
      <c r="J426">
        <f t="shared" si="30"/>
        <v>318</v>
      </c>
      <c r="K426" s="1">
        <v>316</v>
      </c>
      <c r="L426" s="3">
        <v>0.32278481012658228</v>
      </c>
      <c r="M426" s="3">
        <v>9.4936708860759497E-3</v>
      </c>
      <c r="N426" s="3">
        <v>0.66139240506329111</v>
      </c>
    </row>
    <row r="427" spans="1:14" hidden="1" x14ac:dyDescent="0.2">
      <c r="A427" t="s">
        <v>336</v>
      </c>
      <c r="B427" t="s">
        <v>360</v>
      </c>
      <c r="C427">
        <v>74</v>
      </c>
      <c r="D427">
        <v>1</v>
      </c>
      <c r="E427">
        <v>1</v>
      </c>
      <c r="F427">
        <v>149</v>
      </c>
      <c r="G427">
        <v>0</v>
      </c>
      <c r="H427">
        <v>0</v>
      </c>
      <c r="I427">
        <v>6</v>
      </c>
      <c r="J427">
        <f t="shared" si="30"/>
        <v>231</v>
      </c>
      <c r="K427" s="1">
        <v>225</v>
      </c>
      <c r="L427" s="3">
        <v>0.3288888888888889</v>
      </c>
      <c r="M427" s="3">
        <v>4.4444444444444444E-3</v>
      </c>
      <c r="N427" s="3">
        <v>0.66222222222222227</v>
      </c>
    </row>
    <row r="428" spans="1:14" hidden="1" x14ac:dyDescent="0.2">
      <c r="A428" t="s">
        <v>336</v>
      </c>
      <c r="B428" t="s">
        <v>361</v>
      </c>
      <c r="C428">
        <v>325</v>
      </c>
      <c r="D428">
        <v>3</v>
      </c>
      <c r="E428">
        <v>9</v>
      </c>
      <c r="F428">
        <v>873</v>
      </c>
      <c r="G428">
        <v>4</v>
      </c>
      <c r="H428">
        <v>1</v>
      </c>
      <c r="I428">
        <v>18</v>
      </c>
      <c r="J428">
        <f t="shared" si="30"/>
        <v>1233</v>
      </c>
      <c r="K428" s="1">
        <v>1215</v>
      </c>
      <c r="L428" s="3">
        <v>0.26748971193415638</v>
      </c>
      <c r="M428" s="3">
        <v>7.4074074074074077E-3</v>
      </c>
      <c r="N428" s="3">
        <v>0.71851851851851856</v>
      </c>
    </row>
    <row r="429" spans="1:14" hidden="1" x14ac:dyDescent="0.2">
      <c r="A429" t="s">
        <v>336</v>
      </c>
      <c r="B429" t="s">
        <v>362</v>
      </c>
      <c r="C429">
        <v>1819</v>
      </c>
      <c r="D429">
        <v>24</v>
      </c>
      <c r="E429">
        <v>19</v>
      </c>
      <c r="F429">
        <v>2399</v>
      </c>
      <c r="G429">
        <v>19</v>
      </c>
      <c r="H429">
        <v>1</v>
      </c>
      <c r="I429">
        <v>50</v>
      </c>
      <c r="J429">
        <f t="shared" si="30"/>
        <v>4331</v>
      </c>
      <c r="K429" s="1">
        <v>4281</v>
      </c>
      <c r="L429" s="3">
        <v>0.42490072412987617</v>
      </c>
      <c r="M429" s="3">
        <v>4.4382153702405983E-3</v>
      </c>
      <c r="N429" s="3">
        <v>0.56038308806353654</v>
      </c>
    </row>
    <row r="430" spans="1:14" hidden="1" x14ac:dyDescent="0.2">
      <c r="A430" t="s">
        <v>336</v>
      </c>
      <c r="B430" t="s">
        <v>363</v>
      </c>
      <c r="C430">
        <v>276</v>
      </c>
      <c r="D430">
        <v>6</v>
      </c>
      <c r="E430">
        <v>10</v>
      </c>
      <c r="F430">
        <v>340</v>
      </c>
      <c r="G430">
        <v>1</v>
      </c>
      <c r="H430">
        <v>0</v>
      </c>
      <c r="I430">
        <v>8</v>
      </c>
      <c r="J430">
        <f t="shared" si="30"/>
        <v>641</v>
      </c>
      <c r="K430" s="1">
        <v>633</v>
      </c>
      <c r="L430" s="3">
        <v>0.43601895734597157</v>
      </c>
      <c r="M430" s="3">
        <v>1.579778830963665E-2</v>
      </c>
      <c r="N430" s="3">
        <v>0.53712480252764616</v>
      </c>
    </row>
    <row r="431" spans="1:14" hidden="1" x14ac:dyDescent="0.2">
      <c r="A431" t="s">
        <v>336</v>
      </c>
      <c r="B431" t="s">
        <v>546</v>
      </c>
      <c r="C431">
        <v>222</v>
      </c>
      <c r="D431">
        <v>5</v>
      </c>
      <c r="E431">
        <v>12</v>
      </c>
      <c r="F431">
        <v>385</v>
      </c>
      <c r="G431">
        <v>0</v>
      </c>
      <c r="H431">
        <v>0</v>
      </c>
      <c r="I431">
        <v>7</v>
      </c>
      <c r="J431">
        <f t="shared" si="30"/>
        <v>631</v>
      </c>
      <c r="K431" s="1">
        <v>624</v>
      </c>
      <c r="L431" s="3">
        <v>0.35576923076923078</v>
      </c>
      <c r="M431" s="3">
        <v>1.9230769230769232E-2</v>
      </c>
      <c r="N431" s="3">
        <v>0.61698717948717952</v>
      </c>
    </row>
    <row r="432" spans="1:14" hidden="1" x14ac:dyDescent="0.2">
      <c r="A432" t="s">
        <v>336</v>
      </c>
      <c r="B432" t="s">
        <v>364</v>
      </c>
      <c r="C432">
        <v>151</v>
      </c>
      <c r="D432">
        <v>4</v>
      </c>
      <c r="E432">
        <v>11</v>
      </c>
      <c r="F432">
        <v>242</v>
      </c>
      <c r="G432">
        <v>2</v>
      </c>
      <c r="H432">
        <v>0</v>
      </c>
      <c r="I432">
        <v>5</v>
      </c>
      <c r="J432">
        <f t="shared" si="30"/>
        <v>415</v>
      </c>
      <c r="K432" s="1">
        <v>410</v>
      </c>
      <c r="L432" s="3">
        <v>0.36829268292682926</v>
      </c>
      <c r="M432" s="3">
        <v>2.6829268292682926E-2</v>
      </c>
      <c r="N432" s="3">
        <v>0.59024390243902436</v>
      </c>
    </row>
    <row r="433" spans="1:14" hidden="1" x14ac:dyDescent="0.2">
      <c r="A433" t="s">
        <v>336</v>
      </c>
      <c r="B433" t="s">
        <v>365</v>
      </c>
      <c r="C433">
        <v>12</v>
      </c>
      <c r="D433">
        <v>1</v>
      </c>
      <c r="E433">
        <v>1</v>
      </c>
      <c r="F433">
        <v>21</v>
      </c>
      <c r="G433">
        <v>0</v>
      </c>
      <c r="H433">
        <v>0</v>
      </c>
      <c r="I433">
        <v>0</v>
      </c>
      <c r="J433">
        <f t="shared" si="30"/>
        <v>35</v>
      </c>
      <c r="K433" s="1">
        <v>35</v>
      </c>
      <c r="L433" s="3">
        <v>0.34285714285714286</v>
      </c>
      <c r="M433" s="3">
        <v>2.8571428571428571E-2</v>
      </c>
      <c r="N433" s="3">
        <v>0.6</v>
      </c>
    </row>
    <row r="434" spans="1:14" hidden="1" x14ac:dyDescent="0.2">
      <c r="A434" t="s">
        <v>336</v>
      </c>
      <c r="B434" t="s">
        <v>366</v>
      </c>
      <c r="C434">
        <v>17</v>
      </c>
      <c r="D434">
        <v>1</v>
      </c>
      <c r="E434">
        <v>2</v>
      </c>
      <c r="F434">
        <v>30</v>
      </c>
      <c r="G434">
        <v>0</v>
      </c>
      <c r="H434">
        <v>0</v>
      </c>
      <c r="I434">
        <v>0</v>
      </c>
      <c r="J434">
        <f t="shared" si="30"/>
        <v>50</v>
      </c>
      <c r="K434" s="1">
        <v>50</v>
      </c>
      <c r="L434" s="3">
        <v>0.34</v>
      </c>
      <c r="M434" s="3">
        <v>0.04</v>
      </c>
      <c r="N434" s="3">
        <v>0.6</v>
      </c>
    </row>
    <row r="435" spans="1:14" s="1" customFormat="1" x14ac:dyDescent="0.2">
      <c r="A435" s="1" t="s">
        <v>336</v>
      </c>
      <c r="B435" s="1" t="s">
        <v>495</v>
      </c>
      <c r="C435" s="1">
        <f t="shared" ref="C435:J435" si="31">SUM(C399:C434)</f>
        <v>10134</v>
      </c>
      <c r="D435" s="1">
        <f t="shared" si="31"/>
        <v>155</v>
      </c>
      <c r="E435" s="1">
        <f t="shared" si="31"/>
        <v>233</v>
      </c>
      <c r="F435" s="1">
        <f t="shared" si="31"/>
        <v>17826</v>
      </c>
      <c r="G435" s="1">
        <f t="shared" si="31"/>
        <v>84</v>
      </c>
      <c r="H435" s="1">
        <f t="shared" si="31"/>
        <v>9</v>
      </c>
      <c r="I435" s="1">
        <f t="shared" si="31"/>
        <v>359</v>
      </c>
      <c r="J435" s="1">
        <f t="shared" si="31"/>
        <v>28800</v>
      </c>
      <c r="K435" s="1">
        <v>28441</v>
      </c>
      <c r="L435" s="3">
        <v>0.35631658521149046</v>
      </c>
      <c r="M435" s="3">
        <v>8.1923982982314257E-3</v>
      </c>
      <c r="N435" s="3">
        <v>0.62677121057628071</v>
      </c>
    </row>
    <row r="436" spans="1:14" hidden="1" x14ac:dyDescent="0.2">
      <c r="K436" s="1">
        <v>0</v>
      </c>
      <c r="L436" s="3" t="e">
        <v>#DIV/0!</v>
      </c>
      <c r="M436" s="3" t="e">
        <v>#DIV/0!</v>
      </c>
      <c r="N436" s="3" t="e">
        <v>#DIV/0!</v>
      </c>
    </row>
    <row r="437" spans="1:14" hidden="1" x14ac:dyDescent="0.2">
      <c r="A437" t="s">
        <v>367</v>
      </c>
      <c r="B437" t="s">
        <v>368</v>
      </c>
      <c r="C437">
        <v>2865</v>
      </c>
      <c r="D437">
        <v>23</v>
      </c>
      <c r="E437">
        <v>64</v>
      </c>
      <c r="F437">
        <v>1228</v>
      </c>
      <c r="G437">
        <v>25</v>
      </c>
      <c r="H437">
        <v>7</v>
      </c>
      <c r="I437">
        <v>45</v>
      </c>
      <c r="J437">
        <f t="shared" ref="J437:J462" si="32">SUM(C437:I437)</f>
        <v>4257</v>
      </c>
      <c r="K437" s="1">
        <v>4212</v>
      </c>
      <c r="L437" s="3">
        <v>0.68019943019943019</v>
      </c>
      <c r="M437" s="3">
        <v>1.5194681861348529E-2</v>
      </c>
      <c r="N437" s="3">
        <v>0.29154795821462487</v>
      </c>
    </row>
    <row r="438" spans="1:14" hidden="1" x14ac:dyDescent="0.2">
      <c r="A438" t="s">
        <v>367</v>
      </c>
      <c r="B438" t="s">
        <v>369</v>
      </c>
      <c r="C438">
        <v>265</v>
      </c>
      <c r="D438">
        <v>2</v>
      </c>
      <c r="E438">
        <v>8</v>
      </c>
      <c r="F438">
        <v>338</v>
      </c>
      <c r="G438">
        <v>0</v>
      </c>
      <c r="H438">
        <v>0</v>
      </c>
      <c r="I438">
        <v>6</v>
      </c>
      <c r="J438">
        <f t="shared" si="32"/>
        <v>619</v>
      </c>
      <c r="K438" s="1">
        <v>613</v>
      </c>
      <c r="L438" s="3">
        <v>0.43230016313213704</v>
      </c>
      <c r="M438" s="3">
        <v>1.3050570962479609E-2</v>
      </c>
      <c r="N438" s="3">
        <v>0.5513866231647635</v>
      </c>
    </row>
    <row r="439" spans="1:14" hidden="1" x14ac:dyDescent="0.2">
      <c r="A439" t="s">
        <v>367</v>
      </c>
      <c r="B439" t="s">
        <v>370</v>
      </c>
      <c r="C439">
        <v>262</v>
      </c>
      <c r="D439">
        <v>10</v>
      </c>
      <c r="E439">
        <v>11</v>
      </c>
      <c r="F439">
        <v>332</v>
      </c>
      <c r="G439">
        <v>6</v>
      </c>
      <c r="H439">
        <v>0</v>
      </c>
      <c r="I439">
        <v>6</v>
      </c>
      <c r="J439">
        <f t="shared" si="32"/>
        <v>627</v>
      </c>
      <c r="K439" s="1">
        <v>621</v>
      </c>
      <c r="L439" s="3">
        <v>0.4219001610305958</v>
      </c>
      <c r="M439" s="3">
        <v>1.7713365539452495E-2</v>
      </c>
      <c r="N439" s="3">
        <v>0.53462157809983901</v>
      </c>
    </row>
    <row r="440" spans="1:14" hidden="1" x14ac:dyDescent="0.2">
      <c r="A440" t="s">
        <v>367</v>
      </c>
      <c r="B440" t="s">
        <v>371</v>
      </c>
      <c r="C440">
        <v>205</v>
      </c>
      <c r="D440">
        <v>4</v>
      </c>
      <c r="E440">
        <v>4</v>
      </c>
      <c r="F440">
        <v>449</v>
      </c>
      <c r="G440">
        <v>3</v>
      </c>
      <c r="H440">
        <v>0</v>
      </c>
      <c r="I440">
        <v>12</v>
      </c>
      <c r="J440">
        <f t="shared" si="32"/>
        <v>677</v>
      </c>
      <c r="K440" s="1">
        <v>665</v>
      </c>
      <c r="L440" s="3">
        <v>0.30827067669172931</v>
      </c>
      <c r="M440" s="3">
        <v>6.0150375939849628E-3</v>
      </c>
      <c r="N440" s="3">
        <v>0.675187969924812</v>
      </c>
    </row>
    <row r="441" spans="1:14" hidden="1" x14ac:dyDescent="0.2">
      <c r="A441" t="s">
        <v>367</v>
      </c>
      <c r="B441" t="s">
        <v>372</v>
      </c>
      <c r="C441">
        <v>235</v>
      </c>
      <c r="D441">
        <v>3</v>
      </c>
      <c r="E441">
        <v>6</v>
      </c>
      <c r="F441">
        <v>454</v>
      </c>
      <c r="G441">
        <v>3</v>
      </c>
      <c r="H441">
        <v>0</v>
      </c>
      <c r="I441">
        <v>13</v>
      </c>
      <c r="J441">
        <f t="shared" si="32"/>
        <v>714</v>
      </c>
      <c r="K441" s="1">
        <v>701</v>
      </c>
      <c r="L441" s="3">
        <v>0.33523537803138376</v>
      </c>
      <c r="M441" s="3">
        <v>8.5592011412268191E-3</v>
      </c>
      <c r="N441" s="3">
        <v>0.64764621968616265</v>
      </c>
    </row>
    <row r="442" spans="1:14" hidden="1" x14ac:dyDescent="0.2">
      <c r="A442" t="s">
        <v>367</v>
      </c>
      <c r="B442" t="s">
        <v>373</v>
      </c>
      <c r="C442">
        <v>207</v>
      </c>
      <c r="D442">
        <v>5</v>
      </c>
      <c r="E442">
        <v>11</v>
      </c>
      <c r="F442">
        <v>250</v>
      </c>
      <c r="G442">
        <v>8</v>
      </c>
      <c r="H442">
        <v>1</v>
      </c>
      <c r="I442">
        <v>7</v>
      </c>
      <c r="J442">
        <f t="shared" si="32"/>
        <v>489</v>
      </c>
      <c r="K442" s="1">
        <v>482</v>
      </c>
      <c r="L442" s="3">
        <v>0.42946058091286304</v>
      </c>
      <c r="M442" s="3">
        <v>2.2821576763485476E-2</v>
      </c>
      <c r="N442" s="3">
        <v>0.51867219917012453</v>
      </c>
    </row>
    <row r="443" spans="1:14" hidden="1" x14ac:dyDescent="0.2">
      <c r="A443" t="s">
        <v>367</v>
      </c>
      <c r="B443" t="s">
        <v>374</v>
      </c>
      <c r="C443">
        <v>332</v>
      </c>
      <c r="D443">
        <v>4</v>
      </c>
      <c r="E443">
        <v>4</v>
      </c>
      <c r="F443">
        <v>115</v>
      </c>
      <c r="G443">
        <v>3</v>
      </c>
      <c r="H443">
        <v>0</v>
      </c>
      <c r="I443">
        <v>4</v>
      </c>
      <c r="J443">
        <f t="shared" si="32"/>
        <v>462</v>
      </c>
      <c r="K443" s="1">
        <v>458</v>
      </c>
      <c r="L443" s="3">
        <v>0.72489082969432317</v>
      </c>
      <c r="M443" s="3">
        <v>8.7336244541484712E-3</v>
      </c>
      <c r="N443" s="3">
        <v>0.25109170305676853</v>
      </c>
    </row>
    <row r="444" spans="1:14" hidden="1" x14ac:dyDescent="0.2">
      <c r="A444" t="s">
        <v>367</v>
      </c>
      <c r="B444" t="s">
        <v>375</v>
      </c>
      <c r="C444">
        <v>145</v>
      </c>
      <c r="D444">
        <v>5</v>
      </c>
      <c r="E444">
        <v>5</v>
      </c>
      <c r="F444">
        <v>195</v>
      </c>
      <c r="G444">
        <v>1</v>
      </c>
      <c r="H444">
        <v>2</v>
      </c>
      <c r="I444">
        <v>3</v>
      </c>
      <c r="J444">
        <f t="shared" si="32"/>
        <v>356</v>
      </c>
      <c r="K444" s="1">
        <v>353</v>
      </c>
      <c r="L444" s="3">
        <v>0.41076487252124644</v>
      </c>
      <c r="M444" s="3">
        <v>1.4164305949008499E-2</v>
      </c>
      <c r="N444" s="3">
        <v>0.55240793201133143</v>
      </c>
    </row>
    <row r="445" spans="1:14" hidden="1" x14ac:dyDescent="0.2">
      <c r="A445" t="s">
        <v>367</v>
      </c>
      <c r="B445" t="s">
        <v>376</v>
      </c>
      <c r="C445">
        <v>131</v>
      </c>
      <c r="D445">
        <v>1</v>
      </c>
      <c r="E445">
        <v>12</v>
      </c>
      <c r="F445">
        <v>336</v>
      </c>
      <c r="G445">
        <v>4</v>
      </c>
      <c r="H445">
        <v>2</v>
      </c>
      <c r="I445">
        <v>3</v>
      </c>
      <c r="J445">
        <f t="shared" si="32"/>
        <v>489</v>
      </c>
      <c r="K445" s="1">
        <v>486</v>
      </c>
      <c r="L445" s="3">
        <v>0.26954732510288065</v>
      </c>
      <c r="M445" s="3">
        <v>2.4691358024691357E-2</v>
      </c>
      <c r="N445" s="3">
        <v>0.69135802469135799</v>
      </c>
    </row>
    <row r="446" spans="1:14" hidden="1" x14ac:dyDescent="0.2">
      <c r="A446" t="s">
        <v>367</v>
      </c>
      <c r="B446" t="s">
        <v>377</v>
      </c>
      <c r="C446">
        <v>283</v>
      </c>
      <c r="D446">
        <v>2</v>
      </c>
      <c r="E446">
        <v>18</v>
      </c>
      <c r="F446">
        <v>327</v>
      </c>
      <c r="G446">
        <v>2</v>
      </c>
      <c r="H446">
        <v>0</v>
      </c>
      <c r="I446">
        <v>4</v>
      </c>
      <c r="J446">
        <f t="shared" si="32"/>
        <v>636</v>
      </c>
      <c r="K446" s="1">
        <v>632</v>
      </c>
      <c r="L446" s="3">
        <v>0.44778481012658228</v>
      </c>
      <c r="M446" s="3">
        <v>2.8481012658227847E-2</v>
      </c>
      <c r="N446" s="3">
        <v>0.51740506329113922</v>
      </c>
    </row>
    <row r="447" spans="1:14" hidden="1" x14ac:dyDescent="0.2">
      <c r="A447" t="s">
        <v>367</v>
      </c>
      <c r="B447" t="s">
        <v>378</v>
      </c>
      <c r="C447">
        <v>1120</v>
      </c>
      <c r="D447">
        <v>8</v>
      </c>
      <c r="E447">
        <v>28</v>
      </c>
      <c r="F447">
        <v>590</v>
      </c>
      <c r="G447">
        <v>12</v>
      </c>
      <c r="H447">
        <v>3</v>
      </c>
      <c r="I447">
        <v>21</v>
      </c>
      <c r="J447">
        <f t="shared" si="32"/>
        <v>1782</v>
      </c>
      <c r="K447" s="1">
        <v>1761</v>
      </c>
      <c r="L447" s="3">
        <v>0.63600227143668375</v>
      </c>
      <c r="M447" s="3">
        <v>1.5900056785917091E-2</v>
      </c>
      <c r="N447" s="3">
        <v>0.33503691084611015</v>
      </c>
    </row>
    <row r="448" spans="1:14" hidden="1" x14ac:dyDescent="0.2">
      <c r="A448" t="s">
        <v>367</v>
      </c>
      <c r="B448" t="s">
        <v>379</v>
      </c>
      <c r="C448">
        <v>313</v>
      </c>
      <c r="D448">
        <v>4</v>
      </c>
      <c r="E448">
        <v>20</v>
      </c>
      <c r="F448">
        <v>267</v>
      </c>
      <c r="G448">
        <v>8</v>
      </c>
      <c r="H448">
        <v>1</v>
      </c>
      <c r="I448">
        <v>9</v>
      </c>
      <c r="J448">
        <f t="shared" si="32"/>
        <v>622</v>
      </c>
      <c r="K448" s="1">
        <v>613</v>
      </c>
      <c r="L448" s="3">
        <v>0.51060358890701463</v>
      </c>
      <c r="M448" s="3">
        <v>3.2626427406199018E-2</v>
      </c>
      <c r="N448" s="3">
        <v>0.43556280587275692</v>
      </c>
    </row>
    <row r="449" spans="1:14" hidden="1" x14ac:dyDescent="0.2">
      <c r="A449" t="s">
        <v>367</v>
      </c>
      <c r="B449" t="s">
        <v>380</v>
      </c>
      <c r="C449">
        <v>341</v>
      </c>
      <c r="D449">
        <v>2</v>
      </c>
      <c r="E449">
        <v>27</v>
      </c>
      <c r="F449">
        <v>311</v>
      </c>
      <c r="G449">
        <v>4</v>
      </c>
      <c r="H449">
        <v>1</v>
      </c>
      <c r="I449">
        <v>6</v>
      </c>
      <c r="J449">
        <f t="shared" si="32"/>
        <v>692</v>
      </c>
      <c r="K449" s="1">
        <v>686</v>
      </c>
      <c r="L449" s="3">
        <v>0.49708454810495628</v>
      </c>
      <c r="M449" s="3">
        <v>3.9358600583090382E-2</v>
      </c>
      <c r="N449" s="3">
        <v>0.45335276967930027</v>
      </c>
    </row>
    <row r="450" spans="1:14" hidden="1" x14ac:dyDescent="0.2">
      <c r="A450" t="s">
        <v>367</v>
      </c>
      <c r="B450" t="s">
        <v>381</v>
      </c>
      <c r="C450">
        <v>255</v>
      </c>
      <c r="D450">
        <v>4</v>
      </c>
      <c r="E450">
        <v>2</v>
      </c>
      <c r="F450">
        <v>361</v>
      </c>
      <c r="G450">
        <v>4</v>
      </c>
      <c r="H450">
        <v>0</v>
      </c>
      <c r="I450">
        <v>8</v>
      </c>
      <c r="J450">
        <f t="shared" si="32"/>
        <v>634</v>
      </c>
      <c r="K450" s="1">
        <v>626</v>
      </c>
      <c r="L450" s="3">
        <v>0.40734824281150162</v>
      </c>
      <c r="M450" s="3">
        <v>3.1948881789137379E-3</v>
      </c>
      <c r="N450" s="3">
        <v>0.57667731629392971</v>
      </c>
    </row>
    <row r="451" spans="1:14" hidden="1" x14ac:dyDescent="0.2">
      <c r="A451" t="s">
        <v>367</v>
      </c>
      <c r="B451" t="s">
        <v>382</v>
      </c>
      <c r="C451">
        <v>689</v>
      </c>
      <c r="D451">
        <v>4</v>
      </c>
      <c r="E451">
        <v>12</v>
      </c>
      <c r="F451">
        <v>411</v>
      </c>
      <c r="G451">
        <v>3</v>
      </c>
      <c r="H451">
        <v>2</v>
      </c>
      <c r="I451">
        <v>18</v>
      </c>
      <c r="J451">
        <f t="shared" si="32"/>
        <v>1139</v>
      </c>
      <c r="K451" s="1">
        <v>1121</v>
      </c>
      <c r="L451" s="3">
        <v>0.61462979482604818</v>
      </c>
      <c r="M451" s="3">
        <v>1.0704727921498661E-2</v>
      </c>
      <c r="N451" s="3">
        <v>0.36663693131132918</v>
      </c>
    </row>
    <row r="452" spans="1:14" hidden="1" x14ac:dyDescent="0.2">
      <c r="A452" t="s">
        <v>367</v>
      </c>
      <c r="B452" t="s">
        <v>383</v>
      </c>
      <c r="C452">
        <v>408</v>
      </c>
      <c r="D452">
        <v>10</v>
      </c>
      <c r="E452">
        <v>8</v>
      </c>
      <c r="F452">
        <v>614</v>
      </c>
      <c r="G452">
        <v>7</v>
      </c>
      <c r="H452">
        <v>2</v>
      </c>
      <c r="I452">
        <v>14</v>
      </c>
      <c r="J452">
        <f t="shared" si="32"/>
        <v>1063</v>
      </c>
      <c r="K452" s="1">
        <v>1049</v>
      </c>
      <c r="L452" s="3">
        <v>0.38894184938036225</v>
      </c>
      <c r="M452" s="3">
        <v>7.6263107721639654E-3</v>
      </c>
      <c r="N452" s="3">
        <v>0.58531935176358441</v>
      </c>
    </row>
    <row r="453" spans="1:14" hidden="1" x14ac:dyDescent="0.2">
      <c r="A453" t="s">
        <v>367</v>
      </c>
      <c r="B453" t="s">
        <v>384</v>
      </c>
      <c r="C453">
        <v>180</v>
      </c>
      <c r="D453">
        <v>1</v>
      </c>
      <c r="E453">
        <v>3</v>
      </c>
      <c r="F453">
        <v>264</v>
      </c>
      <c r="G453">
        <v>0</v>
      </c>
      <c r="H453">
        <v>0</v>
      </c>
      <c r="I453">
        <v>6</v>
      </c>
      <c r="J453">
        <f t="shared" si="32"/>
        <v>454</v>
      </c>
      <c r="K453" s="1">
        <v>448</v>
      </c>
      <c r="L453" s="3">
        <v>0.4017857142857143</v>
      </c>
      <c r="M453" s="3">
        <v>6.6964285714285711E-3</v>
      </c>
      <c r="N453" s="3">
        <v>0.5892857142857143</v>
      </c>
    </row>
    <row r="454" spans="1:14" hidden="1" x14ac:dyDescent="0.2">
      <c r="A454" t="s">
        <v>367</v>
      </c>
      <c r="B454" t="s">
        <v>385</v>
      </c>
      <c r="C454">
        <v>448</v>
      </c>
      <c r="D454">
        <v>7</v>
      </c>
      <c r="E454">
        <v>20</v>
      </c>
      <c r="F454">
        <v>488</v>
      </c>
      <c r="G454">
        <v>4</v>
      </c>
      <c r="H454">
        <v>1</v>
      </c>
      <c r="I454">
        <v>8</v>
      </c>
      <c r="J454">
        <f t="shared" si="32"/>
        <v>976</v>
      </c>
      <c r="K454" s="1">
        <v>968</v>
      </c>
      <c r="L454" s="3">
        <v>0.46280991735537191</v>
      </c>
      <c r="M454" s="3">
        <v>2.0661157024793389E-2</v>
      </c>
      <c r="N454" s="3">
        <v>0.50413223140495866</v>
      </c>
    </row>
    <row r="455" spans="1:14" hidden="1" x14ac:dyDescent="0.2">
      <c r="A455" t="s">
        <v>367</v>
      </c>
      <c r="B455" t="s">
        <v>386</v>
      </c>
      <c r="C455">
        <v>899</v>
      </c>
      <c r="D455">
        <v>6</v>
      </c>
      <c r="E455">
        <v>10</v>
      </c>
      <c r="F455">
        <v>781</v>
      </c>
      <c r="G455">
        <v>6</v>
      </c>
      <c r="H455">
        <v>2</v>
      </c>
      <c r="I455">
        <v>22</v>
      </c>
      <c r="J455">
        <f t="shared" si="32"/>
        <v>1726</v>
      </c>
      <c r="K455" s="1">
        <v>1704</v>
      </c>
      <c r="L455" s="3">
        <v>0.52758215962441313</v>
      </c>
      <c r="M455" s="3">
        <v>5.8685446009389668E-3</v>
      </c>
      <c r="N455" s="3">
        <v>0.45833333333333331</v>
      </c>
    </row>
    <row r="456" spans="1:14" hidden="1" x14ac:dyDescent="0.2">
      <c r="A456" t="s">
        <v>367</v>
      </c>
      <c r="B456" t="s">
        <v>387</v>
      </c>
      <c r="C456">
        <v>585</v>
      </c>
      <c r="D456">
        <v>2</v>
      </c>
      <c r="E456">
        <v>6</v>
      </c>
      <c r="F456">
        <v>561</v>
      </c>
      <c r="G456">
        <v>5</v>
      </c>
      <c r="H456">
        <v>2</v>
      </c>
      <c r="I456">
        <v>12</v>
      </c>
      <c r="J456">
        <f t="shared" si="32"/>
        <v>1173</v>
      </c>
      <c r="K456" s="1">
        <v>1161</v>
      </c>
      <c r="L456" s="3">
        <v>0.50387596899224807</v>
      </c>
      <c r="M456" s="3">
        <v>5.1679586563307496E-3</v>
      </c>
      <c r="N456" s="3">
        <v>0.48320413436692505</v>
      </c>
    </row>
    <row r="457" spans="1:14" hidden="1" x14ac:dyDescent="0.2">
      <c r="A457" t="s">
        <v>367</v>
      </c>
      <c r="B457" t="s">
        <v>388</v>
      </c>
      <c r="C457">
        <v>379</v>
      </c>
      <c r="D457">
        <v>7</v>
      </c>
      <c r="E457">
        <v>12</v>
      </c>
      <c r="F457">
        <v>488</v>
      </c>
      <c r="G457">
        <v>6</v>
      </c>
      <c r="H457">
        <v>0</v>
      </c>
      <c r="I457">
        <v>11</v>
      </c>
      <c r="J457">
        <f t="shared" si="32"/>
        <v>903</v>
      </c>
      <c r="K457" s="1">
        <v>892</v>
      </c>
      <c r="L457" s="3">
        <v>0.42488789237668162</v>
      </c>
      <c r="M457" s="3">
        <v>1.3452914798206279E-2</v>
      </c>
      <c r="N457" s="3">
        <v>0.547085201793722</v>
      </c>
    </row>
    <row r="458" spans="1:14" hidden="1" x14ac:dyDescent="0.2">
      <c r="A458" t="s">
        <v>367</v>
      </c>
      <c r="B458" t="s">
        <v>389</v>
      </c>
      <c r="C458">
        <v>212</v>
      </c>
      <c r="D458">
        <v>2</v>
      </c>
      <c r="E458">
        <v>8</v>
      </c>
      <c r="F458">
        <v>240</v>
      </c>
      <c r="G458">
        <v>3</v>
      </c>
      <c r="H458">
        <v>0</v>
      </c>
      <c r="I458">
        <v>2</v>
      </c>
      <c r="J458">
        <f t="shared" si="32"/>
        <v>467</v>
      </c>
      <c r="K458" s="1">
        <v>465</v>
      </c>
      <c r="L458" s="3">
        <v>0.45591397849462367</v>
      </c>
      <c r="M458" s="3">
        <v>1.7204301075268817E-2</v>
      </c>
      <c r="N458" s="3">
        <v>0.5161290322580645</v>
      </c>
    </row>
    <row r="459" spans="1:14" hidden="1" x14ac:dyDescent="0.2">
      <c r="A459" t="s">
        <v>367</v>
      </c>
      <c r="B459" t="s">
        <v>390</v>
      </c>
      <c r="C459">
        <v>218</v>
      </c>
      <c r="D459">
        <v>5</v>
      </c>
      <c r="E459">
        <v>8</v>
      </c>
      <c r="F459">
        <v>341</v>
      </c>
      <c r="G459">
        <v>4</v>
      </c>
      <c r="H459">
        <v>0</v>
      </c>
      <c r="I459">
        <v>9</v>
      </c>
      <c r="J459">
        <f t="shared" si="32"/>
        <v>585</v>
      </c>
      <c r="K459" s="1">
        <v>576</v>
      </c>
      <c r="L459" s="3">
        <v>0.37847222222222221</v>
      </c>
      <c r="M459" s="3">
        <v>1.3888888888888888E-2</v>
      </c>
      <c r="N459" s="3">
        <v>0.59201388888888884</v>
      </c>
    </row>
    <row r="460" spans="1:14" hidden="1" x14ac:dyDescent="0.2">
      <c r="A460" t="s">
        <v>367</v>
      </c>
      <c r="B460" t="s">
        <v>391</v>
      </c>
      <c r="C460">
        <v>420</v>
      </c>
      <c r="D460">
        <v>3</v>
      </c>
      <c r="E460">
        <v>15</v>
      </c>
      <c r="F460">
        <v>509</v>
      </c>
      <c r="G460">
        <v>6</v>
      </c>
      <c r="H460">
        <v>5</v>
      </c>
      <c r="I460">
        <v>14</v>
      </c>
      <c r="J460">
        <f t="shared" si="32"/>
        <v>972</v>
      </c>
      <c r="K460" s="1">
        <v>958</v>
      </c>
      <c r="L460" s="3">
        <v>0.43841336116910229</v>
      </c>
      <c r="M460" s="3">
        <v>1.5657620041753653E-2</v>
      </c>
      <c r="N460" s="3">
        <v>0.53131524008350728</v>
      </c>
    </row>
    <row r="461" spans="1:14" hidden="1" x14ac:dyDescent="0.2">
      <c r="A461" t="s">
        <v>367</v>
      </c>
      <c r="B461" t="s">
        <v>392</v>
      </c>
      <c r="C461">
        <v>239</v>
      </c>
      <c r="D461">
        <v>2</v>
      </c>
      <c r="E461">
        <v>6</v>
      </c>
      <c r="F461">
        <v>259</v>
      </c>
      <c r="G461">
        <v>6</v>
      </c>
      <c r="H461">
        <v>0</v>
      </c>
      <c r="I461">
        <v>4</v>
      </c>
      <c r="J461">
        <f t="shared" si="32"/>
        <v>516</v>
      </c>
      <c r="K461" s="1">
        <v>512</v>
      </c>
      <c r="L461" s="3">
        <v>0.466796875</v>
      </c>
      <c r="M461" s="3">
        <v>1.171875E-2</v>
      </c>
      <c r="N461" s="3">
        <v>0.505859375</v>
      </c>
    </row>
    <row r="462" spans="1:14" hidden="1" x14ac:dyDescent="0.2">
      <c r="A462" t="s">
        <v>367</v>
      </c>
      <c r="B462" t="s">
        <v>393</v>
      </c>
      <c r="C462">
        <v>1025</v>
      </c>
      <c r="D462">
        <v>11</v>
      </c>
      <c r="E462">
        <v>19</v>
      </c>
      <c r="F462">
        <v>1306</v>
      </c>
      <c r="G462">
        <v>6</v>
      </c>
      <c r="H462">
        <v>0</v>
      </c>
      <c r="I462">
        <v>39</v>
      </c>
      <c r="J462">
        <f t="shared" si="32"/>
        <v>2406</v>
      </c>
      <c r="K462" s="1">
        <v>2367</v>
      </c>
      <c r="L462" s="3">
        <v>0.43303760033798055</v>
      </c>
      <c r="M462" s="3">
        <v>8.0270384452893959E-3</v>
      </c>
      <c r="N462" s="3">
        <v>0.55175327418673425</v>
      </c>
    </row>
    <row r="463" spans="1:14" s="1" customFormat="1" x14ac:dyDescent="0.2">
      <c r="A463" s="1" t="s">
        <v>367</v>
      </c>
      <c r="B463" s="1" t="s">
        <v>496</v>
      </c>
      <c r="C463" s="1">
        <f t="shared" ref="C463:J463" si="33">SUM(C437:C462)</f>
        <v>12661</v>
      </c>
      <c r="D463" s="1">
        <f t="shared" si="33"/>
        <v>137</v>
      </c>
      <c r="E463" s="1">
        <f t="shared" si="33"/>
        <v>347</v>
      </c>
      <c r="F463" s="1">
        <f t="shared" si="33"/>
        <v>11815</v>
      </c>
      <c r="G463" s="1">
        <f t="shared" si="33"/>
        <v>139</v>
      </c>
      <c r="H463" s="1">
        <f t="shared" si="33"/>
        <v>31</v>
      </c>
      <c r="I463" s="1">
        <f t="shared" si="33"/>
        <v>306</v>
      </c>
      <c r="J463" s="1">
        <f t="shared" si="33"/>
        <v>25436</v>
      </c>
      <c r="K463" s="1">
        <v>25130</v>
      </c>
      <c r="L463" s="3">
        <v>0.50382013529645842</v>
      </c>
      <c r="M463" s="3">
        <v>1.3808197373656983E-2</v>
      </c>
      <c r="N463" s="3">
        <v>0.47015519299641861</v>
      </c>
    </row>
    <row r="464" spans="1:14" hidden="1" x14ac:dyDescent="0.2">
      <c r="K464" s="1">
        <v>0</v>
      </c>
      <c r="L464" s="3" t="e">
        <v>#DIV/0!</v>
      </c>
      <c r="M464" s="3" t="e">
        <v>#DIV/0!</v>
      </c>
      <c r="N464" s="3" t="e">
        <v>#DIV/0!</v>
      </c>
    </row>
    <row r="465" spans="1:14" hidden="1" x14ac:dyDescent="0.2">
      <c r="A465" t="s">
        <v>394</v>
      </c>
      <c r="B465" t="s">
        <v>395</v>
      </c>
      <c r="C465">
        <v>253</v>
      </c>
      <c r="D465">
        <v>3</v>
      </c>
      <c r="E465">
        <v>3</v>
      </c>
      <c r="F465">
        <v>491</v>
      </c>
      <c r="G465">
        <v>0</v>
      </c>
      <c r="H465">
        <v>0</v>
      </c>
      <c r="I465">
        <v>6</v>
      </c>
      <c r="J465">
        <f t="shared" ref="J465:J496" si="34">SUM(C465:I465)</f>
        <v>756</v>
      </c>
      <c r="K465" s="1">
        <v>750</v>
      </c>
      <c r="L465" s="3">
        <v>0.33733333333333332</v>
      </c>
      <c r="M465" s="3">
        <v>4.0000000000000001E-3</v>
      </c>
      <c r="N465" s="3">
        <v>0.65466666666666662</v>
      </c>
    </row>
    <row r="466" spans="1:14" hidden="1" x14ac:dyDescent="0.2">
      <c r="A466" t="s">
        <v>394</v>
      </c>
      <c r="B466" t="s">
        <v>396</v>
      </c>
      <c r="C466">
        <v>82</v>
      </c>
      <c r="D466">
        <v>2</v>
      </c>
      <c r="E466">
        <v>2</v>
      </c>
      <c r="F466">
        <v>251</v>
      </c>
      <c r="G466">
        <v>0</v>
      </c>
      <c r="H466">
        <v>0</v>
      </c>
      <c r="I466">
        <v>8</v>
      </c>
      <c r="J466">
        <f t="shared" si="34"/>
        <v>345</v>
      </c>
      <c r="K466" s="1">
        <v>337</v>
      </c>
      <c r="L466" s="3">
        <v>0.24332344213649851</v>
      </c>
      <c r="M466" s="3">
        <v>5.9347181008902079E-3</v>
      </c>
      <c r="N466" s="3">
        <v>0.74480712166172103</v>
      </c>
    </row>
    <row r="467" spans="1:14" hidden="1" x14ac:dyDescent="0.2">
      <c r="A467" t="s">
        <v>394</v>
      </c>
      <c r="B467" t="s">
        <v>397</v>
      </c>
      <c r="C467">
        <v>221</v>
      </c>
      <c r="D467">
        <v>0</v>
      </c>
      <c r="E467">
        <v>2</v>
      </c>
      <c r="F467">
        <v>468</v>
      </c>
      <c r="G467">
        <v>1</v>
      </c>
      <c r="H467">
        <v>0</v>
      </c>
      <c r="I467">
        <v>9</v>
      </c>
      <c r="J467">
        <f t="shared" si="34"/>
        <v>701</v>
      </c>
      <c r="K467" s="1">
        <v>692</v>
      </c>
      <c r="L467" s="3">
        <v>0.319364161849711</v>
      </c>
      <c r="M467" s="3">
        <v>2.8901734104046241E-3</v>
      </c>
      <c r="N467" s="3">
        <v>0.67630057803468213</v>
      </c>
    </row>
    <row r="468" spans="1:14" hidden="1" x14ac:dyDescent="0.2">
      <c r="A468" t="s">
        <v>394</v>
      </c>
      <c r="B468" t="s">
        <v>398</v>
      </c>
      <c r="C468">
        <v>52</v>
      </c>
      <c r="D468">
        <v>2</v>
      </c>
      <c r="E468">
        <v>0</v>
      </c>
      <c r="F468">
        <v>80</v>
      </c>
      <c r="G468">
        <v>0</v>
      </c>
      <c r="H468">
        <v>0</v>
      </c>
      <c r="I468">
        <v>1</v>
      </c>
      <c r="J468">
        <f t="shared" si="34"/>
        <v>135</v>
      </c>
      <c r="K468" s="1">
        <v>134</v>
      </c>
      <c r="L468" s="3">
        <v>0.38805970149253732</v>
      </c>
      <c r="M468" s="3">
        <v>0</v>
      </c>
      <c r="N468" s="3">
        <v>0.59701492537313428</v>
      </c>
    </row>
    <row r="469" spans="1:14" hidden="1" x14ac:dyDescent="0.2">
      <c r="A469" t="s">
        <v>394</v>
      </c>
      <c r="B469" t="s">
        <v>399</v>
      </c>
      <c r="C469">
        <v>93</v>
      </c>
      <c r="D469">
        <v>4</v>
      </c>
      <c r="E469">
        <v>0</v>
      </c>
      <c r="F469">
        <v>189</v>
      </c>
      <c r="G469">
        <v>1</v>
      </c>
      <c r="H469">
        <v>0</v>
      </c>
      <c r="I469">
        <v>4</v>
      </c>
      <c r="J469">
        <f t="shared" si="34"/>
        <v>291</v>
      </c>
      <c r="K469" s="1">
        <v>287</v>
      </c>
      <c r="L469" s="3">
        <v>0.3240418118466899</v>
      </c>
      <c r="M469" s="3">
        <v>0</v>
      </c>
      <c r="N469" s="3">
        <v>0.65853658536585369</v>
      </c>
    </row>
    <row r="470" spans="1:14" hidden="1" x14ac:dyDescent="0.2">
      <c r="A470" t="s">
        <v>394</v>
      </c>
      <c r="B470" t="s">
        <v>400</v>
      </c>
      <c r="C470">
        <v>25</v>
      </c>
      <c r="D470">
        <v>0</v>
      </c>
      <c r="E470">
        <v>0</v>
      </c>
      <c r="F470">
        <v>43</v>
      </c>
      <c r="G470">
        <v>0</v>
      </c>
      <c r="H470">
        <v>0</v>
      </c>
      <c r="I470">
        <v>0</v>
      </c>
      <c r="J470">
        <f t="shared" si="34"/>
        <v>68</v>
      </c>
      <c r="K470" s="1">
        <v>68</v>
      </c>
      <c r="L470" s="3">
        <v>0.36764705882352944</v>
      </c>
      <c r="M470" s="3">
        <v>0</v>
      </c>
      <c r="N470" s="3">
        <v>0.63235294117647056</v>
      </c>
    </row>
    <row r="471" spans="1:14" hidden="1" x14ac:dyDescent="0.2">
      <c r="A471" t="s">
        <v>394</v>
      </c>
      <c r="B471" t="s">
        <v>401</v>
      </c>
      <c r="C471">
        <v>599</v>
      </c>
      <c r="D471">
        <v>4</v>
      </c>
      <c r="E471">
        <v>16</v>
      </c>
      <c r="F471">
        <v>863</v>
      </c>
      <c r="G471">
        <v>4</v>
      </c>
      <c r="H471">
        <v>2</v>
      </c>
      <c r="I471">
        <v>20</v>
      </c>
      <c r="J471">
        <f t="shared" si="34"/>
        <v>1508</v>
      </c>
      <c r="K471" s="1">
        <v>1488</v>
      </c>
      <c r="L471" s="3">
        <v>0.40255376344086019</v>
      </c>
      <c r="M471" s="3">
        <v>1.0752688172043012E-2</v>
      </c>
      <c r="N471" s="3">
        <v>0.57997311827956988</v>
      </c>
    </row>
    <row r="472" spans="1:14" hidden="1" x14ac:dyDescent="0.2">
      <c r="A472" t="s">
        <v>394</v>
      </c>
      <c r="B472" t="s">
        <v>549</v>
      </c>
      <c r="C472">
        <v>6</v>
      </c>
      <c r="D472">
        <v>0</v>
      </c>
      <c r="E472">
        <v>0</v>
      </c>
      <c r="F472">
        <v>9</v>
      </c>
      <c r="G472">
        <v>1</v>
      </c>
      <c r="H472">
        <v>0</v>
      </c>
      <c r="I472">
        <v>0</v>
      </c>
      <c r="J472">
        <f t="shared" si="34"/>
        <v>16</v>
      </c>
      <c r="K472" s="1">
        <v>16</v>
      </c>
      <c r="L472" s="3">
        <v>0.375</v>
      </c>
      <c r="M472" s="3">
        <v>0</v>
      </c>
      <c r="N472" s="3">
        <v>0.5625</v>
      </c>
    </row>
    <row r="473" spans="1:14" hidden="1" x14ac:dyDescent="0.2">
      <c r="A473" t="s">
        <v>394</v>
      </c>
      <c r="B473" t="s">
        <v>548</v>
      </c>
      <c r="C473">
        <v>2</v>
      </c>
      <c r="D473">
        <v>0</v>
      </c>
      <c r="E473">
        <v>0</v>
      </c>
      <c r="F473">
        <v>15</v>
      </c>
      <c r="G473">
        <v>0</v>
      </c>
      <c r="H473">
        <v>0</v>
      </c>
      <c r="I473">
        <v>0</v>
      </c>
      <c r="J473">
        <f t="shared" si="34"/>
        <v>17</v>
      </c>
      <c r="K473" s="1">
        <v>17</v>
      </c>
      <c r="L473" s="3">
        <v>0.11764705882352941</v>
      </c>
      <c r="M473" s="3">
        <v>0</v>
      </c>
      <c r="N473" s="3">
        <v>0.88235294117647056</v>
      </c>
    </row>
    <row r="474" spans="1:14" hidden="1" x14ac:dyDescent="0.2">
      <c r="A474" t="s">
        <v>394</v>
      </c>
      <c r="B474" t="s">
        <v>402</v>
      </c>
      <c r="C474">
        <v>77</v>
      </c>
      <c r="D474">
        <v>0</v>
      </c>
      <c r="E474">
        <v>0</v>
      </c>
      <c r="F474">
        <v>148</v>
      </c>
      <c r="G474">
        <v>0</v>
      </c>
      <c r="H474">
        <v>0</v>
      </c>
      <c r="I474">
        <v>3</v>
      </c>
      <c r="J474">
        <f t="shared" si="34"/>
        <v>228</v>
      </c>
      <c r="K474" s="1">
        <v>225</v>
      </c>
      <c r="L474" s="3">
        <v>0.34222222222222221</v>
      </c>
      <c r="M474" s="3">
        <v>0</v>
      </c>
      <c r="N474" s="3">
        <v>0.65777777777777779</v>
      </c>
    </row>
    <row r="475" spans="1:14" hidden="1" x14ac:dyDescent="0.2">
      <c r="A475" t="s">
        <v>394</v>
      </c>
      <c r="B475" t="s">
        <v>550</v>
      </c>
      <c r="C475">
        <v>226</v>
      </c>
      <c r="D475">
        <v>3</v>
      </c>
      <c r="E475">
        <v>10</v>
      </c>
      <c r="F475">
        <v>423</v>
      </c>
      <c r="G475">
        <v>1</v>
      </c>
      <c r="H475">
        <v>0</v>
      </c>
      <c r="I475">
        <v>21</v>
      </c>
      <c r="J475">
        <f t="shared" si="34"/>
        <v>684</v>
      </c>
      <c r="K475" s="1">
        <v>663</v>
      </c>
      <c r="L475" s="3">
        <v>0.34087481146304677</v>
      </c>
      <c r="M475" s="3">
        <v>1.5082956259426848E-2</v>
      </c>
      <c r="N475" s="3">
        <v>0.63800904977375561</v>
      </c>
    </row>
    <row r="476" spans="1:14" hidden="1" x14ac:dyDescent="0.2">
      <c r="A476" t="s">
        <v>394</v>
      </c>
      <c r="B476" t="s">
        <v>403</v>
      </c>
      <c r="C476">
        <v>68</v>
      </c>
      <c r="D476">
        <v>2</v>
      </c>
      <c r="E476">
        <v>2</v>
      </c>
      <c r="F476">
        <v>169</v>
      </c>
      <c r="G476">
        <v>1</v>
      </c>
      <c r="H476">
        <v>0</v>
      </c>
      <c r="I476">
        <v>2</v>
      </c>
      <c r="J476">
        <f t="shared" si="34"/>
        <v>244</v>
      </c>
      <c r="K476" s="1">
        <v>242</v>
      </c>
      <c r="L476" s="3">
        <v>0.28099173553719009</v>
      </c>
      <c r="M476" s="3">
        <v>8.2644628099173556E-3</v>
      </c>
      <c r="N476" s="3">
        <v>0.69834710743801653</v>
      </c>
    </row>
    <row r="477" spans="1:14" hidden="1" x14ac:dyDescent="0.2">
      <c r="A477" t="s">
        <v>394</v>
      </c>
      <c r="B477" t="s">
        <v>404</v>
      </c>
      <c r="C477">
        <v>98</v>
      </c>
      <c r="D477">
        <v>3</v>
      </c>
      <c r="E477">
        <v>1</v>
      </c>
      <c r="F477">
        <v>236</v>
      </c>
      <c r="G477">
        <v>0</v>
      </c>
      <c r="H477">
        <v>0</v>
      </c>
      <c r="I477">
        <v>6</v>
      </c>
      <c r="J477">
        <f t="shared" si="34"/>
        <v>344</v>
      </c>
      <c r="K477" s="1">
        <v>338</v>
      </c>
      <c r="L477" s="3">
        <v>0.28994082840236685</v>
      </c>
      <c r="M477" s="3">
        <v>2.9585798816568047E-3</v>
      </c>
      <c r="N477" s="3">
        <v>0.69822485207100593</v>
      </c>
    </row>
    <row r="478" spans="1:14" hidden="1" x14ac:dyDescent="0.2">
      <c r="A478" t="s">
        <v>394</v>
      </c>
      <c r="B478" t="s">
        <v>405</v>
      </c>
      <c r="C478">
        <v>32</v>
      </c>
      <c r="D478">
        <v>2</v>
      </c>
      <c r="E478">
        <v>0</v>
      </c>
      <c r="F478">
        <v>60</v>
      </c>
      <c r="G478">
        <v>2</v>
      </c>
      <c r="H478">
        <v>0</v>
      </c>
      <c r="I478">
        <v>1</v>
      </c>
      <c r="J478">
        <f t="shared" si="34"/>
        <v>97</v>
      </c>
      <c r="K478" s="1">
        <v>96</v>
      </c>
      <c r="L478" s="3">
        <v>0.33333333333333331</v>
      </c>
      <c r="M478" s="3">
        <v>0</v>
      </c>
      <c r="N478" s="3">
        <v>0.625</v>
      </c>
    </row>
    <row r="479" spans="1:14" hidden="1" x14ac:dyDescent="0.2">
      <c r="A479" t="s">
        <v>394</v>
      </c>
      <c r="B479" t="s">
        <v>406</v>
      </c>
      <c r="C479">
        <v>26</v>
      </c>
      <c r="D479">
        <v>0</v>
      </c>
      <c r="E479">
        <v>1</v>
      </c>
      <c r="F479">
        <v>48</v>
      </c>
      <c r="G479">
        <v>0</v>
      </c>
      <c r="H479">
        <v>0</v>
      </c>
      <c r="I479">
        <v>0</v>
      </c>
      <c r="J479">
        <f t="shared" si="34"/>
        <v>75</v>
      </c>
      <c r="K479" s="1">
        <v>75</v>
      </c>
      <c r="L479" s="3">
        <v>0.34666666666666668</v>
      </c>
      <c r="M479" s="3">
        <v>1.3333333333333334E-2</v>
      </c>
      <c r="N479" s="3">
        <v>0.64</v>
      </c>
    </row>
    <row r="480" spans="1:14" hidden="1" x14ac:dyDescent="0.2">
      <c r="A480" t="s">
        <v>394</v>
      </c>
      <c r="B480" t="s">
        <v>407</v>
      </c>
      <c r="C480">
        <v>98</v>
      </c>
      <c r="D480">
        <v>4</v>
      </c>
      <c r="E480">
        <v>0</v>
      </c>
      <c r="F480">
        <v>240</v>
      </c>
      <c r="G480">
        <v>0</v>
      </c>
      <c r="H480">
        <v>0</v>
      </c>
      <c r="I480">
        <v>1</v>
      </c>
      <c r="J480">
        <f t="shared" si="34"/>
        <v>343</v>
      </c>
      <c r="K480" s="1">
        <v>342</v>
      </c>
      <c r="L480" s="3">
        <v>0.28654970760233917</v>
      </c>
      <c r="M480" s="3">
        <v>0</v>
      </c>
      <c r="N480" s="3">
        <v>0.70175438596491224</v>
      </c>
    </row>
    <row r="481" spans="1:14" hidden="1" x14ac:dyDescent="0.2">
      <c r="A481" t="s">
        <v>394</v>
      </c>
      <c r="B481" t="s">
        <v>561</v>
      </c>
      <c r="C481">
        <v>101</v>
      </c>
      <c r="D481">
        <v>0</v>
      </c>
      <c r="E481">
        <v>2</v>
      </c>
      <c r="F481">
        <v>314</v>
      </c>
      <c r="G481">
        <v>2</v>
      </c>
      <c r="H481">
        <v>0</v>
      </c>
      <c r="I481">
        <v>9</v>
      </c>
      <c r="J481">
        <f t="shared" si="34"/>
        <v>428</v>
      </c>
      <c r="K481" s="1">
        <v>419</v>
      </c>
      <c r="L481" s="3">
        <v>0.24105011933174225</v>
      </c>
      <c r="M481" s="3">
        <v>4.7732696897374704E-3</v>
      </c>
      <c r="N481" s="3">
        <v>0.74940334128878283</v>
      </c>
    </row>
    <row r="482" spans="1:14" hidden="1" x14ac:dyDescent="0.2">
      <c r="A482" t="s">
        <v>394</v>
      </c>
      <c r="B482" t="s">
        <v>555</v>
      </c>
      <c r="C482">
        <v>3</v>
      </c>
      <c r="D482">
        <v>0</v>
      </c>
      <c r="E482">
        <v>0</v>
      </c>
      <c r="F482">
        <v>4</v>
      </c>
      <c r="G482">
        <v>0</v>
      </c>
      <c r="H482">
        <v>0</v>
      </c>
      <c r="I482">
        <v>2</v>
      </c>
      <c r="J482">
        <f t="shared" si="34"/>
        <v>9</v>
      </c>
      <c r="K482" s="1">
        <v>7</v>
      </c>
      <c r="L482" s="3">
        <v>0.42857142857142855</v>
      </c>
      <c r="M482" s="3">
        <v>0</v>
      </c>
      <c r="N482" s="3">
        <v>0.5714285714285714</v>
      </c>
    </row>
    <row r="483" spans="1:14" hidden="1" x14ac:dyDescent="0.2">
      <c r="A483" t="s">
        <v>394</v>
      </c>
      <c r="B483" t="s">
        <v>408</v>
      </c>
      <c r="C483">
        <v>3</v>
      </c>
      <c r="D483">
        <v>0</v>
      </c>
      <c r="E483">
        <v>0</v>
      </c>
      <c r="F483">
        <v>39</v>
      </c>
      <c r="G483">
        <v>0</v>
      </c>
      <c r="H483">
        <v>0</v>
      </c>
      <c r="I483">
        <v>1</v>
      </c>
      <c r="J483">
        <f t="shared" si="34"/>
        <v>43</v>
      </c>
      <c r="K483" s="1">
        <v>42</v>
      </c>
      <c r="L483" s="3">
        <v>7.1428571428571425E-2</v>
      </c>
      <c r="M483" s="3">
        <v>0</v>
      </c>
      <c r="N483" s="3">
        <v>0.9285714285714286</v>
      </c>
    </row>
    <row r="484" spans="1:14" hidden="1" x14ac:dyDescent="0.2">
      <c r="A484" t="s">
        <v>394</v>
      </c>
      <c r="B484" t="s">
        <v>562</v>
      </c>
      <c r="C484">
        <v>115</v>
      </c>
      <c r="D484">
        <v>1</v>
      </c>
      <c r="E484">
        <v>4</v>
      </c>
      <c r="F484">
        <v>206</v>
      </c>
      <c r="G484">
        <v>0</v>
      </c>
      <c r="H484">
        <v>0</v>
      </c>
      <c r="I484">
        <v>11</v>
      </c>
      <c r="J484">
        <f t="shared" si="34"/>
        <v>337</v>
      </c>
      <c r="K484" s="1">
        <v>326</v>
      </c>
      <c r="L484" s="3">
        <v>0.35276073619631904</v>
      </c>
      <c r="M484" s="3">
        <v>1.2269938650306749E-2</v>
      </c>
      <c r="N484" s="3">
        <v>0.63190184049079756</v>
      </c>
    </row>
    <row r="485" spans="1:14" hidden="1" x14ac:dyDescent="0.2">
      <c r="A485" t="s">
        <v>394</v>
      </c>
      <c r="B485" t="s">
        <v>409</v>
      </c>
      <c r="C485">
        <v>275</v>
      </c>
      <c r="D485">
        <v>4</v>
      </c>
      <c r="E485">
        <v>5</v>
      </c>
      <c r="F485">
        <v>560</v>
      </c>
      <c r="G485">
        <v>4</v>
      </c>
      <c r="H485">
        <v>0</v>
      </c>
      <c r="I485">
        <v>7</v>
      </c>
      <c r="J485">
        <f t="shared" si="34"/>
        <v>855</v>
      </c>
      <c r="K485" s="1">
        <v>848</v>
      </c>
      <c r="L485" s="3">
        <v>0.3242924528301887</v>
      </c>
      <c r="M485" s="3">
        <v>5.89622641509434E-3</v>
      </c>
      <c r="N485" s="3">
        <v>0.660377358490566</v>
      </c>
    </row>
    <row r="486" spans="1:14" hidden="1" x14ac:dyDescent="0.2">
      <c r="A486" t="s">
        <v>394</v>
      </c>
      <c r="B486" t="s">
        <v>410</v>
      </c>
      <c r="C486">
        <v>478</v>
      </c>
      <c r="D486">
        <v>6</v>
      </c>
      <c r="E486">
        <v>11</v>
      </c>
      <c r="F486">
        <v>327</v>
      </c>
      <c r="G486">
        <v>8</v>
      </c>
      <c r="H486">
        <v>0</v>
      </c>
      <c r="I486">
        <v>13</v>
      </c>
      <c r="J486">
        <f t="shared" si="34"/>
        <v>843</v>
      </c>
      <c r="K486" s="1">
        <v>830</v>
      </c>
      <c r="L486" s="3">
        <v>0.57590361445783134</v>
      </c>
      <c r="M486" s="3">
        <v>1.3253012048192771E-2</v>
      </c>
      <c r="N486" s="3">
        <v>0.39397590361445783</v>
      </c>
    </row>
    <row r="487" spans="1:14" ht="16" hidden="1" x14ac:dyDescent="0.2">
      <c r="A487" t="s">
        <v>394</v>
      </c>
      <c r="B487" s="2" t="s">
        <v>411</v>
      </c>
      <c r="C487">
        <v>32</v>
      </c>
      <c r="D487">
        <v>0</v>
      </c>
      <c r="E487">
        <v>2</v>
      </c>
      <c r="F487">
        <v>75</v>
      </c>
      <c r="G487">
        <v>0</v>
      </c>
      <c r="H487">
        <v>0</v>
      </c>
      <c r="I487">
        <v>0</v>
      </c>
      <c r="J487">
        <f t="shared" si="34"/>
        <v>109</v>
      </c>
      <c r="K487" s="1">
        <v>109</v>
      </c>
      <c r="L487" s="3">
        <v>0.29357798165137616</v>
      </c>
      <c r="M487" s="3">
        <v>1.834862385321101E-2</v>
      </c>
      <c r="N487" s="3">
        <v>0.68807339449541283</v>
      </c>
    </row>
    <row r="488" spans="1:14" hidden="1" x14ac:dyDescent="0.2">
      <c r="A488" t="s">
        <v>394</v>
      </c>
      <c r="B488" t="s">
        <v>551</v>
      </c>
      <c r="C488">
        <v>5</v>
      </c>
      <c r="D488">
        <v>0</v>
      </c>
      <c r="E488">
        <v>0</v>
      </c>
      <c r="F488">
        <v>9</v>
      </c>
      <c r="G488">
        <v>0</v>
      </c>
      <c r="H488">
        <v>0</v>
      </c>
      <c r="I488">
        <v>1</v>
      </c>
      <c r="J488">
        <f t="shared" si="34"/>
        <v>15</v>
      </c>
      <c r="K488" s="1">
        <v>14</v>
      </c>
      <c r="L488" s="3">
        <v>0.35714285714285715</v>
      </c>
      <c r="M488" s="3">
        <v>0</v>
      </c>
      <c r="N488" s="3">
        <v>0.6428571428571429</v>
      </c>
    </row>
    <row r="489" spans="1:14" hidden="1" x14ac:dyDescent="0.2">
      <c r="A489" t="s">
        <v>394</v>
      </c>
      <c r="B489" t="s">
        <v>412</v>
      </c>
      <c r="C489">
        <v>155</v>
      </c>
      <c r="D489">
        <v>1</v>
      </c>
      <c r="E489">
        <v>8</v>
      </c>
      <c r="F489">
        <v>384</v>
      </c>
      <c r="G489">
        <v>0</v>
      </c>
      <c r="H489">
        <v>0</v>
      </c>
      <c r="I489">
        <v>11</v>
      </c>
      <c r="J489">
        <f t="shared" si="34"/>
        <v>559</v>
      </c>
      <c r="K489" s="1">
        <v>548</v>
      </c>
      <c r="L489" s="3">
        <v>0.28284671532846717</v>
      </c>
      <c r="M489" s="3">
        <v>1.4598540145985401E-2</v>
      </c>
      <c r="N489" s="3">
        <v>0.7007299270072993</v>
      </c>
    </row>
    <row r="490" spans="1:14" hidden="1" x14ac:dyDescent="0.2">
      <c r="A490" t="s">
        <v>394</v>
      </c>
      <c r="B490" t="s">
        <v>413</v>
      </c>
      <c r="C490">
        <v>182</v>
      </c>
      <c r="D490">
        <v>0</v>
      </c>
      <c r="E490">
        <v>2</v>
      </c>
      <c r="F490">
        <v>88</v>
      </c>
      <c r="G490">
        <v>0</v>
      </c>
      <c r="H490">
        <v>0</v>
      </c>
      <c r="I490">
        <v>7</v>
      </c>
      <c r="J490">
        <f t="shared" si="34"/>
        <v>279</v>
      </c>
      <c r="K490" s="1">
        <v>272</v>
      </c>
      <c r="L490" s="3">
        <v>0.66911764705882348</v>
      </c>
      <c r="M490" s="3">
        <v>7.3529411764705881E-3</v>
      </c>
      <c r="N490" s="3">
        <v>0.3235294117647059</v>
      </c>
    </row>
    <row r="491" spans="1:14" hidden="1" x14ac:dyDescent="0.2">
      <c r="A491" t="s">
        <v>394</v>
      </c>
      <c r="B491" t="s">
        <v>414</v>
      </c>
      <c r="C491">
        <v>114</v>
      </c>
      <c r="D491">
        <v>2</v>
      </c>
      <c r="E491">
        <v>2</v>
      </c>
      <c r="F491">
        <v>236</v>
      </c>
      <c r="G491">
        <v>0</v>
      </c>
      <c r="H491">
        <v>0</v>
      </c>
      <c r="I491">
        <v>2</v>
      </c>
      <c r="J491">
        <f t="shared" si="34"/>
        <v>356</v>
      </c>
      <c r="K491" s="1">
        <v>354</v>
      </c>
      <c r="L491" s="3">
        <v>0.32203389830508472</v>
      </c>
      <c r="M491" s="3">
        <v>5.6497175141242938E-3</v>
      </c>
      <c r="N491" s="3">
        <v>0.66666666666666663</v>
      </c>
    </row>
    <row r="492" spans="1:14" hidden="1" x14ac:dyDescent="0.2">
      <c r="A492" t="s">
        <v>394</v>
      </c>
      <c r="B492" t="s">
        <v>415</v>
      </c>
      <c r="C492">
        <v>242</v>
      </c>
      <c r="D492">
        <v>2</v>
      </c>
      <c r="E492">
        <v>2</v>
      </c>
      <c r="F492">
        <v>525</v>
      </c>
      <c r="G492">
        <v>0</v>
      </c>
      <c r="H492">
        <v>0</v>
      </c>
      <c r="I492">
        <v>6</v>
      </c>
      <c r="J492">
        <f t="shared" si="34"/>
        <v>777</v>
      </c>
      <c r="K492" s="1">
        <v>771</v>
      </c>
      <c r="L492" s="3">
        <v>0.31387808041504539</v>
      </c>
      <c r="M492" s="3">
        <v>2.5940337224383916E-3</v>
      </c>
      <c r="N492" s="3">
        <v>0.68093385214007784</v>
      </c>
    </row>
    <row r="493" spans="1:14" hidden="1" x14ac:dyDescent="0.2">
      <c r="A493" t="s">
        <v>394</v>
      </c>
      <c r="B493" t="s">
        <v>416</v>
      </c>
      <c r="C493">
        <v>480</v>
      </c>
      <c r="D493">
        <v>4</v>
      </c>
      <c r="E493">
        <v>11</v>
      </c>
      <c r="F493">
        <v>409</v>
      </c>
      <c r="G493">
        <v>2</v>
      </c>
      <c r="H493">
        <v>1</v>
      </c>
      <c r="I493">
        <v>9</v>
      </c>
      <c r="J493">
        <f t="shared" si="34"/>
        <v>916</v>
      </c>
      <c r="K493" s="1">
        <v>907</v>
      </c>
      <c r="L493" s="3">
        <v>0.52921719955898572</v>
      </c>
      <c r="M493" s="3">
        <v>1.2127894156560088E-2</v>
      </c>
      <c r="N493" s="3">
        <v>0.45093715545755236</v>
      </c>
    </row>
    <row r="494" spans="1:14" hidden="1" x14ac:dyDescent="0.2">
      <c r="A494" t="s">
        <v>394</v>
      </c>
      <c r="B494" t="s">
        <v>417</v>
      </c>
      <c r="C494">
        <v>406</v>
      </c>
      <c r="D494">
        <v>10</v>
      </c>
      <c r="E494">
        <v>12</v>
      </c>
      <c r="F494">
        <v>514</v>
      </c>
      <c r="G494">
        <v>7</v>
      </c>
      <c r="H494">
        <v>0</v>
      </c>
      <c r="I494">
        <v>19</v>
      </c>
      <c r="J494">
        <f t="shared" si="34"/>
        <v>968</v>
      </c>
      <c r="K494" s="1">
        <v>949</v>
      </c>
      <c r="L494" s="3">
        <v>0.42781875658587987</v>
      </c>
      <c r="M494" s="3">
        <v>1.2644889357218124E-2</v>
      </c>
      <c r="N494" s="3">
        <v>0.54162276080084304</v>
      </c>
    </row>
    <row r="495" spans="1:14" hidden="1" x14ac:dyDescent="0.2">
      <c r="A495" t="s">
        <v>394</v>
      </c>
      <c r="B495" t="s">
        <v>418</v>
      </c>
      <c r="C495">
        <v>215</v>
      </c>
      <c r="D495">
        <v>1</v>
      </c>
      <c r="E495">
        <v>4</v>
      </c>
      <c r="F495">
        <v>351</v>
      </c>
      <c r="G495">
        <v>2</v>
      </c>
      <c r="H495">
        <v>0</v>
      </c>
      <c r="I495">
        <v>15</v>
      </c>
      <c r="J495">
        <f t="shared" si="34"/>
        <v>588</v>
      </c>
      <c r="K495" s="1">
        <v>573</v>
      </c>
      <c r="L495" s="3">
        <v>0.37521815008726006</v>
      </c>
      <c r="M495" s="3">
        <v>6.9808027923211171E-3</v>
      </c>
      <c r="N495" s="3">
        <v>0.61256544502617805</v>
      </c>
    </row>
    <row r="496" spans="1:14" hidden="1" x14ac:dyDescent="0.2">
      <c r="A496" t="s">
        <v>394</v>
      </c>
      <c r="B496" t="s">
        <v>419</v>
      </c>
      <c r="C496">
        <v>110</v>
      </c>
      <c r="D496">
        <v>2</v>
      </c>
      <c r="E496">
        <v>3</v>
      </c>
      <c r="F496">
        <v>224</v>
      </c>
      <c r="G496">
        <v>1</v>
      </c>
      <c r="H496">
        <v>0</v>
      </c>
      <c r="I496">
        <v>2</v>
      </c>
      <c r="J496">
        <f t="shared" si="34"/>
        <v>342</v>
      </c>
      <c r="K496" s="1">
        <v>340</v>
      </c>
      <c r="L496" s="3">
        <v>0.3235294117647059</v>
      </c>
      <c r="M496" s="3">
        <v>8.8235294117647058E-3</v>
      </c>
      <c r="N496" s="3">
        <v>0.6588235294117647</v>
      </c>
    </row>
    <row r="497" spans="1:14" hidden="1" x14ac:dyDescent="0.2">
      <c r="A497" t="s">
        <v>394</v>
      </c>
      <c r="B497" t="s">
        <v>420</v>
      </c>
      <c r="C497">
        <v>35</v>
      </c>
      <c r="D497">
        <v>0</v>
      </c>
      <c r="E497">
        <v>0</v>
      </c>
      <c r="F497">
        <v>69</v>
      </c>
      <c r="G497">
        <v>1</v>
      </c>
      <c r="H497">
        <v>0</v>
      </c>
      <c r="I497">
        <v>0</v>
      </c>
      <c r="J497">
        <f t="shared" ref="J497:J514" si="35">SUM(C497:I497)</f>
        <v>105</v>
      </c>
      <c r="K497" s="1">
        <v>105</v>
      </c>
      <c r="L497" s="3">
        <v>0.33333333333333331</v>
      </c>
      <c r="M497" s="3">
        <v>0</v>
      </c>
      <c r="N497" s="3">
        <v>0.65714285714285714</v>
      </c>
    </row>
    <row r="498" spans="1:14" hidden="1" x14ac:dyDescent="0.2">
      <c r="A498" t="s">
        <v>394</v>
      </c>
      <c r="B498" t="s">
        <v>556</v>
      </c>
      <c r="C498">
        <v>311</v>
      </c>
      <c r="D498">
        <v>4</v>
      </c>
      <c r="E498">
        <v>5</v>
      </c>
      <c r="F498">
        <v>456</v>
      </c>
      <c r="G498">
        <v>0</v>
      </c>
      <c r="H498">
        <v>4</v>
      </c>
      <c r="I498">
        <v>13</v>
      </c>
      <c r="J498">
        <f t="shared" si="35"/>
        <v>793</v>
      </c>
      <c r="K498" s="1">
        <v>780</v>
      </c>
      <c r="L498" s="3">
        <v>0.39871794871794874</v>
      </c>
      <c r="M498" s="3">
        <v>6.41025641025641E-3</v>
      </c>
      <c r="N498" s="3">
        <v>0.58461538461538465</v>
      </c>
    </row>
    <row r="499" spans="1:14" hidden="1" x14ac:dyDescent="0.2">
      <c r="A499" t="s">
        <v>394</v>
      </c>
      <c r="B499" t="s">
        <v>421</v>
      </c>
      <c r="C499">
        <v>44</v>
      </c>
      <c r="D499">
        <v>1</v>
      </c>
      <c r="E499">
        <v>1</v>
      </c>
      <c r="F499">
        <v>88</v>
      </c>
      <c r="G499">
        <v>0</v>
      </c>
      <c r="H499">
        <v>0</v>
      </c>
      <c r="I499">
        <v>1</v>
      </c>
      <c r="J499">
        <f t="shared" si="35"/>
        <v>135</v>
      </c>
      <c r="K499" s="1">
        <v>134</v>
      </c>
      <c r="L499" s="3">
        <v>0.32835820895522388</v>
      </c>
      <c r="M499" s="3">
        <v>7.462686567164179E-3</v>
      </c>
      <c r="N499" s="3">
        <v>0.65671641791044777</v>
      </c>
    </row>
    <row r="500" spans="1:14" hidden="1" x14ac:dyDescent="0.2">
      <c r="A500" t="s">
        <v>394</v>
      </c>
      <c r="B500" t="s">
        <v>422</v>
      </c>
      <c r="C500">
        <v>204</v>
      </c>
      <c r="D500">
        <v>1</v>
      </c>
      <c r="E500">
        <v>6</v>
      </c>
      <c r="F500">
        <v>289</v>
      </c>
      <c r="G500">
        <v>0</v>
      </c>
      <c r="H500">
        <v>2</v>
      </c>
      <c r="I500">
        <v>4</v>
      </c>
      <c r="J500">
        <f t="shared" si="35"/>
        <v>506</v>
      </c>
      <c r="K500" s="1">
        <v>502</v>
      </c>
      <c r="L500" s="3">
        <v>0.4063745019920319</v>
      </c>
      <c r="M500" s="3">
        <v>1.1952191235059761E-2</v>
      </c>
      <c r="N500" s="3">
        <v>0.57569721115537853</v>
      </c>
    </row>
    <row r="501" spans="1:14" hidden="1" x14ac:dyDescent="0.2">
      <c r="A501" t="s">
        <v>394</v>
      </c>
      <c r="B501" t="s">
        <v>423</v>
      </c>
      <c r="C501">
        <v>205</v>
      </c>
      <c r="D501">
        <v>1</v>
      </c>
      <c r="E501">
        <v>3</v>
      </c>
      <c r="F501">
        <v>298</v>
      </c>
      <c r="G501">
        <v>0</v>
      </c>
      <c r="H501">
        <v>0</v>
      </c>
      <c r="I501">
        <v>8</v>
      </c>
      <c r="J501">
        <f t="shared" si="35"/>
        <v>515</v>
      </c>
      <c r="K501" s="1">
        <v>507</v>
      </c>
      <c r="L501" s="3">
        <v>0.40433925049309666</v>
      </c>
      <c r="M501" s="3">
        <v>5.9171597633136093E-3</v>
      </c>
      <c r="N501" s="3">
        <v>0.58777120315581854</v>
      </c>
    </row>
    <row r="502" spans="1:14" hidden="1" x14ac:dyDescent="0.2">
      <c r="A502" t="s">
        <v>394</v>
      </c>
      <c r="B502" t="s">
        <v>424</v>
      </c>
      <c r="C502">
        <v>181</v>
      </c>
      <c r="D502">
        <v>0</v>
      </c>
      <c r="E502">
        <v>2</v>
      </c>
      <c r="F502">
        <v>63</v>
      </c>
      <c r="G502">
        <v>0</v>
      </c>
      <c r="H502">
        <v>0</v>
      </c>
      <c r="I502">
        <v>6</v>
      </c>
      <c r="J502">
        <f t="shared" si="35"/>
        <v>252</v>
      </c>
      <c r="K502" s="1">
        <v>246</v>
      </c>
      <c r="L502" s="3">
        <v>0.73577235772357719</v>
      </c>
      <c r="M502" s="3">
        <v>8.130081300813009E-3</v>
      </c>
      <c r="N502" s="3">
        <v>0.25609756097560976</v>
      </c>
    </row>
    <row r="503" spans="1:14" hidden="1" x14ac:dyDescent="0.2">
      <c r="A503" t="s">
        <v>394</v>
      </c>
      <c r="B503" t="s">
        <v>554</v>
      </c>
      <c r="C503">
        <v>122</v>
      </c>
      <c r="D503">
        <v>0</v>
      </c>
      <c r="E503">
        <v>0</v>
      </c>
      <c r="F503">
        <v>361</v>
      </c>
      <c r="G503">
        <v>3</v>
      </c>
      <c r="H503">
        <v>0</v>
      </c>
      <c r="I503">
        <v>9</v>
      </c>
      <c r="J503">
        <f t="shared" si="35"/>
        <v>495</v>
      </c>
      <c r="K503" s="1">
        <v>486</v>
      </c>
      <c r="L503" s="3">
        <v>0.25102880658436216</v>
      </c>
      <c r="M503" s="3">
        <v>0</v>
      </c>
      <c r="N503" s="3">
        <v>0.74279835390946503</v>
      </c>
    </row>
    <row r="504" spans="1:14" hidden="1" x14ac:dyDescent="0.2">
      <c r="A504" t="s">
        <v>394</v>
      </c>
      <c r="B504" t="s">
        <v>425</v>
      </c>
      <c r="C504">
        <v>118</v>
      </c>
      <c r="D504">
        <v>2</v>
      </c>
      <c r="E504">
        <v>5</v>
      </c>
      <c r="F504">
        <v>239</v>
      </c>
      <c r="G504">
        <v>0</v>
      </c>
      <c r="H504">
        <v>0</v>
      </c>
      <c r="I504">
        <v>6</v>
      </c>
      <c r="J504">
        <f t="shared" si="35"/>
        <v>370</v>
      </c>
      <c r="K504" s="1">
        <v>364</v>
      </c>
      <c r="L504" s="3">
        <v>0.32417582417582419</v>
      </c>
      <c r="M504" s="3">
        <v>1.3736263736263736E-2</v>
      </c>
      <c r="N504" s="3">
        <v>0.65659340659340659</v>
      </c>
    </row>
    <row r="505" spans="1:14" hidden="1" x14ac:dyDescent="0.2">
      <c r="A505" t="s">
        <v>394</v>
      </c>
      <c r="B505" t="s">
        <v>426</v>
      </c>
      <c r="C505">
        <v>108</v>
      </c>
      <c r="D505">
        <v>0</v>
      </c>
      <c r="E505">
        <v>3</v>
      </c>
      <c r="F505">
        <v>99</v>
      </c>
      <c r="G505">
        <v>0</v>
      </c>
      <c r="H505">
        <v>0</v>
      </c>
      <c r="I505">
        <v>3</v>
      </c>
      <c r="J505">
        <f t="shared" si="35"/>
        <v>213</v>
      </c>
      <c r="K505" s="1">
        <v>210</v>
      </c>
      <c r="L505" s="3">
        <v>0.51428571428571423</v>
      </c>
      <c r="M505" s="3">
        <v>1.4285714285714285E-2</v>
      </c>
      <c r="N505" s="3">
        <v>0.47142857142857142</v>
      </c>
    </row>
    <row r="506" spans="1:14" hidden="1" x14ac:dyDescent="0.2">
      <c r="A506" t="s">
        <v>394</v>
      </c>
      <c r="B506" t="s">
        <v>552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f t="shared" si="35"/>
        <v>1</v>
      </c>
      <c r="K506" s="1">
        <v>1</v>
      </c>
      <c r="L506" s="3">
        <v>0</v>
      </c>
      <c r="M506" s="3">
        <v>0</v>
      </c>
      <c r="N506" s="3">
        <v>1</v>
      </c>
    </row>
    <row r="507" spans="1:14" hidden="1" x14ac:dyDescent="0.2">
      <c r="A507" t="s">
        <v>394</v>
      </c>
      <c r="B507" t="s">
        <v>557</v>
      </c>
      <c r="C507">
        <v>271</v>
      </c>
      <c r="D507">
        <v>5</v>
      </c>
      <c r="E507">
        <v>6</v>
      </c>
      <c r="F507">
        <v>458</v>
      </c>
      <c r="G507">
        <v>2</v>
      </c>
      <c r="H507">
        <v>0</v>
      </c>
      <c r="I507">
        <v>4</v>
      </c>
      <c r="J507">
        <f t="shared" si="35"/>
        <v>746</v>
      </c>
      <c r="K507" s="1">
        <v>742</v>
      </c>
      <c r="L507" s="3">
        <v>0.36522911051212936</v>
      </c>
      <c r="M507" s="3">
        <v>8.0862533692722376E-3</v>
      </c>
      <c r="N507" s="3">
        <v>0.61725067385444743</v>
      </c>
    </row>
    <row r="508" spans="1:14" hidden="1" x14ac:dyDescent="0.2">
      <c r="A508" t="s">
        <v>394</v>
      </c>
      <c r="B508" t="s">
        <v>427</v>
      </c>
      <c r="C508">
        <v>8</v>
      </c>
      <c r="D508">
        <v>1</v>
      </c>
      <c r="E508">
        <v>0</v>
      </c>
      <c r="F508">
        <v>27</v>
      </c>
      <c r="G508">
        <v>0</v>
      </c>
      <c r="H508">
        <v>0</v>
      </c>
      <c r="I508">
        <v>1</v>
      </c>
      <c r="J508">
        <f t="shared" si="35"/>
        <v>37</v>
      </c>
      <c r="K508" s="1">
        <v>36</v>
      </c>
      <c r="L508" s="3">
        <v>0.22222222222222221</v>
      </c>
      <c r="M508" s="3">
        <v>0</v>
      </c>
      <c r="N508" s="3">
        <v>0.75</v>
      </c>
    </row>
    <row r="509" spans="1:14" hidden="1" x14ac:dyDescent="0.2">
      <c r="A509" t="s">
        <v>394</v>
      </c>
      <c r="B509" t="s">
        <v>553</v>
      </c>
      <c r="C509">
        <v>20</v>
      </c>
      <c r="D509">
        <v>1</v>
      </c>
      <c r="E509">
        <v>1</v>
      </c>
      <c r="F509">
        <v>101</v>
      </c>
      <c r="G509">
        <v>0</v>
      </c>
      <c r="H509">
        <v>0</v>
      </c>
      <c r="I509">
        <v>1</v>
      </c>
      <c r="J509">
        <f t="shared" si="35"/>
        <v>124</v>
      </c>
      <c r="K509" s="1">
        <v>123</v>
      </c>
      <c r="L509" s="3">
        <v>0.16260162601626016</v>
      </c>
      <c r="M509" s="3">
        <v>8.130081300813009E-3</v>
      </c>
      <c r="N509" s="3">
        <v>0.82113821138211385</v>
      </c>
    </row>
    <row r="510" spans="1:14" hidden="1" x14ac:dyDescent="0.2">
      <c r="A510" t="s">
        <v>394</v>
      </c>
      <c r="B510" t="s">
        <v>428</v>
      </c>
      <c r="C510">
        <v>32</v>
      </c>
      <c r="D510">
        <v>0</v>
      </c>
      <c r="E510">
        <v>0</v>
      </c>
      <c r="F510">
        <v>55</v>
      </c>
      <c r="G510">
        <v>0</v>
      </c>
      <c r="H510">
        <v>0</v>
      </c>
      <c r="I510">
        <v>1</v>
      </c>
      <c r="J510">
        <f t="shared" si="35"/>
        <v>88</v>
      </c>
      <c r="K510" s="1">
        <v>87</v>
      </c>
      <c r="L510" s="3">
        <v>0.36781609195402298</v>
      </c>
      <c r="M510" s="3">
        <v>0</v>
      </c>
      <c r="N510" s="3">
        <v>0.63218390804597702</v>
      </c>
    </row>
    <row r="511" spans="1:14" hidden="1" x14ac:dyDescent="0.2">
      <c r="A511" t="s">
        <v>394</v>
      </c>
      <c r="B511" t="s">
        <v>429</v>
      </c>
      <c r="C511">
        <v>15</v>
      </c>
      <c r="D511">
        <v>1</v>
      </c>
      <c r="E511">
        <v>0</v>
      </c>
      <c r="F511">
        <v>33</v>
      </c>
      <c r="G511">
        <v>0</v>
      </c>
      <c r="H511">
        <v>0</v>
      </c>
      <c r="I511">
        <v>2</v>
      </c>
      <c r="J511">
        <f t="shared" si="35"/>
        <v>51</v>
      </c>
      <c r="K511" s="1">
        <v>49</v>
      </c>
      <c r="L511" s="3">
        <v>0.30612244897959184</v>
      </c>
      <c r="M511" s="3">
        <v>0</v>
      </c>
      <c r="N511" s="3">
        <v>0.67346938775510201</v>
      </c>
    </row>
    <row r="512" spans="1:14" hidden="1" x14ac:dyDescent="0.2">
      <c r="A512" t="s">
        <v>394</v>
      </c>
      <c r="B512" t="s">
        <v>430</v>
      </c>
      <c r="C512">
        <v>25</v>
      </c>
      <c r="D512">
        <v>0</v>
      </c>
      <c r="E512">
        <v>0</v>
      </c>
      <c r="F512">
        <v>72</v>
      </c>
      <c r="G512">
        <v>0</v>
      </c>
      <c r="H512">
        <v>0</v>
      </c>
      <c r="I512">
        <v>1</v>
      </c>
      <c r="J512">
        <f t="shared" si="35"/>
        <v>98</v>
      </c>
      <c r="K512" s="1">
        <v>97</v>
      </c>
      <c r="L512" s="3">
        <v>0.25773195876288657</v>
      </c>
      <c r="M512" s="3">
        <v>0</v>
      </c>
      <c r="N512" s="3">
        <v>0.74226804123711343</v>
      </c>
    </row>
    <row r="513" spans="1:14" hidden="1" x14ac:dyDescent="0.2">
      <c r="A513" t="s">
        <v>394</v>
      </c>
      <c r="B513" t="s">
        <v>431</v>
      </c>
      <c r="C513">
        <v>145</v>
      </c>
      <c r="D513">
        <v>3</v>
      </c>
      <c r="E513">
        <v>5</v>
      </c>
      <c r="F513">
        <v>228</v>
      </c>
      <c r="G513">
        <v>0</v>
      </c>
      <c r="H513">
        <v>0</v>
      </c>
      <c r="I513">
        <v>7</v>
      </c>
      <c r="J513">
        <f t="shared" si="35"/>
        <v>388</v>
      </c>
      <c r="K513" s="1">
        <v>381</v>
      </c>
      <c r="L513" s="3">
        <v>0.38057742782152232</v>
      </c>
      <c r="M513" s="3">
        <v>1.3123359580052493E-2</v>
      </c>
      <c r="N513" s="3">
        <v>0.59842519685039375</v>
      </c>
    </row>
    <row r="514" spans="1:14" hidden="1" x14ac:dyDescent="0.2">
      <c r="A514" t="s">
        <v>394</v>
      </c>
      <c r="B514" t="s">
        <v>432</v>
      </c>
      <c r="C514">
        <v>45</v>
      </c>
      <c r="D514">
        <v>0</v>
      </c>
      <c r="E514">
        <v>6</v>
      </c>
      <c r="F514">
        <v>66</v>
      </c>
      <c r="G514">
        <v>0</v>
      </c>
      <c r="H514">
        <v>0</v>
      </c>
      <c r="I514">
        <v>1</v>
      </c>
      <c r="J514">
        <f t="shared" si="35"/>
        <v>118</v>
      </c>
      <c r="K514" s="1">
        <v>117</v>
      </c>
      <c r="L514" s="3">
        <v>0.38461538461538464</v>
      </c>
      <c r="M514" s="3">
        <v>5.128205128205128E-2</v>
      </c>
      <c r="N514" s="3">
        <v>0.5641025641025641</v>
      </c>
    </row>
    <row r="515" spans="1:14" s="1" customFormat="1" x14ac:dyDescent="0.2">
      <c r="A515" s="1" t="s">
        <v>394</v>
      </c>
      <c r="B515" s="1" t="s">
        <v>497</v>
      </c>
      <c r="C515" s="1">
        <f t="shared" ref="C515:J515" si="36">SUM(C465:C514)</f>
        <v>6763</v>
      </c>
      <c r="D515" s="1">
        <f t="shared" si="36"/>
        <v>82</v>
      </c>
      <c r="E515" s="1">
        <f t="shared" si="36"/>
        <v>148</v>
      </c>
      <c r="F515" s="1">
        <f t="shared" si="36"/>
        <v>11001</v>
      </c>
      <c r="G515" s="1">
        <f t="shared" si="36"/>
        <v>43</v>
      </c>
      <c r="H515" s="1">
        <f t="shared" si="36"/>
        <v>9</v>
      </c>
      <c r="I515" s="1">
        <f t="shared" si="36"/>
        <v>265</v>
      </c>
      <c r="J515" s="1">
        <f t="shared" si="36"/>
        <v>18311</v>
      </c>
      <c r="K515" s="1">
        <v>18046</v>
      </c>
      <c r="L515" s="3">
        <v>0.37476449074587165</v>
      </c>
      <c r="M515" s="3">
        <v>8.2012634378809714E-3</v>
      </c>
      <c r="N515" s="3">
        <v>0.60960877756843623</v>
      </c>
    </row>
    <row r="516" spans="1:14" hidden="1" x14ac:dyDescent="0.2">
      <c r="K516" s="1">
        <v>0</v>
      </c>
      <c r="L516" s="3" t="e">
        <v>#DIV/0!</v>
      </c>
      <c r="M516" s="3" t="e">
        <v>#DIV/0!</v>
      </c>
      <c r="N516" s="3" t="e">
        <v>#DIV/0!</v>
      </c>
    </row>
    <row r="517" spans="1:14" hidden="1" x14ac:dyDescent="0.2">
      <c r="A517" t="s">
        <v>433</v>
      </c>
      <c r="B517" t="s">
        <v>434</v>
      </c>
      <c r="C517">
        <v>700</v>
      </c>
      <c r="D517">
        <v>17</v>
      </c>
      <c r="E517">
        <v>11</v>
      </c>
      <c r="F517">
        <v>1006</v>
      </c>
      <c r="G517">
        <v>3</v>
      </c>
      <c r="H517">
        <v>0</v>
      </c>
      <c r="I517">
        <v>26</v>
      </c>
      <c r="J517">
        <f t="shared" ref="J517:J540" si="37">SUM(C517:I517)</f>
        <v>1763</v>
      </c>
      <c r="K517" s="1">
        <v>1737</v>
      </c>
      <c r="L517" s="3">
        <v>0.4029936672423719</v>
      </c>
      <c r="M517" s="3">
        <v>6.3327576280944155E-3</v>
      </c>
      <c r="N517" s="3">
        <v>0.57915947035118021</v>
      </c>
    </row>
    <row r="518" spans="1:14" hidden="1" x14ac:dyDescent="0.2">
      <c r="A518" t="s">
        <v>433</v>
      </c>
      <c r="B518" t="s">
        <v>435</v>
      </c>
      <c r="C518">
        <v>981</v>
      </c>
      <c r="D518">
        <v>13</v>
      </c>
      <c r="E518">
        <v>17</v>
      </c>
      <c r="F518">
        <v>1031</v>
      </c>
      <c r="G518">
        <v>8</v>
      </c>
      <c r="H518">
        <v>0</v>
      </c>
      <c r="I518">
        <v>26</v>
      </c>
      <c r="J518">
        <f t="shared" si="37"/>
        <v>2076</v>
      </c>
      <c r="K518" s="1">
        <v>2050</v>
      </c>
      <c r="L518" s="3">
        <v>0.47853658536585364</v>
      </c>
      <c r="M518" s="3">
        <v>8.2926829268292687E-3</v>
      </c>
      <c r="N518" s="3">
        <v>0.50292682926829269</v>
      </c>
    </row>
    <row r="519" spans="1:14" hidden="1" x14ac:dyDescent="0.2">
      <c r="A519" t="s">
        <v>433</v>
      </c>
      <c r="B519" t="s">
        <v>436</v>
      </c>
      <c r="C519">
        <v>1378</v>
      </c>
      <c r="D519">
        <v>22</v>
      </c>
      <c r="E519">
        <v>22</v>
      </c>
      <c r="F519">
        <v>1452</v>
      </c>
      <c r="G519">
        <v>5</v>
      </c>
      <c r="H519">
        <v>2</v>
      </c>
      <c r="I519">
        <v>36</v>
      </c>
      <c r="J519">
        <f t="shared" si="37"/>
        <v>2917</v>
      </c>
      <c r="K519" s="1">
        <v>2881</v>
      </c>
      <c r="L519" s="3">
        <v>0.47830614370010416</v>
      </c>
      <c r="M519" s="3">
        <v>7.6362374175633465E-3</v>
      </c>
      <c r="N519" s="3">
        <v>0.50399166955918084</v>
      </c>
    </row>
    <row r="520" spans="1:14" hidden="1" x14ac:dyDescent="0.2">
      <c r="A520" t="s">
        <v>433</v>
      </c>
      <c r="B520" t="s">
        <v>437</v>
      </c>
      <c r="C520">
        <v>2131</v>
      </c>
      <c r="D520">
        <v>37</v>
      </c>
      <c r="E520">
        <v>41</v>
      </c>
      <c r="F520">
        <v>2429</v>
      </c>
      <c r="G520">
        <v>15</v>
      </c>
      <c r="H520">
        <v>5</v>
      </c>
      <c r="I520">
        <v>55</v>
      </c>
      <c r="J520">
        <f t="shared" si="37"/>
        <v>4713</v>
      </c>
      <c r="K520" s="1">
        <v>4658</v>
      </c>
      <c r="L520" s="3">
        <v>0.45749248604551307</v>
      </c>
      <c r="M520" s="3">
        <v>8.802060970373551E-3</v>
      </c>
      <c r="N520" s="3">
        <v>0.521468441391155</v>
      </c>
    </row>
    <row r="521" spans="1:14" hidden="1" x14ac:dyDescent="0.2">
      <c r="A521" t="s">
        <v>433</v>
      </c>
      <c r="B521" t="s">
        <v>438</v>
      </c>
      <c r="C521">
        <v>7118</v>
      </c>
      <c r="D521">
        <v>54</v>
      </c>
      <c r="E521">
        <v>150</v>
      </c>
      <c r="F521">
        <v>4031</v>
      </c>
      <c r="G521">
        <v>38</v>
      </c>
      <c r="H521">
        <v>15</v>
      </c>
      <c r="I521">
        <v>135</v>
      </c>
      <c r="J521">
        <f t="shared" si="37"/>
        <v>11541</v>
      </c>
      <c r="K521" s="1">
        <v>11406</v>
      </c>
      <c r="L521" s="3">
        <v>0.62405751358933892</v>
      </c>
      <c r="M521" s="3">
        <v>1.3150973172014729E-2</v>
      </c>
      <c r="N521" s="3">
        <v>0.3534104857092758</v>
      </c>
    </row>
    <row r="522" spans="1:14" hidden="1" x14ac:dyDescent="0.2">
      <c r="A522" t="s">
        <v>433</v>
      </c>
      <c r="B522" t="s">
        <v>439</v>
      </c>
      <c r="C522">
        <v>2412</v>
      </c>
      <c r="D522">
        <v>48</v>
      </c>
      <c r="E522">
        <v>43</v>
      </c>
      <c r="F522">
        <v>2744</v>
      </c>
      <c r="G522">
        <v>11</v>
      </c>
      <c r="H522">
        <v>6</v>
      </c>
      <c r="I522">
        <v>72</v>
      </c>
      <c r="J522">
        <f t="shared" si="37"/>
        <v>5336</v>
      </c>
      <c r="K522" s="1">
        <v>5264</v>
      </c>
      <c r="L522" s="3">
        <v>0.4582066869300912</v>
      </c>
      <c r="M522" s="3">
        <v>8.1686930091185404E-3</v>
      </c>
      <c r="N522" s="3">
        <v>0.52127659574468088</v>
      </c>
    </row>
    <row r="523" spans="1:14" hidden="1" x14ac:dyDescent="0.2">
      <c r="A523" t="s">
        <v>433</v>
      </c>
      <c r="B523" t="s">
        <v>440</v>
      </c>
      <c r="C523">
        <v>437</v>
      </c>
      <c r="D523">
        <v>7</v>
      </c>
      <c r="E523">
        <v>12</v>
      </c>
      <c r="F523">
        <v>517</v>
      </c>
      <c r="G523">
        <v>1</v>
      </c>
      <c r="H523">
        <v>0</v>
      </c>
      <c r="I523">
        <v>6</v>
      </c>
      <c r="J523">
        <f t="shared" si="37"/>
        <v>980</v>
      </c>
      <c r="K523" s="1">
        <v>974</v>
      </c>
      <c r="L523" s="3">
        <v>0.44866529774127312</v>
      </c>
      <c r="M523" s="3">
        <v>1.2320328542094456E-2</v>
      </c>
      <c r="N523" s="3">
        <v>0.5308008213552361</v>
      </c>
    </row>
    <row r="524" spans="1:14" hidden="1" x14ac:dyDescent="0.2">
      <c r="A524" t="s">
        <v>433</v>
      </c>
      <c r="B524" t="s">
        <v>441</v>
      </c>
      <c r="C524">
        <v>624</v>
      </c>
      <c r="D524">
        <v>13</v>
      </c>
      <c r="E524">
        <v>10</v>
      </c>
      <c r="F524">
        <v>810</v>
      </c>
      <c r="G524">
        <v>4</v>
      </c>
      <c r="H524">
        <v>0</v>
      </c>
      <c r="I524">
        <v>19</v>
      </c>
      <c r="J524">
        <f t="shared" si="37"/>
        <v>1480</v>
      </c>
      <c r="K524" s="1">
        <v>1461</v>
      </c>
      <c r="L524" s="3">
        <v>0.4271047227926078</v>
      </c>
      <c r="M524" s="3">
        <v>6.8446269678302529E-3</v>
      </c>
      <c r="N524" s="3">
        <v>0.55441478439425051</v>
      </c>
    </row>
    <row r="525" spans="1:14" hidden="1" x14ac:dyDescent="0.2">
      <c r="A525" t="s">
        <v>433</v>
      </c>
      <c r="B525" t="s">
        <v>442</v>
      </c>
      <c r="C525">
        <v>2724</v>
      </c>
      <c r="D525">
        <v>30</v>
      </c>
      <c r="E525">
        <v>58</v>
      </c>
      <c r="F525">
        <v>1823</v>
      </c>
      <c r="G525">
        <v>11</v>
      </c>
      <c r="H525">
        <v>5</v>
      </c>
      <c r="I525">
        <v>53</v>
      </c>
      <c r="J525">
        <f t="shared" si="37"/>
        <v>4704</v>
      </c>
      <c r="K525" s="1">
        <v>4651</v>
      </c>
      <c r="L525" s="3">
        <v>0.58568049881745865</v>
      </c>
      <c r="M525" s="3">
        <v>1.2470436465276284E-2</v>
      </c>
      <c r="N525" s="3">
        <v>0.39195871855514941</v>
      </c>
    </row>
    <row r="526" spans="1:14" hidden="1" x14ac:dyDescent="0.2">
      <c r="A526" t="s">
        <v>433</v>
      </c>
      <c r="B526" t="s">
        <v>443</v>
      </c>
      <c r="C526">
        <v>1340</v>
      </c>
      <c r="D526">
        <v>25</v>
      </c>
      <c r="E526">
        <v>29</v>
      </c>
      <c r="F526">
        <v>1699</v>
      </c>
      <c r="G526">
        <v>8</v>
      </c>
      <c r="H526">
        <v>0</v>
      </c>
      <c r="I526">
        <v>35</v>
      </c>
      <c r="J526">
        <f t="shared" si="37"/>
        <v>3136</v>
      </c>
      <c r="K526" s="1">
        <v>3101</v>
      </c>
      <c r="L526" s="3">
        <v>0.43211867139632376</v>
      </c>
      <c r="M526" s="3">
        <v>9.3518219929055145E-3</v>
      </c>
      <c r="N526" s="3">
        <v>0.54788777813608514</v>
      </c>
    </row>
    <row r="527" spans="1:14" hidden="1" x14ac:dyDescent="0.2">
      <c r="A527" t="s">
        <v>433</v>
      </c>
      <c r="B527" t="s">
        <v>444</v>
      </c>
      <c r="C527">
        <v>5504</v>
      </c>
      <c r="D527">
        <v>52</v>
      </c>
      <c r="E527">
        <v>73</v>
      </c>
      <c r="F527">
        <v>2746</v>
      </c>
      <c r="G527">
        <v>20</v>
      </c>
      <c r="H527">
        <v>0</v>
      </c>
      <c r="I527">
        <v>130</v>
      </c>
      <c r="J527">
        <f t="shared" si="37"/>
        <v>8525</v>
      </c>
      <c r="K527" s="1">
        <v>8395</v>
      </c>
      <c r="L527" s="3">
        <v>0.65562835020845744</v>
      </c>
      <c r="M527" s="3">
        <v>8.6956521739130436E-3</v>
      </c>
      <c r="N527" s="3">
        <v>0.3270994639666468</v>
      </c>
    </row>
    <row r="528" spans="1:14" hidden="1" x14ac:dyDescent="0.2">
      <c r="A528" t="s">
        <v>433</v>
      </c>
      <c r="B528" t="s">
        <v>445</v>
      </c>
      <c r="C528">
        <v>1765</v>
      </c>
      <c r="D528">
        <v>13</v>
      </c>
      <c r="E528">
        <v>21</v>
      </c>
      <c r="F528">
        <v>963</v>
      </c>
      <c r="G528">
        <v>6</v>
      </c>
      <c r="H528">
        <v>0</v>
      </c>
      <c r="I528">
        <v>48</v>
      </c>
      <c r="J528">
        <f t="shared" si="37"/>
        <v>2816</v>
      </c>
      <c r="K528" s="1">
        <v>2768</v>
      </c>
      <c r="L528" s="3">
        <v>0.63764450867052025</v>
      </c>
      <c r="M528" s="3">
        <v>7.5867052023121384E-3</v>
      </c>
      <c r="N528" s="3">
        <v>0.34790462427745666</v>
      </c>
    </row>
    <row r="529" spans="1:14" hidden="1" x14ac:dyDescent="0.2">
      <c r="A529" t="s">
        <v>433</v>
      </c>
      <c r="B529" t="s">
        <v>446</v>
      </c>
      <c r="C529">
        <v>4534</v>
      </c>
      <c r="D529">
        <v>44</v>
      </c>
      <c r="E529">
        <v>69</v>
      </c>
      <c r="F529">
        <v>1822</v>
      </c>
      <c r="G529">
        <v>27</v>
      </c>
      <c r="H529">
        <v>9</v>
      </c>
      <c r="I529">
        <v>83</v>
      </c>
      <c r="J529">
        <f t="shared" si="37"/>
        <v>6588</v>
      </c>
      <c r="K529" s="1">
        <v>6505</v>
      </c>
      <c r="L529" s="3">
        <v>0.69700230591852419</v>
      </c>
      <c r="M529" s="3">
        <v>1.0607225211375864E-2</v>
      </c>
      <c r="N529" s="3">
        <v>0.2800922367409685</v>
      </c>
    </row>
    <row r="530" spans="1:14" hidden="1" x14ac:dyDescent="0.2">
      <c r="A530" t="s">
        <v>433</v>
      </c>
      <c r="B530" t="s">
        <v>447</v>
      </c>
      <c r="C530">
        <v>1157</v>
      </c>
      <c r="D530">
        <v>21</v>
      </c>
      <c r="E530">
        <v>27</v>
      </c>
      <c r="F530">
        <v>2360</v>
      </c>
      <c r="G530">
        <v>1</v>
      </c>
      <c r="H530">
        <v>3</v>
      </c>
      <c r="I530">
        <v>54</v>
      </c>
      <c r="J530">
        <f t="shared" si="37"/>
        <v>3623</v>
      </c>
      <c r="K530" s="1">
        <v>3569</v>
      </c>
      <c r="L530" s="3">
        <v>0.32418044270103669</v>
      </c>
      <c r="M530" s="3">
        <v>7.5651442981227238E-3</v>
      </c>
      <c r="N530" s="3">
        <v>0.66124964976183809</v>
      </c>
    </row>
    <row r="531" spans="1:14" hidden="1" x14ac:dyDescent="0.2">
      <c r="A531" t="s">
        <v>433</v>
      </c>
      <c r="B531" t="s">
        <v>448</v>
      </c>
      <c r="C531">
        <v>849</v>
      </c>
      <c r="D531">
        <v>16</v>
      </c>
      <c r="E531">
        <v>28</v>
      </c>
      <c r="F531">
        <v>1138</v>
      </c>
      <c r="G531">
        <v>6</v>
      </c>
      <c r="H531">
        <v>0</v>
      </c>
      <c r="I531">
        <v>33</v>
      </c>
      <c r="J531">
        <f t="shared" si="37"/>
        <v>2070</v>
      </c>
      <c r="K531" s="1">
        <v>2037</v>
      </c>
      <c r="L531" s="3">
        <v>0.41678939617083949</v>
      </c>
      <c r="M531" s="3">
        <v>1.3745704467353952E-2</v>
      </c>
      <c r="N531" s="3">
        <v>0.55866470299459992</v>
      </c>
    </row>
    <row r="532" spans="1:14" hidden="1" x14ac:dyDescent="0.2">
      <c r="A532" t="s">
        <v>433</v>
      </c>
      <c r="B532" t="s">
        <v>449</v>
      </c>
      <c r="C532">
        <v>901</v>
      </c>
      <c r="D532">
        <v>21</v>
      </c>
      <c r="E532">
        <v>20</v>
      </c>
      <c r="F532">
        <v>1490</v>
      </c>
      <c r="G532">
        <v>7</v>
      </c>
      <c r="H532">
        <v>0</v>
      </c>
      <c r="I532">
        <v>26</v>
      </c>
      <c r="J532">
        <f t="shared" si="37"/>
        <v>2465</v>
      </c>
      <c r="K532" s="1">
        <v>2439</v>
      </c>
      <c r="L532" s="3">
        <v>0.36941369413694136</v>
      </c>
      <c r="M532" s="3">
        <v>8.2000820008200082E-3</v>
      </c>
      <c r="N532" s="3">
        <v>0.61090610906109066</v>
      </c>
    </row>
    <row r="533" spans="1:14" hidden="1" x14ac:dyDescent="0.2">
      <c r="A533" t="s">
        <v>433</v>
      </c>
      <c r="B533" t="s">
        <v>450</v>
      </c>
      <c r="C533">
        <v>1348</v>
      </c>
      <c r="D533">
        <v>25</v>
      </c>
      <c r="E533">
        <v>21</v>
      </c>
      <c r="F533">
        <v>1678</v>
      </c>
      <c r="G533">
        <v>2</v>
      </c>
      <c r="H533">
        <v>0</v>
      </c>
      <c r="I533">
        <v>35</v>
      </c>
      <c r="J533">
        <f t="shared" si="37"/>
        <v>3109</v>
      </c>
      <c r="K533" s="1">
        <v>3074</v>
      </c>
      <c r="L533" s="3">
        <v>0.43851659076122318</v>
      </c>
      <c r="M533" s="3">
        <v>6.8314899154196486E-3</v>
      </c>
      <c r="N533" s="3">
        <v>0.54586857514638909</v>
      </c>
    </row>
    <row r="534" spans="1:14" hidden="1" x14ac:dyDescent="0.2">
      <c r="A534" t="s">
        <v>433</v>
      </c>
      <c r="B534" t="s">
        <v>451</v>
      </c>
      <c r="C534">
        <v>369</v>
      </c>
      <c r="D534">
        <v>5</v>
      </c>
      <c r="E534">
        <v>18</v>
      </c>
      <c r="F534">
        <v>648</v>
      </c>
      <c r="G534">
        <v>2</v>
      </c>
      <c r="H534">
        <v>0</v>
      </c>
      <c r="I534">
        <v>11</v>
      </c>
      <c r="J534">
        <f t="shared" si="37"/>
        <v>1053</v>
      </c>
      <c r="K534" s="1">
        <v>1042</v>
      </c>
      <c r="L534" s="3">
        <v>0.35412667946257198</v>
      </c>
      <c r="M534" s="3">
        <v>1.7274472168905951E-2</v>
      </c>
      <c r="N534" s="3">
        <v>0.62188099808061426</v>
      </c>
    </row>
    <row r="535" spans="1:14" hidden="1" x14ac:dyDescent="0.2">
      <c r="A535" t="s">
        <v>433</v>
      </c>
      <c r="B535" t="s">
        <v>452</v>
      </c>
      <c r="C535">
        <v>1453</v>
      </c>
      <c r="D535">
        <v>20</v>
      </c>
      <c r="E535">
        <v>33</v>
      </c>
      <c r="F535">
        <v>1726</v>
      </c>
      <c r="G535">
        <v>10</v>
      </c>
      <c r="H535">
        <v>0</v>
      </c>
      <c r="I535">
        <v>40</v>
      </c>
      <c r="J535">
        <f t="shared" si="37"/>
        <v>3282</v>
      </c>
      <c r="K535" s="1">
        <v>3242</v>
      </c>
      <c r="L535" s="3">
        <v>0.44818013571869214</v>
      </c>
      <c r="M535" s="3">
        <v>1.0178901912399754E-2</v>
      </c>
      <c r="N535" s="3">
        <v>0.53238741517581745</v>
      </c>
    </row>
    <row r="536" spans="1:14" hidden="1" x14ac:dyDescent="0.2">
      <c r="A536" t="s">
        <v>433</v>
      </c>
      <c r="B536" t="s">
        <v>453</v>
      </c>
      <c r="C536">
        <v>775</v>
      </c>
      <c r="D536">
        <v>7</v>
      </c>
      <c r="E536">
        <v>5</v>
      </c>
      <c r="F536">
        <v>310</v>
      </c>
      <c r="G536">
        <v>1</v>
      </c>
      <c r="H536">
        <v>0</v>
      </c>
      <c r="I536">
        <v>17</v>
      </c>
      <c r="J536">
        <f t="shared" si="37"/>
        <v>1115</v>
      </c>
      <c r="K536" s="1">
        <v>1098</v>
      </c>
      <c r="L536" s="3">
        <v>0.70582877959927137</v>
      </c>
      <c r="M536" s="3">
        <v>4.5537340619307837E-3</v>
      </c>
      <c r="N536" s="3">
        <v>0.28233151183970856</v>
      </c>
    </row>
    <row r="537" spans="1:14" hidden="1" x14ac:dyDescent="0.2">
      <c r="A537" t="s">
        <v>433</v>
      </c>
      <c r="B537" t="s">
        <v>454</v>
      </c>
      <c r="C537">
        <v>3660</v>
      </c>
      <c r="D537">
        <v>35</v>
      </c>
      <c r="E537">
        <v>61</v>
      </c>
      <c r="F537">
        <v>2465</v>
      </c>
      <c r="G537">
        <v>20</v>
      </c>
      <c r="H537">
        <v>1</v>
      </c>
      <c r="I537">
        <v>74</v>
      </c>
      <c r="J537">
        <f t="shared" si="37"/>
        <v>6316</v>
      </c>
      <c r="K537" s="1">
        <v>6242</v>
      </c>
      <c r="L537" s="3">
        <v>0.58635052867670623</v>
      </c>
      <c r="M537" s="3">
        <v>9.772508811278436E-3</v>
      </c>
      <c r="N537" s="3">
        <v>0.39490547901313683</v>
      </c>
    </row>
    <row r="538" spans="1:14" hidden="1" x14ac:dyDescent="0.2">
      <c r="A538" t="s">
        <v>433</v>
      </c>
      <c r="B538" t="s">
        <v>455</v>
      </c>
      <c r="C538">
        <v>480</v>
      </c>
      <c r="D538">
        <v>5</v>
      </c>
      <c r="E538">
        <v>17</v>
      </c>
      <c r="F538">
        <v>660</v>
      </c>
      <c r="G538">
        <v>5</v>
      </c>
      <c r="H538">
        <v>0</v>
      </c>
      <c r="I538">
        <v>15</v>
      </c>
      <c r="J538">
        <f t="shared" si="37"/>
        <v>1182</v>
      </c>
      <c r="K538" s="1">
        <v>1167</v>
      </c>
      <c r="L538" s="3">
        <v>0.41131105398457585</v>
      </c>
      <c r="M538" s="3">
        <v>1.456726649528706E-2</v>
      </c>
      <c r="N538" s="3">
        <v>0.56555269922879181</v>
      </c>
    </row>
    <row r="539" spans="1:14" hidden="1" x14ac:dyDescent="0.2">
      <c r="A539" t="s">
        <v>433</v>
      </c>
      <c r="B539" t="s">
        <v>456</v>
      </c>
      <c r="C539">
        <v>7944</v>
      </c>
      <c r="D539">
        <v>80</v>
      </c>
      <c r="E539">
        <v>123</v>
      </c>
      <c r="F539">
        <v>4585</v>
      </c>
      <c r="G539">
        <v>46</v>
      </c>
      <c r="H539">
        <v>6</v>
      </c>
      <c r="I539">
        <v>173</v>
      </c>
      <c r="J539">
        <f t="shared" si="37"/>
        <v>12957</v>
      </c>
      <c r="K539" s="1">
        <v>12784</v>
      </c>
      <c r="L539" s="3">
        <v>0.62140175219023774</v>
      </c>
      <c r="M539" s="3">
        <v>9.6214017521902371E-3</v>
      </c>
      <c r="N539" s="3">
        <v>0.35865143929912391</v>
      </c>
    </row>
    <row r="540" spans="1:14" hidden="1" x14ac:dyDescent="0.2">
      <c r="A540" t="s">
        <v>433</v>
      </c>
      <c r="B540" t="s">
        <v>457</v>
      </c>
      <c r="C540">
        <v>5367</v>
      </c>
      <c r="D540">
        <v>66</v>
      </c>
      <c r="E540">
        <v>117</v>
      </c>
      <c r="F540">
        <v>5497</v>
      </c>
      <c r="G540">
        <v>21</v>
      </c>
      <c r="H540">
        <v>4</v>
      </c>
      <c r="I540">
        <v>141</v>
      </c>
      <c r="J540">
        <f t="shared" si="37"/>
        <v>11213</v>
      </c>
      <c r="K540" s="1">
        <v>11072</v>
      </c>
      <c r="L540" s="3">
        <v>0.48473627167630057</v>
      </c>
      <c r="M540" s="3">
        <v>1.0567196531791908E-2</v>
      </c>
      <c r="N540" s="3">
        <v>0.49647760115606937</v>
      </c>
    </row>
    <row r="541" spans="1:14" hidden="1" x14ac:dyDescent="0.2">
      <c r="A541" t="s">
        <v>433</v>
      </c>
      <c r="B541" t="s">
        <v>458</v>
      </c>
      <c r="C541">
        <v>728</v>
      </c>
      <c r="D541">
        <v>12</v>
      </c>
      <c r="E541">
        <v>13</v>
      </c>
      <c r="F541">
        <v>1116</v>
      </c>
      <c r="G541">
        <v>3</v>
      </c>
      <c r="H541">
        <v>0</v>
      </c>
      <c r="I541">
        <v>25</v>
      </c>
      <c r="J541">
        <f t="shared" ref="J541:J545" si="38">SUM(C541:I541)</f>
        <v>1897</v>
      </c>
      <c r="K541" s="1">
        <v>1872</v>
      </c>
      <c r="L541" s="3">
        <v>0.3888888888888889</v>
      </c>
      <c r="M541" s="3">
        <v>6.9444444444444441E-3</v>
      </c>
      <c r="N541" s="3">
        <v>0.59615384615384615</v>
      </c>
    </row>
    <row r="542" spans="1:14" hidden="1" x14ac:dyDescent="0.2">
      <c r="A542" t="s">
        <v>433</v>
      </c>
      <c r="B542" t="s">
        <v>459</v>
      </c>
      <c r="C542">
        <v>2758</v>
      </c>
      <c r="D542">
        <v>34</v>
      </c>
      <c r="E542">
        <v>48</v>
      </c>
      <c r="F542">
        <v>1833</v>
      </c>
      <c r="G542">
        <v>11</v>
      </c>
      <c r="H542">
        <v>3</v>
      </c>
      <c r="I542">
        <v>57</v>
      </c>
      <c r="J542">
        <f t="shared" si="38"/>
        <v>4744</v>
      </c>
      <c r="K542" s="1">
        <v>4687</v>
      </c>
      <c r="L542" s="3">
        <v>0.58843609985065071</v>
      </c>
      <c r="M542" s="3">
        <v>1.0241092383187539E-2</v>
      </c>
      <c r="N542" s="3">
        <v>0.3910817153829742</v>
      </c>
    </row>
    <row r="543" spans="1:14" hidden="1" x14ac:dyDescent="0.2">
      <c r="A543" t="s">
        <v>433</v>
      </c>
      <c r="B543" t="s">
        <v>460</v>
      </c>
      <c r="C543">
        <v>1947</v>
      </c>
      <c r="D543">
        <v>22</v>
      </c>
      <c r="E543">
        <v>36</v>
      </c>
      <c r="F543">
        <v>2680</v>
      </c>
      <c r="G543">
        <v>11</v>
      </c>
      <c r="H543">
        <v>0</v>
      </c>
      <c r="I543">
        <v>55</v>
      </c>
      <c r="J543">
        <f t="shared" si="38"/>
        <v>4751</v>
      </c>
      <c r="K543" s="1">
        <v>4696</v>
      </c>
      <c r="L543" s="3">
        <v>0.41460817717206133</v>
      </c>
      <c r="M543" s="3">
        <v>7.6660988074957409E-3</v>
      </c>
      <c r="N543" s="3">
        <v>0.5706984667802385</v>
      </c>
    </row>
    <row r="544" spans="1:14" hidden="1" x14ac:dyDescent="0.2">
      <c r="A544" t="s">
        <v>433</v>
      </c>
      <c r="B544" t="s">
        <v>461</v>
      </c>
      <c r="C544">
        <v>4675</v>
      </c>
      <c r="D544">
        <v>58</v>
      </c>
      <c r="E544">
        <v>71</v>
      </c>
      <c r="F544">
        <v>3598</v>
      </c>
      <c r="G544">
        <v>9</v>
      </c>
      <c r="H544">
        <v>7</v>
      </c>
      <c r="I544">
        <v>113</v>
      </c>
      <c r="J544">
        <f t="shared" si="38"/>
        <v>8531</v>
      </c>
      <c r="K544" s="1">
        <v>8418</v>
      </c>
      <c r="L544" s="3">
        <v>0.55535756711808026</v>
      </c>
      <c r="M544" s="3">
        <v>8.4343074364457114E-3</v>
      </c>
      <c r="N544" s="3">
        <v>0.42741743882157279</v>
      </c>
    </row>
    <row r="545" spans="1:14" hidden="1" x14ac:dyDescent="0.2">
      <c r="A545" t="s">
        <v>433</v>
      </c>
      <c r="B545" t="s">
        <v>462</v>
      </c>
      <c r="C545">
        <v>6055</v>
      </c>
      <c r="D545">
        <v>64</v>
      </c>
      <c r="E545">
        <v>66</v>
      </c>
      <c r="F545">
        <v>3337</v>
      </c>
      <c r="G545">
        <v>23</v>
      </c>
      <c r="H545">
        <v>3</v>
      </c>
      <c r="I545">
        <v>132</v>
      </c>
      <c r="J545">
        <f t="shared" si="38"/>
        <v>9680</v>
      </c>
      <c r="K545" s="1">
        <v>9548</v>
      </c>
      <c r="L545" s="3">
        <v>0.63416422287390029</v>
      </c>
      <c r="M545" s="3">
        <v>6.9124423963133645E-3</v>
      </c>
      <c r="N545" s="3">
        <v>0.34949727691663174</v>
      </c>
    </row>
    <row r="546" spans="1:14" s="1" customFormat="1" x14ac:dyDescent="0.2">
      <c r="A546" s="1" t="s">
        <v>433</v>
      </c>
      <c r="B546" s="1" t="s">
        <v>498</v>
      </c>
      <c r="C546" s="1">
        <f t="shared" ref="C546:J546" si="39">SUM(C517:C545)</f>
        <v>72114</v>
      </c>
      <c r="D546" s="1">
        <f t="shared" si="39"/>
        <v>866</v>
      </c>
      <c r="E546" s="1">
        <f t="shared" si="39"/>
        <v>1260</v>
      </c>
      <c r="F546" s="1">
        <f t="shared" si="39"/>
        <v>58194</v>
      </c>
      <c r="G546" s="1">
        <f t="shared" si="39"/>
        <v>335</v>
      </c>
      <c r="H546" s="1">
        <f t="shared" si="39"/>
        <v>69</v>
      </c>
      <c r="I546" s="1">
        <f t="shared" si="39"/>
        <v>1725</v>
      </c>
      <c r="J546" s="1">
        <f t="shared" si="39"/>
        <v>134563</v>
      </c>
      <c r="K546" s="1">
        <v>132838</v>
      </c>
      <c r="L546" s="3">
        <v>0.54287176862042485</v>
      </c>
      <c r="M546" s="3">
        <v>9.4852376578990951E-3</v>
      </c>
      <c r="N546" s="3">
        <v>0.43808247639982534</v>
      </c>
    </row>
    <row r="547" spans="1:14" hidden="1" x14ac:dyDescent="0.2">
      <c r="K547" s="1">
        <f t="shared" ref="K531:K549" si="40">J547-I547</f>
        <v>0</v>
      </c>
      <c r="M547" s="1" t="e">
        <f t="shared" ref="M531:M549" si="41">E547/K547</f>
        <v>#DIV/0!</v>
      </c>
    </row>
    <row r="548" spans="1:14" hidden="1" x14ac:dyDescent="0.2">
      <c r="A548" t="s">
        <v>0</v>
      </c>
      <c r="B548" s="1" t="s">
        <v>463</v>
      </c>
      <c r="C548" s="1">
        <v>5310</v>
      </c>
      <c r="D548" s="1">
        <v>33</v>
      </c>
      <c r="E548" s="1">
        <v>169</v>
      </c>
      <c r="F548" s="1">
        <v>986</v>
      </c>
      <c r="G548" s="1">
        <v>50</v>
      </c>
      <c r="H548" s="1">
        <v>21</v>
      </c>
      <c r="I548" s="1">
        <v>20</v>
      </c>
      <c r="J548" s="1">
        <f>SUM(C548:I548)</f>
        <v>6589</v>
      </c>
      <c r="K548" s="1">
        <f t="shared" si="40"/>
        <v>6569</v>
      </c>
      <c r="M548" s="1">
        <f t="shared" si="41"/>
        <v>2.5726899071395949E-2</v>
      </c>
    </row>
    <row r="549" spans="1:14" hidden="1" x14ac:dyDescent="0.2">
      <c r="K549" s="1">
        <f t="shared" si="40"/>
        <v>0</v>
      </c>
      <c r="M549" s="1" t="e">
        <f t="shared" si="41"/>
        <v>#DIV/0!</v>
      </c>
    </row>
    <row r="550" spans="1:14" s="1" customFormat="1" x14ac:dyDescent="0.2">
      <c r="A550" s="1" t="s">
        <v>578</v>
      </c>
      <c r="B550" s="1" t="s">
        <v>499</v>
      </c>
      <c r="C550" s="1">
        <f>SUM(C18,C93,C123,C147,C188,C219,C239,C260,C298,C365,C385,C397,C435,C463,C515,C546,C548)</f>
        <v>435652</v>
      </c>
      <c r="D550" s="1">
        <f t="shared" ref="D550:J550" si="42">SUM(D18,D93,D123,D147,D188,D219,D239,D260,D298,D365,D385,D397,D435,D463,D515,D546,D548)</f>
        <v>5286</v>
      </c>
      <c r="E550" s="1">
        <f t="shared" si="42"/>
        <v>8967</v>
      </c>
      <c r="F550" s="1">
        <f t="shared" si="42"/>
        <v>377977</v>
      </c>
      <c r="G550" s="1">
        <f t="shared" si="42"/>
        <v>2912</v>
      </c>
      <c r="H550" s="1">
        <f t="shared" si="42"/>
        <v>581</v>
      </c>
      <c r="I550" s="1">
        <f t="shared" si="42"/>
        <v>11072</v>
      </c>
      <c r="J550" s="1">
        <f t="shared" si="42"/>
        <v>842447</v>
      </c>
    </row>
  </sheetData>
  <printOptions horizontalCentered="1" gridLines="1"/>
  <pageMargins left="0.2" right="0.2" top="0.75" bottom="0.25" header="0.3" footer="0"/>
  <pageSetup fitToHeight="0" orientation="landscape" r:id="rId1"/>
  <headerFooter>
    <oddHeader>&amp;C&amp;"-,Bold"11/5/24 General Election
President/Vice President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58D2-62D4-1E46-94C6-37133B42BC88}">
  <dimension ref="A1:B6"/>
  <sheetViews>
    <sheetView workbookViewId="0">
      <selection activeCell="A6" sqref="A6"/>
    </sheetView>
  </sheetViews>
  <sheetFormatPr baseColWidth="10" defaultRowHeight="15" x14ac:dyDescent="0.2"/>
  <sheetData>
    <row r="1" spans="1:2" x14ac:dyDescent="0.2">
      <c r="A1" t="s">
        <v>567</v>
      </c>
      <c r="B1" t="s">
        <v>568</v>
      </c>
    </row>
    <row r="2" spans="1:2" x14ac:dyDescent="0.2">
      <c r="A2" t="s">
        <v>568</v>
      </c>
    </row>
    <row r="3" spans="1:2" x14ac:dyDescent="0.2">
      <c r="A3" t="s">
        <v>574</v>
      </c>
    </row>
    <row r="4" spans="1:2" x14ac:dyDescent="0.2">
      <c r="A4" t="s">
        <v>575</v>
      </c>
    </row>
    <row r="5" spans="1:2" x14ac:dyDescent="0.2">
      <c r="A5" t="s">
        <v>576</v>
      </c>
    </row>
    <row r="6" spans="1:2" x14ac:dyDescent="0.2">
      <c r="A6" t="s">
        <v>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101BF-73FB-435F-9624-F354AAA1C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President &amp; VP</vt:lpstr>
      <vt:lpstr>Cleaning Log</vt:lpstr>
      <vt:lpstr>'President &amp; VP'!Print_Area</vt:lpstr>
      <vt:lpstr>'President &amp; VP'!Print_Titles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Peckham, Heidi</dc:creator>
  <cp:lastModifiedBy>Noah A Thomas</cp:lastModifiedBy>
  <cp:lastPrinted>2024-11-25T23:10:48Z</cp:lastPrinted>
  <dcterms:created xsi:type="dcterms:W3CDTF">2024-11-21T19:12:44Z</dcterms:created>
  <dcterms:modified xsi:type="dcterms:W3CDTF">2025-01-30T04:23:55Z</dcterms:modified>
</cp:coreProperties>
</file>