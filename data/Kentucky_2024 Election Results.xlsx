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5D541714-462A-E549-AB45-7D6E0B98D5CC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able 1" sheetId="1" r:id="rId1"/>
    <sheet name="Cleaning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4" i="1"/>
</calcChain>
</file>

<file path=xl/sharedStrings.xml><?xml version="1.0" encoding="utf-8"?>
<sst xmlns="http://schemas.openxmlformats.org/spreadsheetml/2006/main" count="170" uniqueCount="166">
  <si>
    <r>
      <rPr>
        <sz val="6.5"/>
        <rFont val="Arial"/>
        <family val="2"/>
      </rPr>
      <t>Adair</t>
    </r>
  </si>
  <si>
    <r>
      <rPr>
        <sz val="6.5"/>
        <rFont val="Arial"/>
        <family val="2"/>
      </rPr>
      <t>Allen</t>
    </r>
  </si>
  <si>
    <r>
      <rPr>
        <sz val="6.5"/>
        <rFont val="Arial"/>
        <family val="2"/>
      </rPr>
      <t>Anderson</t>
    </r>
  </si>
  <si>
    <r>
      <rPr>
        <sz val="6.5"/>
        <rFont val="Arial"/>
        <family val="2"/>
      </rPr>
      <t>Ballard</t>
    </r>
  </si>
  <si>
    <r>
      <rPr>
        <sz val="6.5"/>
        <rFont val="Arial"/>
        <family val="2"/>
      </rPr>
      <t>Barren</t>
    </r>
  </si>
  <si>
    <r>
      <rPr>
        <sz val="6.5"/>
        <rFont val="Arial"/>
        <family val="2"/>
      </rPr>
      <t>Bath</t>
    </r>
  </si>
  <si>
    <r>
      <rPr>
        <sz val="6.5"/>
        <rFont val="Arial"/>
        <family val="2"/>
      </rPr>
      <t>Bell</t>
    </r>
  </si>
  <si>
    <r>
      <rPr>
        <sz val="6.5"/>
        <rFont val="Arial"/>
        <family val="2"/>
      </rPr>
      <t>Boone</t>
    </r>
  </si>
  <si>
    <r>
      <rPr>
        <sz val="6.5"/>
        <rFont val="Arial"/>
        <family val="2"/>
      </rPr>
      <t>Bourbon</t>
    </r>
  </si>
  <si>
    <r>
      <rPr>
        <sz val="6.5"/>
        <rFont val="Arial"/>
        <family val="2"/>
      </rPr>
      <t>Boyd</t>
    </r>
  </si>
  <si>
    <r>
      <rPr>
        <sz val="6.5"/>
        <rFont val="Arial"/>
        <family val="2"/>
      </rPr>
      <t>Boyle</t>
    </r>
  </si>
  <si>
    <r>
      <rPr>
        <sz val="6.5"/>
        <rFont val="Arial"/>
        <family val="2"/>
      </rPr>
      <t>Bracken</t>
    </r>
  </si>
  <si>
    <r>
      <rPr>
        <sz val="6.5"/>
        <rFont val="Arial"/>
        <family val="2"/>
      </rPr>
      <t>Breathitt</t>
    </r>
  </si>
  <si>
    <r>
      <rPr>
        <sz val="6.5"/>
        <rFont val="Arial"/>
        <family val="2"/>
      </rPr>
      <t>Breckinridge</t>
    </r>
  </si>
  <si>
    <r>
      <rPr>
        <sz val="6.5"/>
        <rFont val="Arial"/>
        <family val="2"/>
      </rPr>
      <t>Bullitt</t>
    </r>
  </si>
  <si>
    <r>
      <rPr>
        <sz val="6.5"/>
        <rFont val="Arial"/>
        <family val="2"/>
      </rPr>
      <t>Butler</t>
    </r>
  </si>
  <si>
    <r>
      <rPr>
        <sz val="6.5"/>
        <rFont val="Arial"/>
        <family val="2"/>
      </rPr>
      <t>Caldwell</t>
    </r>
  </si>
  <si>
    <r>
      <rPr>
        <sz val="6.5"/>
        <rFont val="Arial"/>
        <family val="2"/>
      </rPr>
      <t>Calloway</t>
    </r>
  </si>
  <si>
    <r>
      <rPr>
        <sz val="6.5"/>
        <rFont val="Arial"/>
        <family val="2"/>
      </rPr>
      <t>Campbell</t>
    </r>
  </si>
  <si>
    <r>
      <rPr>
        <sz val="6.5"/>
        <rFont val="Arial"/>
        <family val="2"/>
      </rPr>
      <t>Carlisle</t>
    </r>
  </si>
  <si>
    <r>
      <rPr>
        <sz val="6.5"/>
        <rFont val="Arial"/>
        <family val="2"/>
      </rPr>
      <t>Carroll</t>
    </r>
  </si>
  <si>
    <r>
      <rPr>
        <sz val="6.5"/>
        <rFont val="Arial"/>
        <family val="2"/>
      </rPr>
      <t>Carter</t>
    </r>
  </si>
  <si>
    <r>
      <rPr>
        <sz val="6.5"/>
        <rFont val="Arial"/>
        <family val="2"/>
      </rPr>
      <t>Casey</t>
    </r>
  </si>
  <si>
    <r>
      <rPr>
        <sz val="6.5"/>
        <rFont val="Arial"/>
        <family val="2"/>
      </rPr>
      <t>Christian</t>
    </r>
  </si>
  <si>
    <r>
      <rPr>
        <sz val="6.5"/>
        <rFont val="Arial"/>
        <family val="2"/>
      </rPr>
      <t>Clark</t>
    </r>
  </si>
  <si>
    <r>
      <rPr>
        <sz val="6.5"/>
        <rFont val="Arial"/>
        <family val="2"/>
      </rPr>
      <t>Clay</t>
    </r>
  </si>
  <si>
    <r>
      <rPr>
        <sz val="6.5"/>
        <rFont val="Arial"/>
        <family val="2"/>
      </rPr>
      <t>Clinton</t>
    </r>
  </si>
  <si>
    <r>
      <rPr>
        <sz val="6.5"/>
        <rFont val="Arial"/>
        <family val="2"/>
      </rPr>
      <t>Crittenden</t>
    </r>
  </si>
  <si>
    <r>
      <rPr>
        <sz val="6.5"/>
        <rFont val="Arial"/>
        <family val="2"/>
      </rPr>
      <t>Cumberland</t>
    </r>
  </si>
  <si>
    <r>
      <rPr>
        <sz val="6.5"/>
        <rFont val="Arial"/>
        <family val="2"/>
      </rPr>
      <t>Daviess</t>
    </r>
  </si>
  <si>
    <r>
      <rPr>
        <sz val="6.5"/>
        <rFont val="Arial"/>
        <family val="2"/>
      </rPr>
      <t>Edmonson</t>
    </r>
  </si>
  <si>
    <r>
      <rPr>
        <sz val="6.5"/>
        <rFont val="Arial"/>
        <family val="2"/>
      </rPr>
      <t>Elliott</t>
    </r>
  </si>
  <si>
    <r>
      <rPr>
        <sz val="6.5"/>
        <rFont val="Arial"/>
        <family val="2"/>
      </rPr>
      <t>Estill</t>
    </r>
  </si>
  <si>
    <r>
      <rPr>
        <sz val="6.5"/>
        <rFont val="Arial"/>
        <family val="2"/>
      </rPr>
      <t>Fayette</t>
    </r>
  </si>
  <si>
    <r>
      <rPr>
        <sz val="6.5"/>
        <rFont val="Arial"/>
        <family val="2"/>
      </rPr>
      <t>Fleming</t>
    </r>
  </si>
  <si>
    <r>
      <rPr>
        <sz val="6.5"/>
        <rFont val="Arial"/>
        <family val="2"/>
      </rPr>
      <t>Floyd</t>
    </r>
  </si>
  <si>
    <r>
      <rPr>
        <sz val="6.5"/>
        <rFont val="Arial"/>
        <family val="2"/>
      </rPr>
      <t>Franklin</t>
    </r>
  </si>
  <si>
    <r>
      <rPr>
        <sz val="6.5"/>
        <rFont val="Arial"/>
        <family val="2"/>
      </rPr>
      <t>Fulton</t>
    </r>
  </si>
  <si>
    <r>
      <rPr>
        <sz val="6.5"/>
        <rFont val="Arial"/>
        <family val="2"/>
      </rPr>
      <t>Gallatin</t>
    </r>
  </si>
  <si>
    <r>
      <rPr>
        <sz val="6.5"/>
        <rFont val="Arial"/>
        <family val="2"/>
      </rPr>
      <t>Garrard</t>
    </r>
  </si>
  <si>
    <r>
      <rPr>
        <sz val="6.5"/>
        <rFont val="Arial"/>
        <family val="2"/>
      </rPr>
      <t>Grant</t>
    </r>
  </si>
  <si>
    <r>
      <rPr>
        <sz val="6.5"/>
        <rFont val="Arial"/>
        <family val="2"/>
      </rPr>
      <t>Graves</t>
    </r>
  </si>
  <si>
    <r>
      <rPr>
        <sz val="6.5"/>
        <rFont val="Arial"/>
        <family val="2"/>
      </rPr>
      <t>Grayson</t>
    </r>
  </si>
  <si>
    <r>
      <rPr>
        <sz val="6.5"/>
        <rFont val="Arial"/>
        <family val="2"/>
      </rPr>
      <t>Green</t>
    </r>
  </si>
  <si>
    <r>
      <rPr>
        <sz val="6.5"/>
        <rFont val="Arial"/>
        <family val="2"/>
      </rPr>
      <t>Greenup</t>
    </r>
  </si>
  <si>
    <r>
      <rPr>
        <sz val="6.5"/>
        <rFont val="Arial"/>
        <family val="2"/>
      </rPr>
      <t>Hancock</t>
    </r>
  </si>
  <si>
    <r>
      <rPr>
        <sz val="6.5"/>
        <rFont val="Arial"/>
        <family val="2"/>
      </rPr>
      <t>Hardin</t>
    </r>
  </si>
  <si>
    <r>
      <rPr>
        <sz val="6.5"/>
        <rFont val="Arial"/>
        <family val="2"/>
      </rPr>
      <t>Harlan</t>
    </r>
  </si>
  <si>
    <r>
      <rPr>
        <sz val="6.5"/>
        <rFont val="Arial"/>
        <family val="2"/>
      </rPr>
      <t>Harrison</t>
    </r>
  </si>
  <si>
    <r>
      <rPr>
        <sz val="6.5"/>
        <rFont val="Arial"/>
        <family val="2"/>
      </rPr>
      <t>Hart</t>
    </r>
  </si>
  <si>
    <r>
      <rPr>
        <sz val="6.5"/>
        <rFont val="Arial"/>
        <family val="2"/>
      </rPr>
      <t>Henderson</t>
    </r>
  </si>
  <si>
    <r>
      <rPr>
        <sz val="6.5"/>
        <rFont val="Arial"/>
        <family val="2"/>
      </rPr>
      <t>Henry</t>
    </r>
  </si>
  <si>
    <r>
      <rPr>
        <sz val="6.5"/>
        <rFont val="Arial"/>
        <family val="2"/>
      </rPr>
      <t>Hickman</t>
    </r>
  </si>
  <si>
    <r>
      <rPr>
        <sz val="6.5"/>
        <rFont val="Arial"/>
        <family val="2"/>
      </rPr>
      <t>Hopkins</t>
    </r>
  </si>
  <si>
    <r>
      <rPr>
        <sz val="6.5"/>
        <rFont val="Arial"/>
        <family val="2"/>
      </rPr>
      <t>Jackson</t>
    </r>
  </si>
  <si>
    <r>
      <rPr>
        <sz val="6.5"/>
        <rFont val="Arial"/>
        <family val="2"/>
      </rPr>
      <t>Jefferson</t>
    </r>
  </si>
  <si>
    <r>
      <rPr>
        <sz val="6.5"/>
        <rFont val="Arial"/>
        <family val="2"/>
      </rPr>
      <t>Jessamine</t>
    </r>
  </si>
  <si>
    <r>
      <rPr>
        <sz val="6.5"/>
        <rFont val="Arial"/>
        <family val="2"/>
      </rPr>
      <t>Johnson</t>
    </r>
  </si>
  <si>
    <r>
      <rPr>
        <sz val="6.5"/>
        <rFont val="Arial"/>
        <family val="2"/>
      </rPr>
      <t>Kenton</t>
    </r>
  </si>
  <si>
    <r>
      <rPr>
        <sz val="6.5"/>
        <rFont val="Arial"/>
        <family val="2"/>
      </rPr>
      <t>Knott</t>
    </r>
  </si>
  <si>
    <r>
      <rPr>
        <sz val="6.5"/>
        <rFont val="Arial"/>
        <family val="2"/>
      </rPr>
      <t>Knox</t>
    </r>
  </si>
  <si>
    <r>
      <rPr>
        <sz val="6.5"/>
        <rFont val="Arial"/>
        <family val="2"/>
      </rPr>
      <t>Larue</t>
    </r>
  </si>
  <si>
    <r>
      <rPr>
        <sz val="6.5"/>
        <rFont val="Arial"/>
        <family val="2"/>
      </rPr>
      <t>Laurel</t>
    </r>
  </si>
  <si>
    <r>
      <rPr>
        <sz val="6.5"/>
        <rFont val="Arial"/>
        <family val="2"/>
      </rPr>
      <t>Lawrence</t>
    </r>
  </si>
  <si>
    <r>
      <rPr>
        <sz val="6.5"/>
        <rFont val="Arial"/>
        <family val="2"/>
      </rPr>
      <t>Lee</t>
    </r>
  </si>
  <si>
    <r>
      <rPr>
        <sz val="6.5"/>
        <rFont val="Arial"/>
        <family val="2"/>
      </rPr>
      <t>Leslie</t>
    </r>
  </si>
  <si>
    <r>
      <rPr>
        <sz val="6.5"/>
        <rFont val="Arial"/>
        <family val="2"/>
      </rPr>
      <t>Letcher</t>
    </r>
  </si>
  <si>
    <r>
      <rPr>
        <sz val="6.5"/>
        <rFont val="Arial"/>
        <family val="2"/>
      </rPr>
      <t>Lewis</t>
    </r>
  </si>
  <si>
    <r>
      <rPr>
        <sz val="6.5"/>
        <rFont val="Arial"/>
        <family val="2"/>
      </rPr>
      <t>Lincoln</t>
    </r>
  </si>
  <si>
    <r>
      <rPr>
        <sz val="6.5"/>
        <rFont val="Arial"/>
        <family val="2"/>
      </rPr>
      <t>Livingston</t>
    </r>
  </si>
  <si>
    <r>
      <rPr>
        <sz val="6.5"/>
        <rFont val="Arial"/>
        <family val="2"/>
      </rPr>
      <t>Logan</t>
    </r>
  </si>
  <si>
    <r>
      <rPr>
        <sz val="6.5"/>
        <rFont val="Arial"/>
        <family val="2"/>
      </rPr>
      <t>Lyon</t>
    </r>
  </si>
  <si>
    <r>
      <rPr>
        <sz val="6.5"/>
        <rFont val="Arial"/>
        <family val="2"/>
      </rPr>
      <t>Madison</t>
    </r>
  </si>
  <si>
    <r>
      <rPr>
        <sz val="6.5"/>
        <rFont val="Arial"/>
        <family val="2"/>
      </rPr>
      <t>Magoffin</t>
    </r>
  </si>
  <si>
    <r>
      <rPr>
        <sz val="6.5"/>
        <rFont val="Arial"/>
        <family val="2"/>
      </rPr>
      <t>Marion</t>
    </r>
  </si>
  <si>
    <r>
      <rPr>
        <sz val="6.5"/>
        <rFont val="Arial"/>
        <family val="2"/>
      </rPr>
      <t>Marshall</t>
    </r>
  </si>
  <si>
    <r>
      <rPr>
        <sz val="6.5"/>
        <rFont val="Arial"/>
        <family val="2"/>
      </rPr>
      <t>Martin</t>
    </r>
  </si>
  <si>
    <r>
      <rPr>
        <sz val="6.5"/>
        <rFont val="Arial"/>
        <family val="2"/>
      </rPr>
      <t>Mason</t>
    </r>
  </si>
  <si>
    <r>
      <rPr>
        <sz val="6.5"/>
        <rFont val="Arial"/>
        <family val="2"/>
      </rPr>
      <t>McCracken</t>
    </r>
  </si>
  <si>
    <r>
      <rPr>
        <sz val="6.5"/>
        <rFont val="Arial"/>
        <family val="2"/>
      </rPr>
      <t>McCreary</t>
    </r>
  </si>
  <si>
    <r>
      <rPr>
        <sz val="6.5"/>
        <rFont val="Arial"/>
        <family val="2"/>
      </rPr>
      <t>McLean</t>
    </r>
  </si>
  <si>
    <r>
      <rPr>
        <sz val="6.5"/>
        <rFont val="Arial"/>
        <family val="2"/>
      </rPr>
      <t>Meade</t>
    </r>
  </si>
  <si>
    <r>
      <rPr>
        <sz val="6.5"/>
        <rFont val="Arial"/>
        <family val="2"/>
      </rPr>
      <t>Menifee</t>
    </r>
  </si>
  <si>
    <r>
      <rPr>
        <sz val="6.5"/>
        <rFont val="Arial"/>
        <family val="2"/>
      </rPr>
      <t>Mercer</t>
    </r>
  </si>
  <si>
    <r>
      <rPr>
        <sz val="6.5"/>
        <rFont val="Arial"/>
        <family val="2"/>
      </rPr>
      <t>Metcalfe</t>
    </r>
  </si>
  <si>
    <r>
      <rPr>
        <sz val="6.5"/>
        <rFont val="Arial"/>
        <family val="2"/>
      </rPr>
      <t>Monroe</t>
    </r>
  </si>
  <si>
    <r>
      <rPr>
        <sz val="6.5"/>
        <rFont val="Arial"/>
        <family val="2"/>
      </rPr>
      <t>Montgomery</t>
    </r>
  </si>
  <si>
    <r>
      <rPr>
        <sz val="6.5"/>
        <rFont val="Arial"/>
        <family val="2"/>
      </rPr>
      <t>Morgan</t>
    </r>
  </si>
  <si>
    <r>
      <rPr>
        <sz val="6.5"/>
        <rFont val="Arial"/>
        <family val="2"/>
      </rPr>
      <t>Muhlenberg</t>
    </r>
  </si>
  <si>
    <r>
      <rPr>
        <sz val="6.5"/>
        <rFont val="Arial"/>
        <family val="2"/>
      </rPr>
      <t>Nelson</t>
    </r>
  </si>
  <si>
    <r>
      <rPr>
        <sz val="6.5"/>
        <rFont val="Arial"/>
        <family val="2"/>
      </rPr>
      <t>Nicholas</t>
    </r>
  </si>
  <si>
    <r>
      <rPr>
        <sz val="6.5"/>
        <rFont val="Arial"/>
        <family val="2"/>
      </rPr>
      <t>Ohio</t>
    </r>
  </si>
  <si>
    <r>
      <rPr>
        <sz val="6.5"/>
        <rFont val="Arial"/>
        <family val="2"/>
      </rPr>
      <t>Oldham</t>
    </r>
  </si>
  <si>
    <r>
      <rPr>
        <sz val="6.5"/>
        <rFont val="Arial"/>
        <family val="2"/>
      </rPr>
      <t>Owen</t>
    </r>
  </si>
  <si>
    <r>
      <rPr>
        <sz val="6.5"/>
        <rFont val="Arial"/>
        <family val="2"/>
      </rPr>
      <t>Owsley</t>
    </r>
  </si>
  <si>
    <r>
      <rPr>
        <sz val="6.5"/>
        <rFont val="Arial"/>
        <family val="2"/>
      </rPr>
      <t>Pendleton</t>
    </r>
  </si>
  <si>
    <r>
      <rPr>
        <sz val="6.5"/>
        <rFont val="Arial"/>
        <family val="2"/>
      </rPr>
      <t>Perry</t>
    </r>
  </si>
  <si>
    <r>
      <rPr>
        <sz val="6.5"/>
        <rFont val="Arial"/>
        <family val="2"/>
      </rPr>
      <t>Pike</t>
    </r>
  </si>
  <si>
    <r>
      <rPr>
        <sz val="6.5"/>
        <rFont val="Arial"/>
        <family val="2"/>
      </rPr>
      <t>Powell</t>
    </r>
  </si>
  <si>
    <r>
      <rPr>
        <sz val="6.5"/>
        <rFont val="Arial"/>
        <family val="2"/>
      </rPr>
      <t>Pulaski</t>
    </r>
  </si>
  <si>
    <r>
      <rPr>
        <sz val="6.5"/>
        <rFont val="Arial"/>
        <family val="2"/>
      </rPr>
      <t>Robertson</t>
    </r>
  </si>
  <si>
    <r>
      <rPr>
        <sz val="6.5"/>
        <rFont val="Arial"/>
        <family val="2"/>
      </rPr>
      <t>Rockcastle</t>
    </r>
  </si>
  <si>
    <r>
      <rPr>
        <sz val="6.5"/>
        <rFont val="Arial"/>
        <family val="2"/>
      </rPr>
      <t>Rowan</t>
    </r>
  </si>
  <si>
    <r>
      <rPr>
        <sz val="6.5"/>
        <rFont val="Arial"/>
        <family val="2"/>
      </rPr>
      <t>Russell</t>
    </r>
  </si>
  <si>
    <r>
      <rPr>
        <sz val="6.5"/>
        <rFont val="Arial"/>
        <family val="2"/>
      </rPr>
      <t>Scott</t>
    </r>
  </si>
  <si>
    <r>
      <rPr>
        <sz val="6.5"/>
        <rFont val="Arial"/>
        <family val="2"/>
      </rPr>
      <t>Shelby</t>
    </r>
  </si>
  <si>
    <r>
      <rPr>
        <sz val="6.5"/>
        <rFont val="Arial"/>
        <family val="2"/>
      </rPr>
      <t>Simpson</t>
    </r>
  </si>
  <si>
    <r>
      <rPr>
        <sz val="6.5"/>
        <rFont val="Arial"/>
        <family val="2"/>
      </rPr>
      <t>Spencer</t>
    </r>
  </si>
  <si>
    <r>
      <rPr>
        <sz val="6.5"/>
        <rFont val="Arial"/>
        <family val="2"/>
      </rPr>
      <t>Taylor</t>
    </r>
  </si>
  <si>
    <r>
      <rPr>
        <sz val="6.5"/>
        <rFont val="Arial"/>
        <family val="2"/>
      </rPr>
      <t>Todd</t>
    </r>
  </si>
  <si>
    <r>
      <rPr>
        <sz val="6.5"/>
        <rFont val="Arial"/>
        <family val="2"/>
      </rPr>
      <t>Trigg</t>
    </r>
  </si>
  <si>
    <r>
      <rPr>
        <sz val="6.5"/>
        <rFont val="Arial"/>
        <family val="2"/>
      </rPr>
      <t>Trimble</t>
    </r>
  </si>
  <si>
    <r>
      <rPr>
        <sz val="6.5"/>
        <rFont val="Arial"/>
        <family val="2"/>
      </rPr>
      <t>Union</t>
    </r>
  </si>
  <si>
    <r>
      <rPr>
        <sz val="6.5"/>
        <rFont val="Arial"/>
        <family val="2"/>
      </rPr>
      <t>Warren</t>
    </r>
  </si>
  <si>
    <r>
      <rPr>
        <sz val="6.5"/>
        <rFont val="Arial"/>
        <family val="2"/>
      </rPr>
      <t>Washington</t>
    </r>
  </si>
  <si>
    <r>
      <rPr>
        <sz val="6.5"/>
        <rFont val="Arial"/>
        <family val="2"/>
      </rPr>
      <t>Wayne</t>
    </r>
  </si>
  <si>
    <r>
      <rPr>
        <sz val="6.5"/>
        <rFont val="Arial"/>
        <family val="2"/>
      </rPr>
      <t>Webster</t>
    </r>
  </si>
  <si>
    <r>
      <rPr>
        <sz val="6.5"/>
        <rFont val="Arial"/>
        <family val="2"/>
      </rPr>
      <t>Whitley</t>
    </r>
  </si>
  <si>
    <r>
      <rPr>
        <sz val="6.5"/>
        <rFont val="Arial"/>
        <family val="2"/>
      </rPr>
      <t>Wolfe</t>
    </r>
  </si>
  <si>
    <r>
      <rPr>
        <sz val="6.5"/>
        <rFont val="Arial"/>
        <family val="2"/>
      </rPr>
      <t>Woodford</t>
    </r>
  </si>
  <si>
    <r>
      <rPr>
        <b/>
        <sz val="6.5"/>
        <rFont val="Arial"/>
        <family val="2"/>
      </rPr>
      <t>Total Votes</t>
    </r>
  </si>
  <si>
    <t>Donald J. TRUMP</t>
  </si>
  <si>
    <t>J. D . VANCE</t>
  </si>
  <si>
    <t>Kamala D. HARRIS</t>
  </si>
  <si>
    <t>Tim WALZ</t>
  </si>
  <si>
    <t>Robert F. KENNEDY JR.</t>
  </si>
  <si>
    <t>Nicole SHANAHAN</t>
  </si>
  <si>
    <t>Jill STEIN</t>
  </si>
  <si>
    <t>Samson KPADENOU</t>
  </si>
  <si>
    <t>Chase OLIVER</t>
  </si>
  <si>
    <t>Mike TER MAAT</t>
  </si>
  <si>
    <t>Shiva AYYADURAI</t>
  </si>
  <si>
    <t>Crystal ELLIS</t>
  </si>
  <si>
    <t>Peter SONSKI</t>
  </si>
  <si>
    <t>Lauren ONAK</t>
  </si>
  <si>
    <t>Claudia DE LA CRUZ</t>
  </si>
  <si>
    <t>Karina GARCIA</t>
  </si>
  <si>
    <t>Cornel WEST</t>
  </si>
  <si>
    <t>Melina ABDULLAH</t>
  </si>
  <si>
    <t>James D. SODERNA</t>
  </si>
  <si>
    <t>Matthew J. TREWHELLA</t>
  </si>
  <si>
    <t>Jay J. BOWMAN</t>
  </si>
  <si>
    <t>De BOWMAN</t>
  </si>
  <si>
    <t>Joseph KISHORE</t>
  </si>
  <si>
    <t>Jerry WHITE</t>
  </si>
  <si>
    <t>John CHENG</t>
  </si>
  <si>
    <t>Wayne WALIGORSKI</t>
  </si>
  <si>
    <t>Billy KELLEY JR.</t>
  </si>
  <si>
    <t>Jason HOLDEMAN</t>
  </si>
  <si>
    <t>Cherunda FOX</t>
  </si>
  <si>
    <t>Harlan McVAY JR.</t>
  </si>
  <si>
    <t>Andre Ramon McNEIL SR.</t>
  </si>
  <si>
    <t>Roschelle McNEIL</t>
  </si>
  <si>
    <t>Future Madam POTUS</t>
  </si>
  <si>
    <t>Jessica KENNEDY</t>
  </si>
  <si>
    <t>1. deleted irrelevant rows (3)</t>
  </si>
  <si>
    <t>County totals</t>
  </si>
  <si>
    <t>Harris Percent</t>
  </si>
  <si>
    <t>Trump Percent</t>
  </si>
  <si>
    <t>Stein Percent</t>
  </si>
  <si>
    <t>2024 Winner</t>
  </si>
  <si>
    <t>2. Calculated county totals using formulas</t>
  </si>
  <si>
    <t>3. Hid irrelevant columns D, F - R</t>
  </si>
  <si>
    <t>4. Calculated percents for each candidate using formulas</t>
  </si>
  <si>
    <t>5. copy and pasted values to the right (highlighted)</t>
  </si>
  <si>
    <t>6. added 2024 winner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</si>
</sst>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6" x14ac:knownFonts="1">
    <font>
      <sz val="10"/>
      <color rgb="FF000000"/>
      <name val="Times New Roman"/>
      <charset val="204"/>
    </font>
    <font>
      <sz val="6.5"/>
      <name val="Arial"/>
      <family val="2"/>
    </font>
    <font>
      <sz val="6.5"/>
      <color rgb="FF000000"/>
      <name val="Arial"/>
      <family val="2"/>
    </font>
    <font>
      <b/>
      <sz val="6.5"/>
      <name val="Arial"/>
      <family val="2"/>
    </font>
    <font>
      <b/>
      <sz val="6.5"/>
      <color rgb="FF00000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indent="1" shrinkToFit="1"/>
    </xf>
    <xf numFmtId="1" fontId="2" fillId="0" borderId="1" xfId="0" applyNumberFormat="1" applyFont="1" applyBorder="1" applyAlignment="1">
      <alignment horizontal="right" vertical="top" indent="1" shrinkToFit="1"/>
    </xf>
    <xf numFmtId="1" fontId="2" fillId="0" borderId="1" xfId="0" applyNumberFormat="1" applyFont="1" applyBorder="1" applyAlignment="1">
      <alignment horizontal="right" vertical="top" indent="2" shrinkToFi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2" shrinkToFit="1"/>
    </xf>
    <xf numFmtId="1" fontId="2" fillId="0" borderId="1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right" vertical="top" indent="2" shrinkToFit="1"/>
    </xf>
    <xf numFmtId="1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left" vertical="top" indent="2" shrinkToFit="1"/>
    </xf>
    <xf numFmtId="1" fontId="2" fillId="0" borderId="0" xfId="0" applyNumberFormat="1" applyFont="1" applyAlignment="1">
      <alignment horizontal="right" vertical="top" shrinkToFit="1"/>
    </xf>
    <xf numFmtId="3" fontId="2" fillId="0" borderId="0" xfId="0" applyNumberFormat="1" applyFont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3" fontId="2" fillId="0" borderId="2" xfId="0" applyNumberFormat="1" applyFont="1" applyBorder="1" applyAlignment="1">
      <alignment horizontal="right" vertical="top" indent="1" shrinkToFit="1"/>
    </xf>
    <xf numFmtId="1" fontId="2" fillId="0" borderId="2" xfId="0" applyNumberFormat="1" applyFont="1" applyBorder="1" applyAlignment="1">
      <alignment horizontal="right" vertical="top" indent="1" shrinkToFit="1"/>
    </xf>
    <xf numFmtId="1" fontId="2" fillId="0" borderId="2" xfId="0" applyNumberFormat="1" applyFont="1" applyBorder="1" applyAlignment="1">
      <alignment horizontal="right" vertical="top" indent="2" shrinkToFi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indent="2" shrinkToFit="1"/>
    </xf>
    <xf numFmtId="1" fontId="2" fillId="0" borderId="2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left" vertical="top" wrapText="1"/>
    </xf>
    <xf numFmtId="3" fontId="4" fillId="0" borderId="3" xfId="0" applyNumberFormat="1" applyFont="1" applyBorder="1" applyAlignment="1">
      <alignment horizontal="right" vertical="top" indent="1" shrinkToFit="1"/>
    </xf>
    <xf numFmtId="3" fontId="4" fillId="0" borderId="3" xfId="0" applyNumberFormat="1" applyFont="1" applyBorder="1" applyAlignment="1">
      <alignment horizontal="right" vertical="top" indent="2" shrinkToFit="1"/>
    </xf>
    <xf numFmtId="1" fontId="4" fillId="0" borderId="3" xfId="0" applyNumberFormat="1" applyFont="1" applyBorder="1" applyAlignment="1">
      <alignment horizontal="right" vertical="top" indent="2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left" vertical="top" indent="2" shrinkToFit="1"/>
    </xf>
    <xf numFmtId="1" fontId="4" fillId="0" borderId="3" xfId="0" applyNumberFormat="1" applyFont="1" applyBorder="1" applyAlignment="1">
      <alignment horizontal="right" vertical="top" shrinkToFit="1"/>
    </xf>
    <xf numFmtId="0" fontId="5" fillId="0" borderId="0" xfId="0" applyFont="1" applyAlignment="1">
      <alignment horizontal="left" vertical="top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4"/>
  <sheetViews>
    <sheetView tabSelected="1" zoomScale="150" zoomScaleNormal="150" workbookViewId="0">
      <selection activeCell="Z13" sqref="Z13"/>
    </sheetView>
  </sheetViews>
  <sheetFormatPr baseColWidth="10" defaultColWidth="9" defaultRowHeight="13" x14ac:dyDescent="0.15"/>
  <cols>
    <col min="1" max="1" width="11.59765625" customWidth="1"/>
    <col min="2" max="2" width="17.3984375" customWidth="1"/>
    <col min="3" max="3" width="9.3984375" customWidth="1"/>
    <col min="4" max="4" width="9.3984375" hidden="1" customWidth="1"/>
    <col min="5" max="5" width="9.3984375" customWidth="1"/>
    <col min="6" max="17" width="9.3984375" hidden="1" customWidth="1"/>
    <col min="18" max="18" width="10.19921875" hidden="1" customWidth="1"/>
    <col min="19" max="19" width="11.796875" customWidth="1"/>
    <col min="20" max="20" width="13.59765625" customWidth="1"/>
    <col min="21" max="21" width="12.3984375" customWidth="1"/>
    <col min="22" max="22" width="11.796875" customWidth="1"/>
    <col min="23" max="23" width="12" customWidth="1"/>
  </cols>
  <sheetData>
    <row r="1" spans="1:27" x14ac:dyDescent="0.15">
      <c r="B1" t="s">
        <v>121</v>
      </c>
      <c r="C1" t="s">
        <v>123</v>
      </c>
      <c r="D1" t="s">
        <v>125</v>
      </c>
      <c r="E1" t="s">
        <v>127</v>
      </c>
      <c r="F1" t="s">
        <v>129</v>
      </c>
      <c r="G1" t="s">
        <v>131</v>
      </c>
      <c r="H1" t="s">
        <v>133</v>
      </c>
      <c r="I1" t="s">
        <v>135</v>
      </c>
      <c r="J1" t="s">
        <v>137</v>
      </c>
      <c r="K1" t="s">
        <v>139</v>
      </c>
      <c r="L1" t="s">
        <v>141</v>
      </c>
      <c r="M1" t="s">
        <v>143</v>
      </c>
      <c r="N1" t="s">
        <v>145</v>
      </c>
      <c r="O1" t="s">
        <v>147</v>
      </c>
      <c r="P1" t="s">
        <v>149</v>
      </c>
      <c r="Q1" t="s">
        <v>151</v>
      </c>
      <c r="R1" t="s">
        <v>153</v>
      </c>
    </row>
    <row r="2" spans="1:27" x14ac:dyDescent="0.15">
      <c r="B2" t="s">
        <v>122</v>
      </c>
      <c r="C2" t="s">
        <v>124</v>
      </c>
      <c r="D2" t="s">
        <v>126</v>
      </c>
      <c r="E2" t="s">
        <v>128</v>
      </c>
      <c r="F2" t="s">
        <v>130</v>
      </c>
      <c r="G2" t="s">
        <v>132</v>
      </c>
      <c r="H2" t="s">
        <v>134</v>
      </c>
      <c r="I2" t="s">
        <v>136</v>
      </c>
      <c r="J2" t="s">
        <v>138</v>
      </c>
      <c r="K2" t="s">
        <v>140</v>
      </c>
      <c r="L2" t="s">
        <v>142</v>
      </c>
      <c r="M2" t="s">
        <v>144</v>
      </c>
      <c r="N2" t="s">
        <v>146</v>
      </c>
      <c r="O2" t="s">
        <v>148</v>
      </c>
      <c r="P2" t="s">
        <v>150</v>
      </c>
      <c r="Q2" t="s">
        <v>152</v>
      </c>
      <c r="R2" t="s">
        <v>154</v>
      </c>
      <c r="S2" s="30" t="s">
        <v>156</v>
      </c>
      <c r="T2" s="30" t="s">
        <v>157</v>
      </c>
      <c r="U2" s="30" t="s">
        <v>158</v>
      </c>
      <c r="V2" s="30" t="s">
        <v>159</v>
      </c>
      <c r="W2" s="30" t="s">
        <v>160</v>
      </c>
      <c r="X2" s="33" t="s">
        <v>156</v>
      </c>
      <c r="Y2" s="33" t="s">
        <v>157</v>
      </c>
      <c r="Z2" s="33" t="s">
        <v>158</v>
      </c>
      <c r="AA2" s="33" t="s">
        <v>159</v>
      </c>
    </row>
    <row r="3" spans="1:27" hidden="1" x14ac:dyDescent="0.15"/>
    <row r="4" spans="1:27" ht="12" customHeight="1" x14ac:dyDescent="0.15">
      <c r="A4" s="1" t="s">
        <v>0</v>
      </c>
      <c r="B4" s="2">
        <v>7643</v>
      </c>
      <c r="C4" s="2">
        <v>1257</v>
      </c>
      <c r="D4" s="3">
        <v>48</v>
      </c>
      <c r="E4" s="3">
        <v>13</v>
      </c>
      <c r="F4" s="3">
        <v>7</v>
      </c>
      <c r="G4" s="4">
        <v>3</v>
      </c>
      <c r="H4" s="4">
        <v>2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5">
        <v>0</v>
      </c>
      <c r="P4" s="6">
        <v>0</v>
      </c>
      <c r="Q4" s="6">
        <v>0</v>
      </c>
      <c r="R4" s="7">
        <v>0</v>
      </c>
      <c r="S4" s="31">
        <f>B4+C4+D4+E4+F4+G4+H4+I4+J4+K4+L4+M4+N4+O4+P4+Q4+R4</f>
        <v>8974</v>
      </c>
      <c r="T4" s="32">
        <f>C4/S4</f>
        <v>0.14007131713839982</v>
      </c>
      <c r="U4" s="32">
        <f>B4/S4</f>
        <v>0.85168263873412076</v>
      </c>
      <c r="V4" s="32">
        <f>E4/S4</f>
        <v>1.4486293737463784E-3</v>
      </c>
      <c r="W4" t="str">
        <f>IF(T4&gt;U4,"Harris","Trump")</f>
        <v>Trump</v>
      </c>
      <c r="X4">
        <v>8974</v>
      </c>
      <c r="Y4" s="32">
        <v>0.14007131713839982</v>
      </c>
      <c r="Z4" s="32">
        <v>0.85168263873412076</v>
      </c>
      <c r="AA4" s="32">
        <v>1.4486293737463784E-3</v>
      </c>
    </row>
    <row r="5" spans="1:27" ht="12" customHeight="1" x14ac:dyDescent="0.15">
      <c r="A5" s="8" t="s">
        <v>1</v>
      </c>
      <c r="B5" s="9">
        <v>7824</v>
      </c>
      <c r="C5" s="9">
        <v>1505</v>
      </c>
      <c r="D5" s="10">
        <v>57</v>
      </c>
      <c r="E5" s="10">
        <v>14</v>
      </c>
      <c r="F5" s="10">
        <v>16</v>
      </c>
      <c r="G5" s="11">
        <v>2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2">
        <v>0</v>
      </c>
      <c r="P5" s="13">
        <v>0</v>
      </c>
      <c r="Q5" s="13">
        <v>0</v>
      </c>
      <c r="R5" s="14">
        <v>0</v>
      </c>
      <c r="S5" s="31">
        <f t="shared" ref="S5:S68" si="0">B5+C5+D5+E5+F5+G5+H5+I5+J5+K5+L5+M5+N5+O5+P5+Q5+R5</f>
        <v>9418</v>
      </c>
      <c r="T5" s="32">
        <f t="shared" ref="T5:T68" si="1">C5/S5</f>
        <v>0.15980038224676152</v>
      </c>
      <c r="U5" s="32">
        <f t="shared" ref="U5:U68" si="2">B5/S5</f>
        <v>0.83074962837120403</v>
      </c>
      <c r="V5" s="32">
        <f t="shared" ref="V5:V68" si="3">E5/S5</f>
        <v>1.4865151836908049E-3</v>
      </c>
      <c r="W5" t="str">
        <f t="shared" ref="W5:W68" si="4">IF(T5&gt;U5,"Harris","Trump")</f>
        <v>Trump</v>
      </c>
      <c r="X5">
        <v>9418</v>
      </c>
      <c r="Y5" s="32">
        <v>0.15980038224676152</v>
      </c>
      <c r="Z5" s="32">
        <v>0.83074962837120403</v>
      </c>
      <c r="AA5" s="32">
        <v>1.4865151836908049E-3</v>
      </c>
    </row>
    <row r="6" spans="1:27" ht="12" customHeight="1" x14ac:dyDescent="0.15">
      <c r="A6" s="8" t="s">
        <v>2</v>
      </c>
      <c r="B6" s="9">
        <v>9650</v>
      </c>
      <c r="C6" s="9">
        <v>3226</v>
      </c>
      <c r="D6" s="10">
        <v>125</v>
      </c>
      <c r="E6" s="10">
        <v>39</v>
      </c>
      <c r="F6" s="10">
        <v>45</v>
      </c>
      <c r="G6" s="11">
        <v>5</v>
      </c>
      <c r="H6" s="11">
        <v>4</v>
      </c>
      <c r="I6" s="11">
        <v>0</v>
      </c>
      <c r="J6" s="11">
        <v>1</v>
      </c>
      <c r="K6" s="11">
        <v>0</v>
      </c>
      <c r="L6" s="11">
        <v>0</v>
      </c>
      <c r="M6" s="11">
        <v>0</v>
      </c>
      <c r="N6" s="11">
        <v>0</v>
      </c>
      <c r="O6" s="12">
        <v>0</v>
      </c>
      <c r="P6" s="13">
        <v>0</v>
      </c>
      <c r="Q6" s="13">
        <v>0</v>
      </c>
      <c r="R6" s="14">
        <v>0</v>
      </c>
      <c r="S6" s="31">
        <f t="shared" si="0"/>
        <v>13095</v>
      </c>
      <c r="T6" s="32">
        <f t="shared" si="1"/>
        <v>0.24635357006491027</v>
      </c>
      <c r="U6" s="32">
        <f t="shared" si="2"/>
        <v>0.7369224894998091</v>
      </c>
      <c r="V6" s="32">
        <f t="shared" si="3"/>
        <v>2.9782359679266894E-3</v>
      </c>
      <c r="W6" t="str">
        <f t="shared" si="4"/>
        <v>Trump</v>
      </c>
      <c r="X6">
        <v>13095</v>
      </c>
      <c r="Y6" s="32">
        <v>0.24635357006491027</v>
      </c>
      <c r="Z6" s="32">
        <v>0.7369224894998091</v>
      </c>
      <c r="AA6" s="32">
        <v>2.9782359679266894E-3</v>
      </c>
    </row>
    <row r="7" spans="1:27" ht="12" customHeight="1" x14ac:dyDescent="0.15">
      <c r="A7" s="8" t="s">
        <v>3</v>
      </c>
      <c r="B7" s="9">
        <v>3331</v>
      </c>
      <c r="C7" s="10">
        <v>697</v>
      </c>
      <c r="D7" s="10">
        <v>36</v>
      </c>
      <c r="E7" s="10">
        <v>17</v>
      </c>
      <c r="F7" s="10">
        <v>7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2">
        <v>0</v>
      </c>
      <c r="P7" s="13">
        <v>0</v>
      </c>
      <c r="Q7" s="13">
        <v>0</v>
      </c>
      <c r="R7" s="14">
        <v>0</v>
      </c>
      <c r="S7" s="31">
        <f t="shared" si="0"/>
        <v>4088</v>
      </c>
      <c r="T7" s="32">
        <f t="shared" si="1"/>
        <v>0.1704990215264188</v>
      </c>
      <c r="U7" s="32">
        <f t="shared" si="2"/>
        <v>0.81482387475538165</v>
      </c>
      <c r="V7" s="32">
        <f t="shared" si="3"/>
        <v>4.1585127201565555E-3</v>
      </c>
      <c r="W7" t="str">
        <f t="shared" si="4"/>
        <v>Trump</v>
      </c>
      <c r="X7">
        <v>4088</v>
      </c>
      <c r="Y7" s="32">
        <v>0.1704990215264188</v>
      </c>
      <c r="Z7" s="32">
        <v>0.81482387475538165</v>
      </c>
      <c r="AA7" s="32">
        <v>4.1585127201565555E-3</v>
      </c>
    </row>
    <row r="8" spans="1:27" ht="13" customHeight="1" x14ac:dyDescent="0.15">
      <c r="A8" s="8" t="s">
        <v>4</v>
      </c>
      <c r="B8" s="9">
        <v>15019</v>
      </c>
      <c r="C8" s="9">
        <v>4565</v>
      </c>
      <c r="D8" s="10">
        <v>136</v>
      </c>
      <c r="E8" s="10">
        <v>31</v>
      </c>
      <c r="F8" s="10">
        <v>39</v>
      </c>
      <c r="G8" s="11">
        <v>9</v>
      </c>
      <c r="H8" s="11">
        <v>2</v>
      </c>
      <c r="I8" s="11">
        <v>0</v>
      </c>
      <c r="J8" s="11">
        <v>1</v>
      </c>
      <c r="K8" s="11">
        <v>0</v>
      </c>
      <c r="L8" s="11">
        <v>0</v>
      </c>
      <c r="M8" s="11">
        <v>0</v>
      </c>
      <c r="N8" s="11">
        <v>0</v>
      </c>
      <c r="O8" s="12">
        <v>0</v>
      </c>
      <c r="P8" s="13">
        <v>0</v>
      </c>
      <c r="Q8" s="13">
        <v>0</v>
      </c>
      <c r="R8" s="14">
        <v>0</v>
      </c>
      <c r="S8" s="31">
        <f t="shared" si="0"/>
        <v>19802</v>
      </c>
      <c r="T8" s="32">
        <f t="shared" si="1"/>
        <v>0.23053226946773053</v>
      </c>
      <c r="U8" s="32">
        <f t="shared" si="2"/>
        <v>0.75845874154125847</v>
      </c>
      <c r="V8" s="32">
        <f t="shared" si="3"/>
        <v>1.5654984345015656E-3</v>
      </c>
      <c r="W8" t="str">
        <f t="shared" si="4"/>
        <v>Trump</v>
      </c>
      <c r="X8">
        <v>19802</v>
      </c>
      <c r="Y8" s="32">
        <v>0.23053226946773053</v>
      </c>
      <c r="Z8" s="32">
        <v>0.75845874154125847</v>
      </c>
      <c r="AA8" s="32">
        <v>1.5654984345015656E-3</v>
      </c>
    </row>
    <row r="9" spans="1:27" ht="12" customHeight="1" x14ac:dyDescent="0.15">
      <c r="A9" s="8" t="s">
        <v>5</v>
      </c>
      <c r="B9" s="9">
        <v>4041</v>
      </c>
      <c r="C9" s="9">
        <v>1278</v>
      </c>
      <c r="D9" s="10">
        <v>49</v>
      </c>
      <c r="E9" s="10">
        <v>9</v>
      </c>
      <c r="F9" s="10">
        <v>10</v>
      </c>
      <c r="G9" s="11">
        <v>2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2">
        <v>0</v>
      </c>
      <c r="P9" s="13">
        <v>0</v>
      </c>
      <c r="Q9" s="13">
        <v>0</v>
      </c>
      <c r="R9" s="14">
        <v>0</v>
      </c>
      <c r="S9" s="31">
        <f t="shared" si="0"/>
        <v>5389</v>
      </c>
      <c r="T9" s="32">
        <f t="shared" si="1"/>
        <v>0.23714974948970124</v>
      </c>
      <c r="U9" s="32">
        <f t="shared" si="2"/>
        <v>0.74986082761180184</v>
      </c>
      <c r="V9" s="32">
        <f t="shared" si="3"/>
        <v>1.6700686583781777E-3</v>
      </c>
      <c r="W9" t="str">
        <f t="shared" si="4"/>
        <v>Trump</v>
      </c>
      <c r="X9">
        <v>5389</v>
      </c>
      <c r="Y9" s="32">
        <v>0.23714974948970124</v>
      </c>
      <c r="Z9" s="32">
        <v>0.74986082761180184</v>
      </c>
      <c r="AA9" s="32">
        <v>1.6700686583781777E-3</v>
      </c>
    </row>
    <row r="10" spans="1:27" ht="12" customHeight="1" x14ac:dyDescent="0.15">
      <c r="A10" s="8" t="s">
        <v>6</v>
      </c>
      <c r="B10" s="9">
        <v>7831</v>
      </c>
      <c r="C10" s="9">
        <v>1419</v>
      </c>
      <c r="D10" s="10">
        <v>54</v>
      </c>
      <c r="E10" s="10">
        <v>17</v>
      </c>
      <c r="F10" s="10">
        <v>11</v>
      </c>
      <c r="G10" s="11">
        <v>5</v>
      </c>
      <c r="H10" s="11">
        <v>2</v>
      </c>
      <c r="I10" s="11">
        <v>0</v>
      </c>
      <c r="J10" s="11">
        <v>1</v>
      </c>
      <c r="K10" s="11">
        <v>0</v>
      </c>
      <c r="L10" s="11">
        <v>0</v>
      </c>
      <c r="M10" s="11">
        <v>0</v>
      </c>
      <c r="N10" s="11">
        <v>0</v>
      </c>
      <c r="O10" s="12">
        <v>0</v>
      </c>
      <c r="P10" s="13">
        <v>0</v>
      </c>
      <c r="Q10" s="13">
        <v>0</v>
      </c>
      <c r="R10" s="14">
        <v>0</v>
      </c>
      <c r="S10" s="31">
        <f t="shared" si="0"/>
        <v>9340</v>
      </c>
      <c r="T10" s="32">
        <f t="shared" si="1"/>
        <v>0.15192719486081371</v>
      </c>
      <c r="U10" s="32">
        <f t="shared" si="2"/>
        <v>0.83843683083511777</v>
      </c>
      <c r="V10" s="32">
        <f t="shared" si="3"/>
        <v>1.8201284796573877E-3</v>
      </c>
      <c r="W10" t="str">
        <f t="shared" si="4"/>
        <v>Trump</v>
      </c>
      <c r="X10">
        <v>9340</v>
      </c>
      <c r="Y10" s="32">
        <v>0.15192719486081371</v>
      </c>
      <c r="Z10" s="32">
        <v>0.83843683083511777</v>
      </c>
      <c r="AA10" s="32">
        <v>1.8201284796573877E-3</v>
      </c>
    </row>
    <row r="11" spans="1:27" ht="13" customHeight="1" x14ac:dyDescent="0.15">
      <c r="A11" s="8" t="s">
        <v>7</v>
      </c>
      <c r="B11" s="9">
        <v>45650</v>
      </c>
      <c r="C11" s="9">
        <v>20601</v>
      </c>
      <c r="D11" s="10">
        <v>532</v>
      </c>
      <c r="E11" s="10">
        <v>226</v>
      </c>
      <c r="F11" s="10">
        <v>331</v>
      </c>
      <c r="G11" s="11">
        <v>42</v>
      </c>
      <c r="H11" s="11">
        <v>25</v>
      </c>
      <c r="I11" s="11">
        <v>11</v>
      </c>
      <c r="J11" s="11">
        <v>0</v>
      </c>
      <c r="K11" s="11">
        <v>0</v>
      </c>
      <c r="L11" s="11">
        <v>2</v>
      </c>
      <c r="M11" s="11">
        <v>0</v>
      </c>
      <c r="N11" s="11">
        <v>0</v>
      </c>
      <c r="O11" s="12">
        <v>1</v>
      </c>
      <c r="P11" s="13">
        <v>0</v>
      </c>
      <c r="Q11" s="13">
        <v>0</v>
      </c>
      <c r="R11" s="14">
        <v>0</v>
      </c>
      <c r="S11" s="31">
        <f t="shared" si="0"/>
        <v>67421</v>
      </c>
      <c r="T11" s="32">
        <f t="shared" si="1"/>
        <v>0.3055576155797155</v>
      </c>
      <c r="U11" s="32">
        <f t="shared" si="2"/>
        <v>0.67708874089675319</v>
      </c>
      <c r="V11" s="32">
        <f t="shared" si="3"/>
        <v>3.3520713130923601E-3</v>
      </c>
      <c r="W11" t="str">
        <f t="shared" si="4"/>
        <v>Trump</v>
      </c>
      <c r="X11">
        <v>67421</v>
      </c>
      <c r="Y11" s="32">
        <v>0.3055576155797155</v>
      </c>
      <c r="Z11" s="32">
        <v>0.67708874089675319</v>
      </c>
      <c r="AA11" s="32">
        <v>3.3520713130923601E-3</v>
      </c>
    </row>
    <row r="12" spans="1:27" ht="12" customHeight="1" x14ac:dyDescent="0.15">
      <c r="A12" s="8" t="s">
        <v>8</v>
      </c>
      <c r="B12" s="9">
        <v>6284</v>
      </c>
      <c r="C12" s="9">
        <v>3088</v>
      </c>
      <c r="D12" s="10">
        <v>99</v>
      </c>
      <c r="E12" s="10">
        <v>31</v>
      </c>
      <c r="F12" s="10">
        <v>33</v>
      </c>
      <c r="G12" s="11">
        <v>0</v>
      </c>
      <c r="H12" s="11">
        <v>1</v>
      </c>
      <c r="I12" s="11">
        <v>1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2">
        <v>0</v>
      </c>
      <c r="P12" s="13">
        <v>0</v>
      </c>
      <c r="Q12" s="13">
        <v>0</v>
      </c>
      <c r="R12" s="14">
        <v>0</v>
      </c>
      <c r="S12" s="31">
        <f t="shared" si="0"/>
        <v>9537</v>
      </c>
      <c r="T12" s="32">
        <f t="shared" si="1"/>
        <v>0.32379154870504351</v>
      </c>
      <c r="U12" s="32">
        <f t="shared" si="2"/>
        <v>0.65890741323267277</v>
      </c>
      <c r="V12" s="32">
        <f t="shared" si="3"/>
        <v>3.2504980601866414E-3</v>
      </c>
      <c r="W12" t="str">
        <f t="shared" si="4"/>
        <v>Trump</v>
      </c>
      <c r="X12">
        <v>9537</v>
      </c>
      <c r="Y12" s="32">
        <v>0.32379154870504351</v>
      </c>
      <c r="Z12" s="32">
        <v>0.65890741323267277</v>
      </c>
      <c r="AA12" s="32">
        <v>3.2504980601866414E-3</v>
      </c>
    </row>
    <row r="13" spans="1:27" ht="12" customHeight="1" x14ac:dyDescent="0.15">
      <c r="A13" s="8" t="s">
        <v>9</v>
      </c>
      <c r="B13" s="9">
        <v>14363</v>
      </c>
      <c r="C13" s="9">
        <v>6291</v>
      </c>
      <c r="D13" s="10">
        <v>180</v>
      </c>
      <c r="E13" s="10">
        <v>51</v>
      </c>
      <c r="F13" s="10">
        <v>54</v>
      </c>
      <c r="G13" s="11">
        <v>12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2">
        <v>0</v>
      </c>
      <c r="P13" s="13">
        <v>0</v>
      </c>
      <c r="Q13" s="13">
        <v>0</v>
      </c>
      <c r="R13" s="14">
        <v>0</v>
      </c>
      <c r="S13" s="31">
        <f t="shared" si="0"/>
        <v>20951</v>
      </c>
      <c r="T13" s="32">
        <f t="shared" si="1"/>
        <v>0.30027206338599588</v>
      </c>
      <c r="U13" s="32">
        <f t="shared" si="2"/>
        <v>0.68555200229106006</v>
      </c>
      <c r="V13" s="32">
        <f t="shared" si="3"/>
        <v>2.4342513483843254E-3</v>
      </c>
      <c r="W13" t="str">
        <f t="shared" si="4"/>
        <v>Trump</v>
      </c>
      <c r="X13">
        <v>20951</v>
      </c>
      <c r="Y13" s="32">
        <v>0.30027206338599588</v>
      </c>
      <c r="Z13" s="32">
        <v>0.68555200229106006</v>
      </c>
      <c r="AA13" s="32">
        <v>2.4342513483843254E-3</v>
      </c>
    </row>
    <row r="14" spans="1:27" ht="13" customHeight="1" x14ac:dyDescent="0.15">
      <c r="A14" s="8" t="s">
        <v>10</v>
      </c>
      <c r="B14" s="9">
        <v>9159</v>
      </c>
      <c r="C14" s="9">
        <v>4990</v>
      </c>
      <c r="D14" s="10">
        <v>121</v>
      </c>
      <c r="E14" s="10">
        <v>41</v>
      </c>
      <c r="F14" s="10">
        <v>51</v>
      </c>
      <c r="G14" s="11">
        <v>9</v>
      </c>
      <c r="H14" s="11">
        <v>2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2">
        <v>0</v>
      </c>
      <c r="P14" s="13">
        <v>0</v>
      </c>
      <c r="Q14" s="13">
        <v>0</v>
      </c>
      <c r="R14" s="14">
        <v>0</v>
      </c>
      <c r="S14" s="31">
        <f t="shared" si="0"/>
        <v>14373</v>
      </c>
      <c r="T14" s="32">
        <f t="shared" si="1"/>
        <v>0.34717873791136156</v>
      </c>
      <c r="U14" s="32">
        <f t="shared" si="2"/>
        <v>0.63723648507618447</v>
      </c>
      <c r="V14" s="32">
        <f t="shared" si="3"/>
        <v>2.8525707924580809E-3</v>
      </c>
      <c r="W14" t="str">
        <f t="shared" si="4"/>
        <v>Trump</v>
      </c>
      <c r="X14">
        <v>14373</v>
      </c>
      <c r="Y14" s="32">
        <v>0.34717873791136156</v>
      </c>
      <c r="Z14" s="32">
        <v>0.63723648507618447</v>
      </c>
      <c r="AA14" s="32">
        <v>2.8525707924580809E-3</v>
      </c>
    </row>
    <row r="15" spans="1:27" ht="12" customHeight="1" x14ac:dyDescent="0.15">
      <c r="A15" s="8" t="s">
        <v>11</v>
      </c>
      <c r="B15" s="9">
        <v>3399</v>
      </c>
      <c r="C15" s="10">
        <v>702</v>
      </c>
      <c r="D15" s="10">
        <v>22</v>
      </c>
      <c r="E15" s="10">
        <v>8</v>
      </c>
      <c r="F15" s="10">
        <v>8</v>
      </c>
      <c r="G15" s="11">
        <v>7</v>
      </c>
      <c r="H15" s="11">
        <v>2</v>
      </c>
      <c r="I15" s="11">
        <v>0</v>
      </c>
      <c r="J15" s="11">
        <v>0</v>
      </c>
      <c r="K15" s="11">
        <v>5</v>
      </c>
      <c r="L15" s="11">
        <v>0</v>
      </c>
      <c r="M15" s="11">
        <v>0</v>
      </c>
      <c r="N15" s="11">
        <v>0</v>
      </c>
      <c r="O15" s="12">
        <v>0</v>
      </c>
      <c r="P15" s="13">
        <v>0</v>
      </c>
      <c r="Q15" s="13">
        <v>0</v>
      </c>
      <c r="R15" s="14">
        <v>0</v>
      </c>
      <c r="S15" s="31">
        <f t="shared" si="0"/>
        <v>4153</v>
      </c>
      <c r="T15" s="32">
        <f t="shared" si="1"/>
        <v>0.16903443294004333</v>
      </c>
      <c r="U15" s="32">
        <f t="shared" si="2"/>
        <v>0.81844449795328678</v>
      </c>
      <c r="V15" s="32">
        <f t="shared" si="3"/>
        <v>1.926318324103058E-3</v>
      </c>
      <c r="W15" t="str">
        <f t="shared" si="4"/>
        <v>Trump</v>
      </c>
      <c r="X15">
        <v>4153</v>
      </c>
      <c r="Y15" s="32">
        <v>0.16903443294004333</v>
      </c>
      <c r="Z15" s="32">
        <v>0.81844449795328678</v>
      </c>
      <c r="AA15" s="32">
        <v>1.926318324103058E-3</v>
      </c>
    </row>
    <row r="16" spans="1:27" ht="12" customHeight="1" x14ac:dyDescent="0.15">
      <c r="A16" s="8" t="s">
        <v>12</v>
      </c>
      <c r="B16" s="9">
        <v>4036</v>
      </c>
      <c r="C16" s="9">
        <v>1002</v>
      </c>
      <c r="D16" s="10">
        <v>40</v>
      </c>
      <c r="E16" s="10">
        <v>17</v>
      </c>
      <c r="F16" s="10">
        <v>12</v>
      </c>
      <c r="G16" s="11">
        <v>6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2">
        <v>0</v>
      </c>
      <c r="P16" s="13">
        <v>0</v>
      </c>
      <c r="Q16" s="13">
        <v>0</v>
      </c>
      <c r="R16" s="14">
        <v>0</v>
      </c>
      <c r="S16" s="31">
        <f t="shared" si="0"/>
        <v>5113</v>
      </c>
      <c r="T16" s="32">
        <f t="shared" si="1"/>
        <v>0.19597105417563074</v>
      </c>
      <c r="U16" s="32">
        <f t="shared" si="2"/>
        <v>0.78936045374535502</v>
      </c>
      <c r="V16" s="32">
        <f t="shared" si="3"/>
        <v>3.3248582045765696E-3</v>
      </c>
      <c r="W16" t="str">
        <f t="shared" si="4"/>
        <v>Trump</v>
      </c>
      <c r="X16">
        <v>5113</v>
      </c>
      <c r="Y16" s="32">
        <v>0.19597105417563074</v>
      </c>
      <c r="Z16" s="32">
        <v>0.78936045374535502</v>
      </c>
      <c r="AA16" s="32">
        <v>3.3248582045765696E-3</v>
      </c>
    </row>
    <row r="17" spans="1:27" ht="13" customHeight="1" x14ac:dyDescent="0.15">
      <c r="A17" s="8" t="s">
        <v>13</v>
      </c>
      <c r="B17" s="9">
        <v>7882</v>
      </c>
      <c r="C17" s="9">
        <v>2038</v>
      </c>
      <c r="D17" s="10">
        <v>82</v>
      </c>
      <c r="E17" s="10">
        <v>26</v>
      </c>
      <c r="F17" s="10">
        <v>16</v>
      </c>
      <c r="G17" s="11">
        <v>2</v>
      </c>
      <c r="H17" s="11">
        <v>2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2">
        <v>0</v>
      </c>
      <c r="P17" s="13">
        <v>0</v>
      </c>
      <c r="Q17" s="13">
        <v>0</v>
      </c>
      <c r="R17" s="14">
        <v>0</v>
      </c>
      <c r="S17" s="31">
        <f t="shared" si="0"/>
        <v>10048</v>
      </c>
      <c r="T17" s="32">
        <f t="shared" si="1"/>
        <v>0.20282643312101911</v>
      </c>
      <c r="U17" s="32">
        <f t="shared" si="2"/>
        <v>0.78443471337579618</v>
      </c>
      <c r="V17" s="32">
        <f t="shared" si="3"/>
        <v>2.5875796178343948E-3</v>
      </c>
      <c r="W17" t="str">
        <f t="shared" si="4"/>
        <v>Trump</v>
      </c>
      <c r="X17">
        <v>10048</v>
      </c>
      <c r="Y17" s="32">
        <v>0.20282643312101911</v>
      </c>
      <c r="Z17" s="32">
        <v>0.78443471337579618</v>
      </c>
      <c r="AA17" s="32">
        <v>2.5875796178343948E-3</v>
      </c>
    </row>
    <row r="18" spans="1:27" ht="12" customHeight="1" x14ac:dyDescent="0.15">
      <c r="A18" s="8" t="s">
        <v>14</v>
      </c>
      <c r="B18" s="9">
        <v>32299</v>
      </c>
      <c r="C18" s="9">
        <v>10280</v>
      </c>
      <c r="D18" s="10">
        <v>375</v>
      </c>
      <c r="E18" s="10">
        <v>98</v>
      </c>
      <c r="F18" s="10">
        <v>114</v>
      </c>
      <c r="G18" s="11">
        <v>21</v>
      </c>
      <c r="H18" s="11">
        <v>15</v>
      </c>
      <c r="I18" s="11">
        <v>6</v>
      </c>
      <c r="J18" s="11">
        <v>1</v>
      </c>
      <c r="K18" s="11">
        <v>0</v>
      </c>
      <c r="L18" s="11">
        <v>0</v>
      </c>
      <c r="M18" s="11">
        <v>0</v>
      </c>
      <c r="N18" s="11">
        <v>0</v>
      </c>
      <c r="O18" s="12">
        <v>0</v>
      </c>
      <c r="P18" s="13">
        <v>0</v>
      </c>
      <c r="Q18" s="13">
        <v>0</v>
      </c>
      <c r="R18" s="14">
        <v>0</v>
      </c>
      <c r="S18" s="31">
        <f t="shared" si="0"/>
        <v>43209</v>
      </c>
      <c r="T18" s="32">
        <f t="shared" si="1"/>
        <v>0.23791339767178135</v>
      </c>
      <c r="U18" s="32">
        <f t="shared" si="2"/>
        <v>0.74750630655650441</v>
      </c>
      <c r="V18" s="32">
        <f t="shared" si="3"/>
        <v>2.2680460089333243E-3</v>
      </c>
      <c r="W18" t="str">
        <f t="shared" si="4"/>
        <v>Trump</v>
      </c>
      <c r="X18">
        <v>43209</v>
      </c>
      <c r="Y18" s="32">
        <v>0.23791339767178135</v>
      </c>
      <c r="Z18" s="32">
        <v>0.74750630655650441</v>
      </c>
      <c r="AA18" s="32">
        <v>2.2680460089333243E-3</v>
      </c>
    </row>
    <row r="19" spans="1:27" ht="12" customHeight="1" x14ac:dyDescent="0.15">
      <c r="A19" s="8" t="s">
        <v>15</v>
      </c>
      <c r="B19" s="9">
        <v>4905</v>
      </c>
      <c r="C19" s="10">
        <v>965</v>
      </c>
      <c r="D19" s="10">
        <v>42</v>
      </c>
      <c r="E19" s="10">
        <v>11</v>
      </c>
      <c r="F19" s="10">
        <v>19</v>
      </c>
      <c r="G19" s="11">
        <v>0</v>
      </c>
      <c r="H19" s="11">
        <v>0</v>
      </c>
      <c r="I19" s="11">
        <v>1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2">
        <v>0</v>
      </c>
      <c r="P19" s="13">
        <v>0</v>
      </c>
      <c r="Q19" s="13">
        <v>0</v>
      </c>
      <c r="R19" s="14">
        <v>0</v>
      </c>
      <c r="S19" s="31">
        <f t="shared" si="0"/>
        <v>5943</v>
      </c>
      <c r="T19" s="32">
        <f t="shared" si="1"/>
        <v>0.16237590442537439</v>
      </c>
      <c r="U19" s="32">
        <f t="shared" si="2"/>
        <v>0.82534073700151434</v>
      </c>
      <c r="V19" s="32">
        <f t="shared" si="3"/>
        <v>1.8509170452633351E-3</v>
      </c>
      <c r="W19" t="str">
        <f t="shared" si="4"/>
        <v>Trump</v>
      </c>
      <c r="X19">
        <v>5943</v>
      </c>
      <c r="Y19" s="32">
        <v>0.16237590442537439</v>
      </c>
      <c r="Z19" s="32">
        <v>0.82534073700151434</v>
      </c>
      <c r="AA19" s="32">
        <v>1.8509170452633351E-3</v>
      </c>
    </row>
    <row r="20" spans="1:27" ht="13.25" customHeight="1" x14ac:dyDescent="0.15">
      <c r="A20" s="8" t="s">
        <v>16</v>
      </c>
      <c r="B20" s="9">
        <v>4860</v>
      </c>
      <c r="C20" s="9">
        <v>1256</v>
      </c>
      <c r="D20" s="10">
        <v>40</v>
      </c>
      <c r="E20" s="10">
        <v>9</v>
      </c>
      <c r="F20" s="10">
        <v>20</v>
      </c>
      <c r="G20" s="11">
        <v>3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2">
        <v>0</v>
      </c>
      <c r="P20" s="13">
        <v>0</v>
      </c>
      <c r="Q20" s="13">
        <v>0</v>
      </c>
      <c r="R20" s="14">
        <v>0</v>
      </c>
      <c r="S20" s="31">
        <f t="shared" si="0"/>
        <v>6188</v>
      </c>
      <c r="T20" s="32">
        <f t="shared" si="1"/>
        <v>0.20297349709114415</v>
      </c>
      <c r="U20" s="32">
        <f t="shared" si="2"/>
        <v>0.78539107950872655</v>
      </c>
      <c r="V20" s="32">
        <f t="shared" si="3"/>
        <v>1.4544279250161603E-3</v>
      </c>
      <c r="W20" t="str">
        <f t="shared" si="4"/>
        <v>Trump</v>
      </c>
      <c r="X20">
        <v>6188</v>
      </c>
      <c r="Y20" s="32">
        <v>0.20297349709114415</v>
      </c>
      <c r="Z20" s="32">
        <v>0.78539107950872655</v>
      </c>
      <c r="AA20" s="32">
        <v>1.4544279250161603E-3</v>
      </c>
    </row>
    <row r="21" spans="1:27" ht="12" customHeight="1" x14ac:dyDescent="0.15">
      <c r="A21" s="8" t="s">
        <v>17</v>
      </c>
      <c r="B21" s="15">
        <v>11539</v>
      </c>
      <c r="C21" s="9">
        <v>5111</v>
      </c>
      <c r="D21" s="10">
        <v>165</v>
      </c>
      <c r="E21" s="10">
        <v>59</v>
      </c>
      <c r="F21" s="10">
        <v>54</v>
      </c>
      <c r="G21" s="10">
        <v>8</v>
      </c>
      <c r="H21" s="10">
        <v>3</v>
      </c>
      <c r="I21" s="10">
        <v>3</v>
      </c>
      <c r="J21" s="11">
        <v>3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4">
        <v>0</v>
      </c>
      <c r="S21" s="31">
        <f t="shared" si="0"/>
        <v>16945</v>
      </c>
      <c r="T21" s="32">
        <f t="shared" si="1"/>
        <v>0.30162289760991445</v>
      </c>
      <c r="U21" s="32">
        <f t="shared" si="2"/>
        <v>0.68096783712009445</v>
      </c>
      <c r="V21" s="32">
        <f t="shared" si="3"/>
        <v>3.4818530539982295E-3</v>
      </c>
      <c r="W21" t="str">
        <f t="shared" si="4"/>
        <v>Trump</v>
      </c>
      <c r="X21">
        <v>16945</v>
      </c>
      <c r="Y21" s="32">
        <v>0.30162289760991445</v>
      </c>
      <c r="Z21" s="32">
        <v>0.68096783712009445</v>
      </c>
      <c r="AA21" s="32">
        <v>3.4818530539982295E-3</v>
      </c>
    </row>
    <row r="22" spans="1:27" ht="12" customHeight="1" x14ac:dyDescent="0.15">
      <c r="A22" s="8" t="s">
        <v>18</v>
      </c>
      <c r="B22" s="15">
        <v>28450</v>
      </c>
      <c r="C22" s="9">
        <v>18952</v>
      </c>
      <c r="D22" s="10">
        <v>431</v>
      </c>
      <c r="E22" s="10">
        <v>212</v>
      </c>
      <c r="F22" s="10">
        <v>232</v>
      </c>
      <c r="G22" s="10">
        <v>25</v>
      </c>
      <c r="H22" s="10">
        <v>14</v>
      </c>
      <c r="I22" s="10">
        <v>12</v>
      </c>
      <c r="J22" s="11">
        <v>4</v>
      </c>
      <c r="K22" s="11">
        <v>0</v>
      </c>
      <c r="L22" s="11">
        <v>0</v>
      </c>
      <c r="M22" s="11">
        <v>0</v>
      </c>
      <c r="N22" s="11">
        <v>2</v>
      </c>
      <c r="O22" s="11">
        <v>0</v>
      </c>
      <c r="P22" s="11">
        <v>0</v>
      </c>
      <c r="Q22" s="11">
        <v>0</v>
      </c>
      <c r="R22" s="14">
        <v>0</v>
      </c>
      <c r="S22" s="31">
        <f t="shared" si="0"/>
        <v>48334</v>
      </c>
      <c r="T22" s="32">
        <f t="shared" si="1"/>
        <v>0.3921049364836347</v>
      </c>
      <c r="U22" s="32">
        <f t="shared" si="2"/>
        <v>0.58861257086109153</v>
      </c>
      <c r="V22" s="32">
        <f t="shared" si="3"/>
        <v>4.3861463979807174E-3</v>
      </c>
      <c r="W22" t="str">
        <f t="shared" si="4"/>
        <v>Trump</v>
      </c>
      <c r="X22">
        <v>48334</v>
      </c>
      <c r="Y22" s="32">
        <v>0.3921049364836347</v>
      </c>
      <c r="Z22" s="32">
        <v>0.58861257086109153</v>
      </c>
      <c r="AA22" s="32">
        <v>4.3861463979807174E-3</v>
      </c>
    </row>
    <row r="23" spans="1:27" ht="13" customHeight="1" x14ac:dyDescent="0.15">
      <c r="A23" s="8" t="s">
        <v>19</v>
      </c>
      <c r="B23" s="15">
        <v>2182</v>
      </c>
      <c r="C23" s="10">
        <v>408</v>
      </c>
      <c r="D23" s="10">
        <v>14</v>
      </c>
      <c r="E23" s="10">
        <v>1</v>
      </c>
      <c r="F23" s="10">
        <v>4</v>
      </c>
      <c r="G23" s="10">
        <v>1</v>
      </c>
      <c r="H23" s="10">
        <v>0</v>
      </c>
      <c r="I23" s="10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4">
        <v>0</v>
      </c>
      <c r="S23" s="31">
        <f t="shared" si="0"/>
        <v>2610</v>
      </c>
      <c r="T23" s="32">
        <f t="shared" si="1"/>
        <v>0.15632183908045977</v>
      </c>
      <c r="U23" s="32">
        <f t="shared" si="2"/>
        <v>0.83601532567049808</v>
      </c>
      <c r="V23" s="32">
        <f t="shared" si="3"/>
        <v>3.8314176245210729E-4</v>
      </c>
      <c r="W23" t="str">
        <f t="shared" si="4"/>
        <v>Trump</v>
      </c>
      <c r="X23">
        <v>2610</v>
      </c>
      <c r="Y23" s="32">
        <v>0.15632183908045977</v>
      </c>
      <c r="Z23" s="32">
        <v>0.83601532567049808</v>
      </c>
      <c r="AA23" s="32">
        <v>3.8314176245210729E-4</v>
      </c>
    </row>
    <row r="24" spans="1:27" ht="12" customHeight="1" x14ac:dyDescent="0.15">
      <c r="A24" s="8" t="s">
        <v>20</v>
      </c>
      <c r="B24" s="15">
        <v>3014</v>
      </c>
      <c r="C24" s="10">
        <v>963</v>
      </c>
      <c r="D24" s="10">
        <v>29</v>
      </c>
      <c r="E24" s="10">
        <v>8</v>
      </c>
      <c r="F24" s="10">
        <v>11</v>
      </c>
      <c r="G24" s="10">
        <v>0</v>
      </c>
      <c r="H24" s="10">
        <v>0</v>
      </c>
      <c r="I24" s="10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4">
        <v>0</v>
      </c>
      <c r="S24" s="31">
        <f t="shared" si="0"/>
        <v>4025</v>
      </c>
      <c r="T24" s="32">
        <f t="shared" si="1"/>
        <v>0.23925465838509316</v>
      </c>
      <c r="U24" s="32">
        <f t="shared" si="2"/>
        <v>0.74881987577639753</v>
      </c>
      <c r="V24" s="32">
        <f t="shared" si="3"/>
        <v>1.9875776397515529E-3</v>
      </c>
      <c r="W24" t="str">
        <f t="shared" si="4"/>
        <v>Trump</v>
      </c>
      <c r="X24">
        <v>4025</v>
      </c>
      <c r="Y24" s="32">
        <v>0.23925465838509316</v>
      </c>
      <c r="Z24" s="32">
        <v>0.74881987577639753</v>
      </c>
      <c r="AA24" s="32">
        <v>1.9875776397515529E-3</v>
      </c>
    </row>
    <row r="25" spans="1:27" ht="12" customHeight="1" x14ac:dyDescent="0.15">
      <c r="A25" s="8" t="s">
        <v>21</v>
      </c>
      <c r="B25" s="15">
        <v>8981</v>
      </c>
      <c r="C25" s="9">
        <v>2305</v>
      </c>
      <c r="D25" s="10">
        <v>81</v>
      </c>
      <c r="E25" s="10">
        <v>22</v>
      </c>
      <c r="F25" s="10">
        <v>27</v>
      </c>
      <c r="G25" s="10">
        <v>4</v>
      </c>
      <c r="H25" s="10">
        <v>1</v>
      </c>
      <c r="I25" s="10">
        <v>1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4">
        <v>0</v>
      </c>
      <c r="S25" s="31">
        <f t="shared" si="0"/>
        <v>11422</v>
      </c>
      <c r="T25" s="32">
        <f t="shared" si="1"/>
        <v>0.20180353703379444</v>
      </c>
      <c r="U25" s="32">
        <f t="shared" si="2"/>
        <v>0.78628961652950446</v>
      </c>
      <c r="V25" s="32">
        <f t="shared" si="3"/>
        <v>1.9261075118192962E-3</v>
      </c>
      <c r="W25" t="str">
        <f t="shared" si="4"/>
        <v>Trump</v>
      </c>
      <c r="X25">
        <v>11422</v>
      </c>
      <c r="Y25" s="32">
        <v>0.20180353703379444</v>
      </c>
      <c r="Z25" s="32">
        <v>0.78628961652950446</v>
      </c>
      <c r="AA25" s="32">
        <v>1.9261075118192962E-3</v>
      </c>
    </row>
    <row r="26" spans="1:27" ht="12" customHeight="1" x14ac:dyDescent="0.15">
      <c r="A26" s="8" t="s">
        <v>22</v>
      </c>
      <c r="B26" s="15">
        <v>6216</v>
      </c>
      <c r="C26" s="10">
        <v>804</v>
      </c>
      <c r="D26" s="10">
        <v>40</v>
      </c>
      <c r="E26" s="10">
        <v>6</v>
      </c>
      <c r="F26" s="10">
        <v>12</v>
      </c>
      <c r="G26" s="10">
        <v>2</v>
      </c>
      <c r="H26" s="10">
        <v>0</v>
      </c>
      <c r="I26" s="10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4">
        <v>0</v>
      </c>
      <c r="S26" s="31">
        <f t="shared" si="0"/>
        <v>7080</v>
      </c>
      <c r="T26" s="32">
        <f t="shared" si="1"/>
        <v>0.11355932203389831</v>
      </c>
      <c r="U26" s="32">
        <f t="shared" si="2"/>
        <v>0.87796610169491529</v>
      </c>
      <c r="V26" s="32">
        <f t="shared" si="3"/>
        <v>8.4745762711864404E-4</v>
      </c>
      <c r="W26" t="str">
        <f t="shared" si="4"/>
        <v>Trump</v>
      </c>
      <c r="X26">
        <v>7080</v>
      </c>
      <c r="Y26" s="32">
        <v>0.11355932203389831</v>
      </c>
      <c r="Z26" s="32">
        <v>0.87796610169491529</v>
      </c>
      <c r="AA26" s="32">
        <v>8.4745762711864404E-4</v>
      </c>
    </row>
    <row r="27" spans="1:27" ht="13" customHeight="1" x14ac:dyDescent="0.15">
      <c r="A27" s="8" t="s">
        <v>23</v>
      </c>
      <c r="B27" s="15">
        <v>14332</v>
      </c>
      <c r="C27" s="9">
        <v>7055</v>
      </c>
      <c r="D27" s="10">
        <v>159</v>
      </c>
      <c r="E27" s="10">
        <v>56</v>
      </c>
      <c r="F27" s="10">
        <v>58</v>
      </c>
      <c r="G27" s="10">
        <v>11</v>
      </c>
      <c r="H27" s="10">
        <v>0</v>
      </c>
      <c r="I27" s="10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4">
        <v>0</v>
      </c>
      <c r="S27" s="31">
        <f t="shared" si="0"/>
        <v>21671</v>
      </c>
      <c r="T27" s="32">
        <f t="shared" si="1"/>
        <v>0.32555027456047253</v>
      </c>
      <c r="U27" s="32">
        <f t="shared" si="2"/>
        <v>0.66134465414609389</v>
      </c>
      <c r="V27" s="32">
        <f t="shared" si="3"/>
        <v>2.5840985649024043E-3</v>
      </c>
      <c r="W27" t="str">
        <f t="shared" si="4"/>
        <v>Trump</v>
      </c>
      <c r="X27">
        <v>21671</v>
      </c>
      <c r="Y27" s="32">
        <v>0.32555027456047253</v>
      </c>
      <c r="Z27" s="32">
        <v>0.66134465414609389</v>
      </c>
      <c r="AA27" s="32">
        <v>2.5840985649024043E-3</v>
      </c>
    </row>
    <row r="28" spans="1:27" ht="12" customHeight="1" x14ac:dyDescent="0.15">
      <c r="A28" s="8" t="s">
        <v>24</v>
      </c>
      <c r="B28" s="15">
        <v>11950</v>
      </c>
      <c r="C28" s="9">
        <v>5639</v>
      </c>
      <c r="D28" s="10">
        <v>165</v>
      </c>
      <c r="E28" s="10">
        <v>60</v>
      </c>
      <c r="F28" s="10">
        <v>51</v>
      </c>
      <c r="G28" s="10">
        <v>3</v>
      </c>
      <c r="H28" s="10">
        <v>7</v>
      </c>
      <c r="I28" s="10">
        <v>4</v>
      </c>
      <c r="J28" s="11">
        <v>5</v>
      </c>
      <c r="K28" s="11">
        <v>0</v>
      </c>
      <c r="L28" s="11">
        <v>1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4">
        <v>0</v>
      </c>
      <c r="S28" s="31">
        <f t="shared" si="0"/>
        <v>17885</v>
      </c>
      <c r="T28" s="32">
        <f t="shared" si="1"/>
        <v>0.31529214425496227</v>
      </c>
      <c r="U28" s="32">
        <f t="shared" si="2"/>
        <v>0.66815767402851556</v>
      </c>
      <c r="V28" s="32">
        <f t="shared" si="3"/>
        <v>3.3547665641599105E-3</v>
      </c>
      <c r="W28" t="str">
        <f t="shared" si="4"/>
        <v>Trump</v>
      </c>
      <c r="X28">
        <v>17885</v>
      </c>
      <c r="Y28" s="32">
        <v>0.31529214425496227</v>
      </c>
      <c r="Z28" s="32">
        <v>0.66815767402851556</v>
      </c>
      <c r="AA28" s="32">
        <v>3.3547665641599105E-3</v>
      </c>
    </row>
    <row r="29" spans="1:27" ht="12" customHeight="1" x14ac:dyDescent="0.15">
      <c r="A29" s="8" t="s">
        <v>25</v>
      </c>
      <c r="B29" s="15">
        <v>6729</v>
      </c>
      <c r="C29" s="10">
        <v>692</v>
      </c>
      <c r="D29" s="10">
        <v>67</v>
      </c>
      <c r="E29" s="10">
        <v>6</v>
      </c>
      <c r="F29" s="10">
        <v>13</v>
      </c>
      <c r="G29" s="10">
        <v>10</v>
      </c>
      <c r="H29" s="10">
        <v>0</v>
      </c>
      <c r="I29" s="10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4">
        <v>0</v>
      </c>
      <c r="S29" s="31">
        <f t="shared" si="0"/>
        <v>7517</v>
      </c>
      <c r="T29" s="32">
        <f t="shared" si="1"/>
        <v>9.205800186244513E-2</v>
      </c>
      <c r="U29" s="32">
        <f t="shared" si="2"/>
        <v>0.89517094585605961</v>
      </c>
      <c r="V29" s="32">
        <f t="shared" si="3"/>
        <v>7.9819076759345489E-4</v>
      </c>
      <c r="W29" t="str">
        <f t="shared" si="4"/>
        <v>Trump</v>
      </c>
      <c r="X29">
        <v>7517</v>
      </c>
      <c r="Y29" s="32">
        <v>9.205800186244513E-2</v>
      </c>
      <c r="Z29" s="32">
        <v>0.89517094585605961</v>
      </c>
      <c r="AA29" s="32">
        <v>7.9819076759345489E-4</v>
      </c>
    </row>
    <row r="30" spans="1:27" ht="13" customHeight="1" x14ac:dyDescent="0.15">
      <c r="A30" s="8" t="s">
        <v>26</v>
      </c>
      <c r="B30" s="15">
        <v>4276</v>
      </c>
      <c r="C30" s="10">
        <v>549</v>
      </c>
      <c r="D30" s="10">
        <v>39</v>
      </c>
      <c r="E30" s="10">
        <v>5</v>
      </c>
      <c r="F30" s="10">
        <v>11</v>
      </c>
      <c r="G30" s="10">
        <v>0</v>
      </c>
      <c r="H30" s="10">
        <v>0</v>
      </c>
      <c r="I30" s="10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4">
        <v>0</v>
      </c>
      <c r="S30" s="31">
        <f t="shared" si="0"/>
        <v>4880</v>
      </c>
      <c r="T30" s="32">
        <f t="shared" si="1"/>
        <v>0.1125</v>
      </c>
      <c r="U30" s="32">
        <f t="shared" si="2"/>
        <v>0.8762295081967213</v>
      </c>
      <c r="V30" s="32">
        <f t="shared" si="3"/>
        <v>1.0245901639344263E-3</v>
      </c>
      <c r="W30" t="str">
        <f t="shared" si="4"/>
        <v>Trump</v>
      </c>
      <c r="X30">
        <v>4880</v>
      </c>
      <c r="Y30" s="32">
        <v>0.1125</v>
      </c>
      <c r="Z30" s="32">
        <v>0.8762295081967213</v>
      </c>
      <c r="AA30" s="32">
        <v>1.0245901639344263E-3</v>
      </c>
    </row>
    <row r="31" spans="1:27" ht="12" customHeight="1" x14ac:dyDescent="0.15">
      <c r="A31" s="8" t="s">
        <v>27</v>
      </c>
      <c r="B31" s="15">
        <v>3349</v>
      </c>
      <c r="C31" s="10">
        <v>608</v>
      </c>
      <c r="D31" s="10">
        <v>29</v>
      </c>
      <c r="E31" s="10">
        <v>15</v>
      </c>
      <c r="F31" s="10">
        <v>6</v>
      </c>
      <c r="G31" s="10">
        <v>1</v>
      </c>
      <c r="H31" s="10">
        <v>2</v>
      </c>
      <c r="I31" s="10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4">
        <v>0</v>
      </c>
      <c r="S31" s="31">
        <f t="shared" si="0"/>
        <v>4010</v>
      </c>
      <c r="T31" s="32">
        <f t="shared" si="1"/>
        <v>0.15162094763092268</v>
      </c>
      <c r="U31" s="32">
        <f t="shared" si="2"/>
        <v>0.83516209476309222</v>
      </c>
      <c r="V31" s="32">
        <f t="shared" si="3"/>
        <v>3.740648379052369E-3</v>
      </c>
      <c r="W31" t="str">
        <f t="shared" si="4"/>
        <v>Trump</v>
      </c>
      <c r="X31">
        <v>4010</v>
      </c>
      <c r="Y31" s="32">
        <v>0.15162094763092268</v>
      </c>
      <c r="Z31" s="32">
        <v>0.83516209476309222</v>
      </c>
      <c r="AA31" s="32">
        <v>3.740648379052369E-3</v>
      </c>
    </row>
    <row r="32" spans="1:27" ht="12" customHeight="1" x14ac:dyDescent="0.15">
      <c r="A32" s="8" t="s">
        <v>28</v>
      </c>
      <c r="B32" s="15">
        <v>2922</v>
      </c>
      <c r="C32" s="10">
        <v>483</v>
      </c>
      <c r="D32" s="10">
        <v>23</v>
      </c>
      <c r="E32" s="10">
        <v>3</v>
      </c>
      <c r="F32" s="10">
        <v>6</v>
      </c>
      <c r="G32" s="10">
        <v>2</v>
      </c>
      <c r="H32" s="10">
        <v>3</v>
      </c>
      <c r="I32" s="10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4">
        <v>0</v>
      </c>
      <c r="S32" s="31">
        <f t="shared" si="0"/>
        <v>3442</v>
      </c>
      <c r="T32" s="32">
        <f t="shared" si="1"/>
        <v>0.14032539221382917</v>
      </c>
      <c r="U32" s="32">
        <f t="shared" si="2"/>
        <v>0.84892504357931431</v>
      </c>
      <c r="V32" s="32">
        <f t="shared" si="3"/>
        <v>8.7158628704241722E-4</v>
      </c>
      <c r="W32" t="str">
        <f t="shared" si="4"/>
        <v>Trump</v>
      </c>
      <c r="X32">
        <v>3442</v>
      </c>
      <c r="Y32" s="32">
        <v>0.14032539221382917</v>
      </c>
      <c r="Z32" s="32">
        <v>0.84892504357931431</v>
      </c>
      <c r="AA32" s="32">
        <v>8.7158628704241722E-4</v>
      </c>
    </row>
    <row r="33" spans="1:27" ht="13" customHeight="1" x14ac:dyDescent="0.15">
      <c r="A33" s="8" t="s">
        <v>29</v>
      </c>
      <c r="B33" s="15">
        <v>30705</v>
      </c>
      <c r="C33" s="9">
        <v>15673</v>
      </c>
      <c r="D33" s="10">
        <v>404</v>
      </c>
      <c r="E33" s="10">
        <v>133</v>
      </c>
      <c r="F33" s="10">
        <v>130</v>
      </c>
      <c r="G33" s="10">
        <v>22</v>
      </c>
      <c r="H33" s="10">
        <v>20</v>
      </c>
      <c r="I33" s="10">
        <v>8</v>
      </c>
      <c r="J33" s="11">
        <v>0</v>
      </c>
      <c r="K33" s="11">
        <v>2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4">
        <v>0</v>
      </c>
      <c r="S33" s="31">
        <f t="shared" si="0"/>
        <v>47097</v>
      </c>
      <c r="T33" s="32">
        <f t="shared" si="1"/>
        <v>0.33278128118563816</v>
      </c>
      <c r="U33" s="32">
        <f t="shared" si="2"/>
        <v>0.65195235365309889</v>
      </c>
      <c r="V33" s="32">
        <f t="shared" si="3"/>
        <v>2.8239590632099707E-3</v>
      </c>
      <c r="W33" t="str">
        <f t="shared" si="4"/>
        <v>Trump</v>
      </c>
      <c r="X33">
        <v>47097</v>
      </c>
      <c r="Y33" s="32">
        <v>0.33278128118563816</v>
      </c>
      <c r="Z33" s="32">
        <v>0.65195235365309889</v>
      </c>
      <c r="AA33" s="32">
        <v>2.8239590632099707E-3</v>
      </c>
    </row>
    <row r="34" spans="1:27" ht="12" customHeight="1" x14ac:dyDescent="0.15">
      <c r="A34" s="8" t="s">
        <v>30</v>
      </c>
      <c r="B34" s="15">
        <v>5048</v>
      </c>
      <c r="C34" s="9">
        <v>1118</v>
      </c>
      <c r="D34" s="10">
        <v>57</v>
      </c>
      <c r="E34" s="10">
        <v>6</v>
      </c>
      <c r="F34" s="10">
        <v>14</v>
      </c>
      <c r="G34" s="10">
        <v>4</v>
      </c>
      <c r="H34" s="10">
        <v>0</v>
      </c>
      <c r="I34" s="10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4">
        <v>0</v>
      </c>
      <c r="S34" s="31">
        <f t="shared" si="0"/>
        <v>6247</v>
      </c>
      <c r="T34" s="32">
        <f t="shared" si="1"/>
        <v>0.17896590363374421</v>
      </c>
      <c r="U34" s="32">
        <f t="shared" si="2"/>
        <v>0.80806787257883783</v>
      </c>
      <c r="V34" s="32">
        <f t="shared" si="3"/>
        <v>9.6046102129021928E-4</v>
      </c>
      <c r="W34" t="str">
        <f t="shared" si="4"/>
        <v>Trump</v>
      </c>
      <c r="X34">
        <v>6247</v>
      </c>
      <c r="Y34" s="32">
        <v>0.17896590363374421</v>
      </c>
      <c r="Z34" s="32">
        <v>0.80806787257883783</v>
      </c>
      <c r="AA34" s="32">
        <v>9.6046102129021928E-4</v>
      </c>
    </row>
    <row r="35" spans="1:27" ht="12" customHeight="1" x14ac:dyDescent="0.15">
      <c r="A35" s="8" t="s">
        <v>31</v>
      </c>
      <c r="B35" s="15">
        <v>2335</v>
      </c>
      <c r="C35" s="10">
        <v>532</v>
      </c>
      <c r="D35" s="10">
        <v>23</v>
      </c>
      <c r="E35" s="10">
        <v>9</v>
      </c>
      <c r="F35" s="10">
        <v>8</v>
      </c>
      <c r="G35" s="10">
        <v>4</v>
      </c>
      <c r="H35" s="10">
        <v>0</v>
      </c>
      <c r="I35" s="10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4">
        <v>0</v>
      </c>
      <c r="S35" s="31">
        <f t="shared" si="0"/>
        <v>2911</v>
      </c>
      <c r="T35" s="32">
        <f t="shared" si="1"/>
        <v>0.1827550669872896</v>
      </c>
      <c r="U35" s="32">
        <f t="shared" si="2"/>
        <v>0.80212985228443834</v>
      </c>
      <c r="V35" s="32">
        <f t="shared" si="3"/>
        <v>3.091721058055651E-3</v>
      </c>
      <c r="W35" t="str">
        <f t="shared" si="4"/>
        <v>Trump</v>
      </c>
      <c r="X35">
        <v>2911</v>
      </c>
      <c r="Y35" s="32">
        <v>0.1827550669872896</v>
      </c>
      <c r="Z35" s="32">
        <v>0.80212985228443834</v>
      </c>
      <c r="AA35" s="32">
        <v>3.091721058055651E-3</v>
      </c>
    </row>
    <row r="36" spans="1:27" ht="12" customHeight="1" x14ac:dyDescent="0.15">
      <c r="A36" s="8" t="s">
        <v>32</v>
      </c>
      <c r="B36" s="15">
        <v>5091</v>
      </c>
      <c r="C36" s="9">
        <v>1114</v>
      </c>
      <c r="D36" s="10">
        <v>55</v>
      </c>
      <c r="E36" s="10">
        <v>8</v>
      </c>
      <c r="F36" s="10">
        <v>18</v>
      </c>
      <c r="G36" s="10">
        <v>3</v>
      </c>
      <c r="H36" s="10">
        <v>1</v>
      </c>
      <c r="I36" s="10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4">
        <v>0</v>
      </c>
      <c r="S36" s="31">
        <f t="shared" si="0"/>
        <v>6290</v>
      </c>
      <c r="T36" s="32">
        <f t="shared" si="1"/>
        <v>0.17710651828298887</v>
      </c>
      <c r="U36" s="32">
        <f t="shared" si="2"/>
        <v>0.80937996820349767</v>
      </c>
      <c r="V36" s="32">
        <f t="shared" si="3"/>
        <v>1.2718600953895071E-3</v>
      </c>
      <c r="W36" t="str">
        <f t="shared" si="4"/>
        <v>Trump</v>
      </c>
      <c r="X36">
        <v>6290</v>
      </c>
      <c r="Y36" s="32">
        <v>0.17710651828298887</v>
      </c>
      <c r="Z36" s="32">
        <v>0.80937996820349767</v>
      </c>
      <c r="AA36" s="32">
        <v>1.2718600953895071E-3</v>
      </c>
    </row>
    <row r="37" spans="1:27" ht="13" customHeight="1" x14ac:dyDescent="0.15">
      <c r="A37" s="8" t="s">
        <v>33</v>
      </c>
      <c r="B37" s="15">
        <v>57347</v>
      </c>
      <c r="C37" s="9">
        <v>83387</v>
      </c>
      <c r="D37" s="9">
        <v>1244</v>
      </c>
      <c r="E37" s="9">
        <v>1020</v>
      </c>
      <c r="F37" s="10">
        <v>669</v>
      </c>
      <c r="G37" s="10">
        <v>95</v>
      </c>
      <c r="H37" s="10">
        <v>90</v>
      </c>
      <c r="I37" s="10">
        <v>41</v>
      </c>
      <c r="J37" s="11">
        <v>37</v>
      </c>
      <c r="K37" s="11">
        <v>0</v>
      </c>
      <c r="L37" s="11">
        <v>1</v>
      </c>
      <c r="M37" s="11">
        <v>3</v>
      </c>
      <c r="N37" s="11">
        <v>1</v>
      </c>
      <c r="O37" s="11">
        <v>0</v>
      </c>
      <c r="P37" s="11">
        <v>0</v>
      </c>
      <c r="Q37" s="11">
        <v>0</v>
      </c>
      <c r="R37" s="14">
        <v>0</v>
      </c>
      <c r="S37" s="31">
        <f t="shared" si="0"/>
        <v>143935</v>
      </c>
      <c r="T37" s="32">
        <f t="shared" si="1"/>
        <v>0.57933789557786497</v>
      </c>
      <c r="U37" s="32">
        <f t="shared" si="2"/>
        <v>0.3984228992253448</v>
      </c>
      <c r="V37" s="32">
        <f t="shared" si="3"/>
        <v>7.086532115190885E-3</v>
      </c>
      <c r="W37" t="str">
        <f t="shared" si="4"/>
        <v>Harris</v>
      </c>
      <c r="X37">
        <v>143935</v>
      </c>
      <c r="Y37" s="32">
        <v>0.57933789557786497</v>
      </c>
      <c r="Z37" s="32">
        <v>0.3984228992253448</v>
      </c>
      <c r="AA37" s="32">
        <v>7.086532115190885E-3</v>
      </c>
    </row>
    <row r="38" spans="1:27" ht="12" customHeight="1" x14ac:dyDescent="0.15">
      <c r="A38" s="8" t="s">
        <v>34</v>
      </c>
      <c r="B38" s="15">
        <v>5578</v>
      </c>
      <c r="C38" s="9">
        <v>1334</v>
      </c>
      <c r="D38" s="10">
        <v>64</v>
      </c>
      <c r="E38" s="10">
        <v>9</v>
      </c>
      <c r="F38" s="10">
        <v>9</v>
      </c>
      <c r="G38" s="10">
        <v>6</v>
      </c>
      <c r="H38" s="10">
        <v>0</v>
      </c>
      <c r="I38" s="10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4">
        <v>0</v>
      </c>
      <c r="S38" s="31">
        <f t="shared" si="0"/>
        <v>7000</v>
      </c>
      <c r="T38" s="32">
        <f t="shared" si="1"/>
        <v>0.19057142857142856</v>
      </c>
      <c r="U38" s="32">
        <f t="shared" si="2"/>
        <v>0.79685714285714282</v>
      </c>
      <c r="V38" s="32">
        <f t="shared" si="3"/>
        <v>1.2857142857142856E-3</v>
      </c>
      <c r="W38" t="str">
        <f t="shared" si="4"/>
        <v>Trump</v>
      </c>
      <c r="X38">
        <v>7000</v>
      </c>
      <c r="Y38" s="32">
        <v>0.19057142857142856</v>
      </c>
      <c r="Z38" s="32">
        <v>0.79685714285714282</v>
      </c>
      <c r="AA38" s="32">
        <v>1.2857142857142856E-3</v>
      </c>
    </row>
    <row r="39" spans="1:27" ht="12" customHeight="1" x14ac:dyDescent="0.15">
      <c r="A39" s="8" t="s">
        <v>35</v>
      </c>
      <c r="B39" s="15">
        <v>12326</v>
      </c>
      <c r="C39" s="9">
        <v>3061</v>
      </c>
      <c r="D39" s="10">
        <v>163</v>
      </c>
      <c r="E39" s="10">
        <v>40</v>
      </c>
      <c r="F39" s="10">
        <v>46</v>
      </c>
      <c r="G39" s="10">
        <v>14</v>
      </c>
      <c r="H39" s="10">
        <v>0</v>
      </c>
      <c r="I39" s="10">
        <v>1</v>
      </c>
      <c r="J39" s="11">
        <v>1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4">
        <v>0</v>
      </c>
      <c r="S39" s="31">
        <f t="shared" si="0"/>
        <v>15652</v>
      </c>
      <c r="T39" s="32">
        <f t="shared" si="1"/>
        <v>0.19556606184513162</v>
      </c>
      <c r="U39" s="32">
        <f t="shared" si="2"/>
        <v>0.78750319447993866</v>
      </c>
      <c r="V39" s="32">
        <f t="shared" si="3"/>
        <v>2.555583950932788E-3</v>
      </c>
      <c r="W39" t="str">
        <f t="shared" si="4"/>
        <v>Trump</v>
      </c>
      <c r="X39">
        <v>15652</v>
      </c>
      <c r="Y39" s="32">
        <v>0.19556606184513162</v>
      </c>
      <c r="Z39" s="32">
        <v>0.78750319447993866</v>
      </c>
      <c r="AA39" s="32">
        <v>2.555583950932788E-3</v>
      </c>
    </row>
    <row r="40" spans="1:27" ht="13" customHeight="1" x14ac:dyDescent="0.15">
      <c r="A40" s="8" t="s">
        <v>36</v>
      </c>
      <c r="B40" s="15">
        <v>13246</v>
      </c>
      <c r="C40" s="9">
        <v>11996</v>
      </c>
      <c r="D40" s="10">
        <v>282</v>
      </c>
      <c r="E40" s="10">
        <v>127</v>
      </c>
      <c r="F40" s="10">
        <v>80</v>
      </c>
      <c r="G40" s="10">
        <v>18</v>
      </c>
      <c r="H40" s="10">
        <v>7</v>
      </c>
      <c r="I40" s="10">
        <v>5</v>
      </c>
      <c r="J40" s="11">
        <v>2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4">
        <v>0</v>
      </c>
      <c r="S40" s="31">
        <f t="shared" si="0"/>
        <v>25763</v>
      </c>
      <c r="T40" s="32">
        <f t="shared" si="1"/>
        <v>0.46562900283352093</v>
      </c>
      <c r="U40" s="32">
        <f t="shared" si="2"/>
        <v>0.51414819702674375</v>
      </c>
      <c r="V40" s="32">
        <f t="shared" si="3"/>
        <v>4.92955013003144E-3</v>
      </c>
      <c r="W40" t="str">
        <f t="shared" si="4"/>
        <v>Trump</v>
      </c>
      <c r="X40">
        <v>25763</v>
      </c>
      <c r="Y40" s="32">
        <v>0.46562900283352093</v>
      </c>
      <c r="Z40" s="32">
        <v>0.51414819702674375</v>
      </c>
      <c r="AA40" s="32">
        <v>4.92955013003144E-3</v>
      </c>
    </row>
    <row r="41" spans="1:27" ht="12.75" customHeight="1" x14ac:dyDescent="0.15">
      <c r="A41" s="8" t="s">
        <v>37</v>
      </c>
      <c r="B41" s="15">
        <v>1491</v>
      </c>
      <c r="C41" s="10">
        <v>636</v>
      </c>
      <c r="D41" s="10">
        <v>12</v>
      </c>
      <c r="E41" s="10">
        <v>2</v>
      </c>
      <c r="F41" s="10">
        <v>3</v>
      </c>
      <c r="G41" s="10">
        <v>1</v>
      </c>
      <c r="H41" s="10">
        <v>0</v>
      </c>
      <c r="I41" s="10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4">
        <v>0</v>
      </c>
      <c r="S41" s="31">
        <f t="shared" si="0"/>
        <v>2145</v>
      </c>
      <c r="T41" s="32">
        <f t="shared" si="1"/>
        <v>0.2965034965034965</v>
      </c>
      <c r="U41" s="32">
        <f t="shared" si="2"/>
        <v>0.69510489510489515</v>
      </c>
      <c r="V41" s="32">
        <f t="shared" si="3"/>
        <v>9.324009324009324E-4</v>
      </c>
      <c r="W41" t="str">
        <f t="shared" si="4"/>
        <v>Trump</v>
      </c>
      <c r="X41">
        <v>2145</v>
      </c>
      <c r="Y41" s="32">
        <v>0.2965034965034965</v>
      </c>
      <c r="Z41" s="32">
        <v>0.69510489510489515</v>
      </c>
      <c r="AA41" s="32">
        <v>9.324009324009324E-4</v>
      </c>
    </row>
    <row r="42" spans="1:27" ht="12" customHeight="1" x14ac:dyDescent="0.15">
      <c r="A42" s="8" t="s">
        <v>38</v>
      </c>
      <c r="B42" s="15">
        <v>3109</v>
      </c>
      <c r="C42" s="10">
        <v>761</v>
      </c>
      <c r="D42" s="10">
        <v>24</v>
      </c>
      <c r="E42" s="10">
        <v>9</v>
      </c>
      <c r="F42" s="10">
        <v>12</v>
      </c>
      <c r="G42" s="10">
        <v>2</v>
      </c>
      <c r="H42" s="10">
        <v>0</v>
      </c>
      <c r="I42" s="10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4">
        <v>0</v>
      </c>
      <c r="S42" s="31">
        <f t="shared" si="0"/>
        <v>3917</v>
      </c>
      <c r="T42" s="32">
        <f t="shared" si="1"/>
        <v>0.19428133775848863</v>
      </c>
      <c r="U42" s="32">
        <f t="shared" si="2"/>
        <v>0.79371968343119736</v>
      </c>
      <c r="V42" s="32">
        <f t="shared" si="3"/>
        <v>2.297676793464386E-3</v>
      </c>
      <c r="W42" t="str">
        <f t="shared" si="4"/>
        <v>Trump</v>
      </c>
      <c r="X42">
        <v>3917</v>
      </c>
      <c r="Y42" s="32">
        <v>0.19428133775848863</v>
      </c>
      <c r="Z42" s="32">
        <v>0.79371968343119736</v>
      </c>
      <c r="AA42" s="32">
        <v>2.297676793464386E-3</v>
      </c>
    </row>
    <row r="43" spans="1:27" ht="12" customHeight="1" x14ac:dyDescent="0.15">
      <c r="A43" s="8" t="s">
        <v>39</v>
      </c>
      <c r="B43" s="15">
        <v>7086</v>
      </c>
      <c r="C43" s="9">
        <v>1719</v>
      </c>
      <c r="D43" s="10">
        <v>60</v>
      </c>
      <c r="E43" s="10">
        <v>21</v>
      </c>
      <c r="F43" s="10">
        <v>28</v>
      </c>
      <c r="G43" s="10">
        <v>3</v>
      </c>
      <c r="H43" s="10">
        <v>0</v>
      </c>
      <c r="I43" s="10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4">
        <v>0</v>
      </c>
      <c r="S43" s="31">
        <f t="shared" si="0"/>
        <v>8917</v>
      </c>
      <c r="T43" s="32">
        <f t="shared" si="1"/>
        <v>0.19277784008074464</v>
      </c>
      <c r="U43" s="32">
        <f t="shared" si="2"/>
        <v>0.79466188179881125</v>
      </c>
      <c r="V43" s="32">
        <f t="shared" si="3"/>
        <v>2.3550521475832679E-3</v>
      </c>
      <c r="W43" t="str">
        <f t="shared" si="4"/>
        <v>Trump</v>
      </c>
      <c r="X43">
        <v>8917</v>
      </c>
      <c r="Y43" s="32">
        <v>0.19277784008074464</v>
      </c>
      <c r="Z43" s="32">
        <v>0.79466188179881125</v>
      </c>
      <c r="AA43" s="32">
        <v>2.3550521475832679E-3</v>
      </c>
    </row>
    <row r="44" spans="1:27" ht="13" customHeight="1" x14ac:dyDescent="0.15">
      <c r="A44" s="8" t="s">
        <v>40</v>
      </c>
      <c r="B44" s="15">
        <v>9372</v>
      </c>
      <c r="C44" s="9">
        <v>1944</v>
      </c>
      <c r="D44" s="10">
        <v>96</v>
      </c>
      <c r="E44" s="10">
        <v>28</v>
      </c>
      <c r="F44" s="10">
        <v>19</v>
      </c>
      <c r="G44" s="10">
        <v>7</v>
      </c>
      <c r="H44" s="10">
        <v>1</v>
      </c>
      <c r="I44" s="10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2</v>
      </c>
      <c r="P44" s="11">
        <v>0</v>
      </c>
      <c r="Q44" s="11">
        <v>0</v>
      </c>
      <c r="R44" s="14">
        <v>0</v>
      </c>
      <c r="S44" s="31">
        <f t="shared" si="0"/>
        <v>11469</v>
      </c>
      <c r="T44" s="32">
        <f t="shared" si="1"/>
        <v>0.16950039236201936</v>
      </c>
      <c r="U44" s="32">
        <f t="shared" si="2"/>
        <v>0.81715929897985873</v>
      </c>
      <c r="V44" s="32">
        <f t="shared" si="3"/>
        <v>2.4413636759961638E-3</v>
      </c>
      <c r="W44" t="str">
        <f t="shared" si="4"/>
        <v>Trump</v>
      </c>
      <c r="X44">
        <v>11469</v>
      </c>
      <c r="Y44" s="32">
        <v>0.16950039236201936</v>
      </c>
      <c r="Z44" s="32">
        <v>0.81715929897985873</v>
      </c>
      <c r="AA44" s="32">
        <v>2.4413636759961638E-3</v>
      </c>
    </row>
    <row r="45" spans="1:27" ht="12" customHeight="1" x14ac:dyDescent="0.15">
      <c r="A45" s="8" t="s">
        <v>41</v>
      </c>
      <c r="B45" s="15">
        <v>13378</v>
      </c>
      <c r="C45" s="9">
        <v>3105</v>
      </c>
      <c r="D45" s="10">
        <v>111</v>
      </c>
      <c r="E45" s="10">
        <v>35</v>
      </c>
      <c r="F45" s="10">
        <v>44</v>
      </c>
      <c r="G45" s="10">
        <v>5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4">
        <v>0</v>
      </c>
      <c r="S45" s="31">
        <f t="shared" si="0"/>
        <v>16678</v>
      </c>
      <c r="T45" s="32">
        <f t="shared" si="1"/>
        <v>0.18617340208658112</v>
      </c>
      <c r="U45" s="32">
        <f t="shared" si="2"/>
        <v>0.80213454850701527</v>
      </c>
      <c r="V45" s="32">
        <f t="shared" si="3"/>
        <v>2.0985729703801416E-3</v>
      </c>
      <c r="W45" t="str">
        <f t="shared" si="4"/>
        <v>Trump</v>
      </c>
      <c r="X45">
        <v>16678</v>
      </c>
      <c r="Y45" s="32">
        <v>0.18617340208658112</v>
      </c>
      <c r="Z45" s="32">
        <v>0.80213454850701527</v>
      </c>
      <c r="AA45" s="32">
        <v>2.0985729703801416E-3</v>
      </c>
    </row>
    <row r="46" spans="1:27" ht="12" customHeight="1" x14ac:dyDescent="0.15">
      <c r="A46" s="8" t="s">
        <v>42</v>
      </c>
      <c r="B46" s="15">
        <v>9710</v>
      </c>
      <c r="C46" s="9">
        <v>2235</v>
      </c>
      <c r="D46" s="10">
        <v>92</v>
      </c>
      <c r="E46" s="10">
        <v>25</v>
      </c>
      <c r="F46" s="10">
        <v>27</v>
      </c>
      <c r="G46" s="10">
        <v>6</v>
      </c>
      <c r="H46" s="10">
        <v>0</v>
      </c>
      <c r="I46" s="10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4">
        <v>0</v>
      </c>
      <c r="S46" s="31">
        <f t="shared" si="0"/>
        <v>12095</v>
      </c>
      <c r="T46" s="32">
        <f t="shared" si="1"/>
        <v>0.18478710210830923</v>
      </c>
      <c r="U46" s="32">
        <f t="shared" si="2"/>
        <v>0.80281107895824722</v>
      </c>
      <c r="V46" s="32">
        <f t="shared" si="3"/>
        <v>2.0669698222405952E-3</v>
      </c>
      <c r="W46" t="str">
        <f t="shared" si="4"/>
        <v>Trump</v>
      </c>
      <c r="X46">
        <v>12095</v>
      </c>
      <c r="Y46" s="32">
        <v>0.18478710210830923</v>
      </c>
      <c r="Z46" s="32">
        <v>0.80281107895824722</v>
      </c>
      <c r="AA46" s="32">
        <v>2.0669698222405952E-3</v>
      </c>
    </row>
    <row r="47" spans="1:27" ht="12" customHeight="1" x14ac:dyDescent="0.15">
      <c r="A47" s="8" t="s">
        <v>43</v>
      </c>
      <c r="B47" s="15">
        <v>5033</v>
      </c>
      <c r="C47" s="10">
        <v>782</v>
      </c>
      <c r="D47" s="10">
        <v>25</v>
      </c>
      <c r="E47" s="10">
        <v>11</v>
      </c>
      <c r="F47" s="10">
        <v>6</v>
      </c>
      <c r="G47" s="10">
        <v>0</v>
      </c>
      <c r="H47" s="10">
        <v>0</v>
      </c>
      <c r="I47" s="10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4">
        <v>0</v>
      </c>
      <c r="S47" s="31">
        <f t="shared" si="0"/>
        <v>5857</v>
      </c>
      <c r="T47" s="32">
        <f t="shared" si="1"/>
        <v>0.1335154515963804</v>
      </c>
      <c r="U47" s="32">
        <f t="shared" si="2"/>
        <v>0.85931364179614134</v>
      </c>
      <c r="V47" s="32">
        <f t="shared" si="3"/>
        <v>1.8780945876728701E-3</v>
      </c>
      <c r="W47" t="str">
        <f t="shared" si="4"/>
        <v>Trump</v>
      </c>
      <c r="X47">
        <v>5857</v>
      </c>
      <c r="Y47" s="32">
        <v>0.1335154515963804</v>
      </c>
      <c r="Z47" s="32">
        <v>0.85931364179614134</v>
      </c>
      <c r="AA47" s="32">
        <v>1.8780945876728701E-3</v>
      </c>
    </row>
    <row r="48" spans="1:27" ht="13" customHeight="1" x14ac:dyDescent="0.15">
      <c r="A48" s="8" t="s">
        <v>44</v>
      </c>
      <c r="B48" s="15">
        <v>12961</v>
      </c>
      <c r="C48" s="9">
        <v>4181</v>
      </c>
      <c r="D48" s="10">
        <v>139</v>
      </c>
      <c r="E48" s="10">
        <v>39</v>
      </c>
      <c r="F48" s="10">
        <v>46</v>
      </c>
      <c r="G48" s="10">
        <v>6</v>
      </c>
      <c r="H48" s="10">
        <v>0</v>
      </c>
      <c r="I48" s="10">
        <v>0</v>
      </c>
      <c r="J48" s="11">
        <v>1</v>
      </c>
      <c r="K48" s="11">
        <v>0</v>
      </c>
      <c r="L48" s="11">
        <v>1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4">
        <v>0</v>
      </c>
      <c r="S48" s="31">
        <f t="shared" si="0"/>
        <v>17374</v>
      </c>
      <c r="T48" s="32">
        <f t="shared" si="1"/>
        <v>0.24064694370899045</v>
      </c>
      <c r="U48" s="32">
        <f t="shared" si="2"/>
        <v>0.74599976977092208</v>
      </c>
      <c r="V48" s="32">
        <f t="shared" si="3"/>
        <v>2.244733509842293E-3</v>
      </c>
      <c r="W48" t="str">
        <f t="shared" si="4"/>
        <v>Trump</v>
      </c>
      <c r="X48">
        <v>17374</v>
      </c>
      <c r="Y48" s="32">
        <v>0.24064694370899045</v>
      </c>
      <c r="Z48" s="32">
        <v>0.74599976977092208</v>
      </c>
      <c r="AA48" s="32">
        <v>2.244733509842293E-3</v>
      </c>
    </row>
    <row r="49" spans="1:27" ht="12" customHeight="1" x14ac:dyDescent="0.15">
      <c r="A49" s="8" t="s">
        <v>45</v>
      </c>
      <c r="B49" s="15">
        <v>3375</v>
      </c>
      <c r="C49" s="9">
        <v>1173</v>
      </c>
      <c r="D49" s="10">
        <v>54</v>
      </c>
      <c r="E49" s="10">
        <v>9</v>
      </c>
      <c r="F49" s="10">
        <v>21</v>
      </c>
      <c r="G49" s="10">
        <v>1</v>
      </c>
      <c r="H49" s="10">
        <v>0</v>
      </c>
      <c r="I49" s="10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4">
        <v>0</v>
      </c>
      <c r="S49" s="31">
        <f t="shared" si="0"/>
        <v>4633</v>
      </c>
      <c r="T49" s="32">
        <f t="shared" si="1"/>
        <v>0.25318368227930066</v>
      </c>
      <c r="U49" s="32">
        <f t="shared" si="2"/>
        <v>0.7284696740772717</v>
      </c>
      <c r="V49" s="32">
        <f t="shared" si="3"/>
        <v>1.9425857975393912E-3</v>
      </c>
      <c r="W49" t="str">
        <f t="shared" si="4"/>
        <v>Trump</v>
      </c>
      <c r="X49">
        <v>4633</v>
      </c>
      <c r="Y49" s="32">
        <v>0.25318368227930066</v>
      </c>
      <c r="Z49" s="32">
        <v>0.7284696740772717</v>
      </c>
      <c r="AA49" s="32">
        <v>1.9425857975393912E-3</v>
      </c>
    </row>
    <row r="50" spans="1:27" ht="12" customHeight="1" x14ac:dyDescent="0.15">
      <c r="A50" s="8" t="s">
        <v>46</v>
      </c>
      <c r="B50" s="15">
        <v>30672</v>
      </c>
      <c r="C50" s="9">
        <v>16572</v>
      </c>
      <c r="D50" s="10">
        <v>450</v>
      </c>
      <c r="E50" s="10">
        <v>185</v>
      </c>
      <c r="F50" s="10">
        <v>154</v>
      </c>
      <c r="G50" s="10">
        <v>27</v>
      </c>
      <c r="H50" s="10">
        <v>11</v>
      </c>
      <c r="I50" s="10">
        <v>9</v>
      </c>
      <c r="J50" s="11">
        <v>2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4">
        <v>0</v>
      </c>
      <c r="S50" s="31">
        <f t="shared" si="0"/>
        <v>48082</v>
      </c>
      <c r="T50" s="32">
        <f t="shared" si="1"/>
        <v>0.34466120377688114</v>
      </c>
      <c r="U50" s="32">
        <f t="shared" si="2"/>
        <v>0.6379102366790067</v>
      </c>
      <c r="V50" s="32">
        <f t="shared" si="3"/>
        <v>3.8475936941059024E-3</v>
      </c>
      <c r="W50" t="str">
        <f t="shared" si="4"/>
        <v>Trump</v>
      </c>
      <c r="X50">
        <v>48082</v>
      </c>
      <c r="Y50" s="32">
        <v>0.34466120377688114</v>
      </c>
      <c r="Z50" s="32">
        <v>0.6379102366790067</v>
      </c>
      <c r="AA50" s="32">
        <v>3.8475936941059024E-3</v>
      </c>
    </row>
    <row r="51" spans="1:27" ht="13" customHeight="1" x14ac:dyDescent="0.15">
      <c r="A51" s="8" t="s">
        <v>47</v>
      </c>
      <c r="B51" s="15">
        <v>9109</v>
      </c>
      <c r="C51" s="9">
        <v>1199</v>
      </c>
      <c r="D51" s="10">
        <v>43</v>
      </c>
      <c r="E51" s="10">
        <v>14</v>
      </c>
      <c r="F51" s="10">
        <v>16</v>
      </c>
      <c r="G51" s="10">
        <v>3</v>
      </c>
      <c r="H51" s="10">
        <v>3</v>
      </c>
      <c r="I51" s="10">
        <v>0</v>
      </c>
      <c r="J51" s="11">
        <v>1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4">
        <v>0</v>
      </c>
      <c r="S51" s="31">
        <f t="shared" si="0"/>
        <v>10388</v>
      </c>
      <c r="T51" s="32">
        <f t="shared" si="1"/>
        <v>0.11542164035425491</v>
      </c>
      <c r="U51" s="32">
        <f t="shared" si="2"/>
        <v>0.87687716596072396</v>
      </c>
      <c r="V51" s="32">
        <f t="shared" si="3"/>
        <v>1.3477088948787063E-3</v>
      </c>
      <c r="W51" t="str">
        <f t="shared" si="4"/>
        <v>Trump</v>
      </c>
      <c r="X51">
        <v>10388</v>
      </c>
      <c r="Y51" s="32">
        <v>0.11542164035425491</v>
      </c>
      <c r="Z51" s="32">
        <v>0.87687716596072396</v>
      </c>
      <c r="AA51" s="32">
        <v>1.3477088948787063E-3</v>
      </c>
    </row>
    <row r="52" spans="1:27" ht="12" customHeight="1" x14ac:dyDescent="0.15">
      <c r="A52" s="8" t="s">
        <v>48</v>
      </c>
      <c r="B52" s="15">
        <v>6639</v>
      </c>
      <c r="C52" s="9">
        <v>2265</v>
      </c>
      <c r="D52" s="10">
        <v>70</v>
      </c>
      <c r="E52" s="10">
        <v>22</v>
      </c>
      <c r="F52" s="10">
        <v>22</v>
      </c>
      <c r="G52" s="10">
        <v>0</v>
      </c>
      <c r="H52" s="10">
        <v>0</v>
      </c>
      <c r="I52" s="10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4">
        <v>0</v>
      </c>
      <c r="S52" s="31">
        <f t="shared" si="0"/>
        <v>9018</v>
      </c>
      <c r="T52" s="32">
        <f t="shared" si="1"/>
        <v>0.25116433799068527</v>
      </c>
      <c r="U52" s="32">
        <f t="shared" si="2"/>
        <v>0.7361942781104458</v>
      </c>
      <c r="V52" s="32">
        <f t="shared" si="3"/>
        <v>2.439565313816811E-3</v>
      </c>
      <c r="W52" t="str">
        <f t="shared" si="4"/>
        <v>Trump</v>
      </c>
      <c r="X52">
        <v>9018</v>
      </c>
      <c r="Y52" s="32">
        <v>0.25116433799068527</v>
      </c>
      <c r="Z52" s="32">
        <v>0.7361942781104458</v>
      </c>
      <c r="AA52" s="32">
        <v>2.439565313816811E-3</v>
      </c>
    </row>
    <row r="53" spans="1:27" ht="12" customHeight="1" x14ac:dyDescent="0.15">
      <c r="A53" s="8" t="s">
        <v>49</v>
      </c>
      <c r="B53" s="15">
        <v>6691</v>
      </c>
      <c r="C53" s="9">
        <v>1642</v>
      </c>
      <c r="D53" s="10">
        <v>48</v>
      </c>
      <c r="E53" s="10">
        <v>13</v>
      </c>
      <c r="F53" s="10">
        <v>13</v>
      </c>
      <c r="G53" s="10">
        <v>2</v>
      </c>
      <c r="H53" s="10">
        <v>0</v>
      </c>
      <c r="I53" s="10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4">
        <v>0</v>
      </c>
      <c r="S53" s="31">
        <f t="shared" si="0"/>
        <v>8409</v>
      </c>
      <c r="T53" s="32">
        <f t="shared" si="1"/>
        <v>0.19526697585919847</v>
      </c>
      <c r="U53" s="32">
        <f t="shared" si="2"/>
        <v>0.79569508859555238</v>
      </c>
      <c r="V53" s="32">
        <f t="shared" si="3"/>
        <v>1.5459626590557736E-3</v>
      </c>
      <c r="W53" t="str">
        <f t="shared" si="4"/>
        <v>Trump</v>
      </c>
      <c r="X53">
        <v>8409</v>
      </c>
      <c r="Y53" s="32">
        <v>0.19526697585919847</v>
      </c>
      <c r="Z53" s="32">
        <v>0.79569508859555238</v>
      </c>
      <c r="AA53" s="32">
        <v>1.5459626590557736E-3</v>
      </c>
    </row>
    <row r="54" spans="1:27" ht="12" customHeight="1" x14ac:dyDescent="0.15">
      <c r="A54" s="8" t="s">
        <v>50</v>
      </c>
      <c r="B54" s="15">
        <v>12592</v>
      </c>
      <c r="C54" s="9">
        <v>6837</v>
      </c>
      <c r="D54" s="10">
        <v>151</v>
      </c>
      <c r="E54" s="10">
        <v>48</v>
      </c>
      <c r="F54" s="10">
        <v>51</v>
      </c>
      <c r="G54" s="10">
        <v>5</v>
      </c>
      <c r="H54" s="10">
        <v>4</v>
      </c>
      <c r="I54" s="10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4">
        <v>0</v>
      </c>
      <c r="S54" s="31">
        <f t="shared" si="0"/>
        <v>19688</v>
      </c>
      <c r="T54" s="32">
        <f t="shared" si="1"/>
        <v>0.34726737098740351</v>
      </c>
      <c r="U54" s="32">
        <f t="shared" si="2"/>
        <v>0.63957740755790327</v>
      </c>
      <c r="V54" s="32">
        <f t="shared" si="3"/>
        <v>2.4380333197887038E-3</v>
      </c>
      <c r="W54" t="str">
        <f t="shared" si="4"/>
        <v>Trump</v>
      </c>
      <c r="X54">
        <v>19688</v>
      </c>
      <c r="Y54" s="32">
        <v>0.34726737098740351</v>
      </c>
      <c r="Z54" s="32">
        <v>0.63957740755790327</v>
      </c>
      <c r="AA54" s="32">
        <v>2.4380333197887038E-3</v>
      </c>
    </row>
    <row r="55" spans="1:27" ht="13" customHeight="1" x14ac:dyDescent="0.15">
      <c r="A55" s="8" t="s">
        <v>51</v>
      </c>
      <c r="B55" s="15">
        <v>6093</v>
      </c>
      <c r="C55" s="9">
        <v>1857</v>
      </c>
      <c r="D55" s="10">
        <v>84</v>
      </c>
      <c r="E55" s="10">
        <v>19</v>
      </c>
      <c r="F55" s="10">
        <v>21</v>
      </c>
      <c r="G55" s="10">
        <v>0</v>
      </c>
      <c r="H55" s="10">
        <v>0</v>
      </c>
      <c r="I55" s="10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4">
        <v>0</v>
      </c>
      <c r="S55" s="31">
        <f t="shared" si="0"/>
        <v>8074</v>
      </c>
      <c r="T55" s="32">
        <f t="shared" si="1"/>
        <v>0.22999752291305425</v>
      </c>
      <c r="U55" s="32">
        <f t="shared" si="2"/>
        <v>0.75464453802328457</v>
      </c>
      <c r="V55" s="32">
        <f t="shared" si="3"/>
        <v>2.3532325984642059E-3</v>
      </c>
      <c r="W55" t="str">
        <f t="shared" si="4"/>
        <v>Trump</v>
      </c>
      <c r="X55">
        <v>8074</v>
      </c>
      <c r="Y55" s="32">
        <v>0.22999752291305425</v>
      </c>
      <c r="Z55" s="32">
        <v>0.75464453802328457</v>
      </c>
      <c r="AA55" s="32">
        <v>2.3532325984642059E-3</v>
      </c>
    </row>
    <row r="56" spans="1:27" ht="12" customHeight="1" x14ac:dyDescent="0.15">
      <c r="A56" s="8" t="s">
        <v>52</v>
      </c>
      <c r="B56" s="15">
        <v>1656</v>
      </c>
      <c r="C56" s="10">
        <v>394</v>
      </c>
      <c r="D56" s="10">
        <v>12</v>
      </c>
      <c r="E56" s="10">
        <v>5</v>
      </c>
      <c r="F56" s="10">
        <v>2</v>
      </c>
      <c r="G56" s="10">
        <v>0</v>
      </c>
      <c r="H56" s="10">
        <v>0</v>
      </c>
      <c r="I56" s="10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4">
        <v>0</v>
      </c>
      <c r="S56" s="31">
        <f t="shared" si="0"/>
        <v>2069</v>
      </c>
      <c r="T56" s="32">
        <f t="shared" si="1"/>
        <v>0.19043015949734171</v>
      </c>
      <c r="U56" s="32">
        <f t="shared" si="2"/>
        <v>0.80038666022232963</v>
      </c>
      <c r="V56" s="32">
        <f t="shared" si="3"/>
        <v>2.4166263895601739E-3</v>
      </c>
      <c r="W56" t="str">
        <f t="shared" si="4"/>
        <v>Trump</v>
      </c>
      <c r="X56">
        <v>2069</v>
      </c>
      <c r="Y56" s="32">
        <v>0.19043015949734171</v>
      </c>
      <c r="Z56" s="32">
        <v>0.80038666022232963</v>
      </c>
      <c r="AA56" s="32">
        <v>2.4166263895601739E-3</v>
      </c>
    </row>
    <row r="57" spans="1:27" ht="12" customHeight="1" x14ac:dyDescent="0.15">
      <c r="A57" s="8" t="s">
        <v>53</v>
      </c>
      <c r="B57" s="15">
        <v>15361</v>
      </c>
      <c r="C57" s="9">
        <v>4916</v>
      </c>
      <c r="D57" s="10">
        <v>142</v>
      </c>
      <c r="E57" s="10">
        <v>47</v>
      </c>
      <c r="F57" s="10">
        <v>57</v>
      </c>
      <c r="G57" s="10">
        <v>9</v>
      </c>
      <c r="H57" s="10">
        <v>2</v>
      </c>
      <c r="I57" s="10">
        <v>1</v>
      </c>
      <c r="J57" s="11">
        <v>2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4">
        <v>0</v>
      </c>
      <c r="S57" s="31">
        <f t="shared" si="0"/>
        <v>20537</v>
      </c>
      <c r="T57" s="32">
        <f t="shared" si="1"/>
        <v>0.23937283926571554</v>
      </c>
      <c r="U57" s="32">
        <f t="shared" si="2"/>
        <v>0.74796708379997079</v>
      </c>
      <c r="V57" s="32">
        <f t="shared" si="3"/>
        <v>2.288552368895165E-3</v>
      </c>
      <c r="W57" t="str">
        <f t="shared" si="4"/>
        <v>Trump</v>
      </c>
      <c r="X57">
        <v>20537</v>
      </c>
      <c r="Y57" s="32">
        <v>0.23937283926571554</v>
      </c>
      <c r="Z57" s="32">
        <v>0.74796708379997079</v>
      </c>
      <c r="AA57" s="32">
        <v>2.288552368895165E-3</v>
      </c>
    </row>
    <row r="58" spans="1:27" ht="13" customHeight="1" x14ac:dyDescent="0.15">
      <c r="A58" s="8" t="s">
        <v>54</v>
      </c>
      <c r="B58" s="15">
        <v>5358</v>
      </c>
      <c r="C58" s="10">
        <v>506</v>
      </c>
      <c r="D58" s="10">
        <v>42</v>
      </c>
      <c r="E58" s="10">
        <v>15</v>
      </c>
      <c r="F58" s="10">
        <v>9</v>
      </c>
      <c r="G58" s="10">
        <v>4</v>
      </c>
      <c r="H58" s="10">
        <v>0</v>
      </c>
      <c r="I58" s="10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4">
        <v>0</v>
      </c>
      <c r="S58" s="31">
        <f t="shared" si="0"/>
        <v>5934</v>
      </c>
      <c r="T58" s="32">
        <f t="shared" si="1"/>
        <v>8.5271317829457363E-2</v>
      </c>
      <c r="U58" s="32">
        <f t="shared" si="2"/>
        <v>0.90293225480283112</v>
      </c>
      <c r="V58" s="32">
        <f t="shared" si="3"/>
        <v>2.5278058645096056E-3</v>
      </c>
      <c r="W58" t="str">
        <f t="shared" si="4"/>
        <v>Trump</v>
      </c>
      <c r="X58">
        <v>5934</v>
      </c>
      <c r="Y58" s="32">
        <v>8.5271317829457363E-2</v>
      </c>
      <c r="Z58" s="32">
        <v>0.90293225480283112</v>
      </c>
      <c r="AA58" s="32">
        <v>2.5278058645096056E-3</v>
      </c>
    </row>
    <row r="59" spans="1:27" ht="12" customHeight="1" x14ac:dyDescent="0.15">
      <c r="A59" s="8" t="s">
        <v>55</v>
      </c>
      <c r="B59" s="15">
        <v>144553</v>
      </c>
      <c r="C59" s="9">
        <v>203070</v>
      </c>
      <c r="D59" s="9">
        <v>2619</v>
      </c>
      <c r="E59" s="9">
        <v>2029</v>
      </c>
      <c r="F59" s="9">
        <v>1167</v>
      </c>
      <c r="G59" s="10">
        <v>171</v>
      </c>
      <c r="H59" s="10">
        <v>198</v>
      </c>
      <c r="I59" s="10">
        <v>204</v>
      </c>
      <c r="J59" s="11">
        <v>78</v>
      </c>
      <c r="K59" s="11">
        <v>0</v>
      </c>
      <c r="L59" s="11">
        <v>2</v>
      </c>
      <c r="M59" s="11">
        <v>2</v>
      </c>
      <c r="N59" s="11">
        <v>1</v>
      </c>
      <c r="O59" s="11">
        <v>0</v>
      </c>
      <c r="P59" s="11">
        <v>0</v>
      </c>
      <c r="Q59" s="11">
        <v>0</v>
      </c>
      <c r="R59" s="14">
        <v>0</v>
      </c>
      <c r="S59" s="31">
        <f t="shared" si="0"/>
        <v>354094</v>
      </c>
      <c r="T59" s="32">
        <f t="shared" si="1"/>
        <v>0.57349178466734818</v>
      </c>
      <c r="U59" s="32">
        <f t="shared" si="2"/>
        <v>0.40823340694843741</v>
      </c>
      <c r="V59" s="32">
        <f t="shared" si="3"/>
        <v>5.7301168616243148E-3</v>
      </c>
      <c r="W59" t="str">
        <f t="shared" si="4"/>
        <v>Harris</v>
      </c>
      <c r="X59">
        <v>354094</v>
      </c>
      <c r="Y59" s="32">
        <v>0.57349178466734818</v>
      </c>
      <c r="Z59" s="32">
        <v>0.40823340694843741</v>
      </c>
      <c r="AA59" s="32">
        <v>5.7301168616243148E-3</v>
      </c>
    </row>
    <row r="60" spans="1:27" ht="12" customHeight="1" x14ac:dyDescent="0.15">
      <c r="A60" s="8" t="s">
        <v>56</v>
      </c>
      <c r="B60" s="15">
        <v>17854</v>
      </c>
      <c r="C60" s="9">
        <v>8303</v>
      </c>
      <c r="D60" s="10">
        <v>238</v>
      </c>
      <c r="E60" s="10">
        <v>131</v>
      </c>
      <c r="F60" s="10">
        <v>105</v>
      </c>
      <c r="G60" s="10">
        <v>13</v>
      </c>
      <c r="H60" s="10">
        <v>30</v>
      </c>
      <c r="I60" s="10">
        <v>3</v>
      </c>
      <c r="J60" s="11">
        <v>4</v>
      </c>
      <c r="K60" s="11">
        <v>0</v>
      </c>
      <c r="L60" s="11">
        <v>0</v>
      </c>
      <c r="M60" s="11">
        <v>3</v>
      </c>
      <c r="N60" s="11">
        <v>1</v>
      </c>
      <c r="O60" s="11">
        <v>0</v>
      </c>
      <c r="P60" s="11">
        <v>0</v>
      </c>
      <c r="Q60" s="11">
        <v>0</v>
      </c>
      <c r="R60" s="14">
        <v>0</v>
      </c>
      <c r="S60" s="31">
        <f t="shared" si="0"/>
        <v>26685</v>
      </c>
      <c r="T60" s="32">
        <f t="shared" si="1"/>
        <v>0.31114858534757356</v>
      </c>
      <c r="U60" s="32">
        <f t="shared" si="2"/>
        <v>0.66906501780026228</v>
      </c>
      <c r="V60" s="32">
        <f t="shared" si="3"/>
        <v>4.9091249765786018E-3</v>
      </c>
      <c r="W60" t="str">
        <f t="shared" si="4"/>
        <v>Trump</v>
      </c>
      <c r="X60">
        <v>26685</v>
      </c>
      <c r="Y60" s="32">
        <v>0.31114858534757356</v>
      </c>
      <c r="Z60" s="32">
        <v>0.66906501780026228</v>
      </c>
      <c r="AA60" s="32">
        <v>4.9091249765786018E-3</v>
      </c>
    </row>
    <row r="61" spans="1:27" ht="13" customHeight="1" x14ac:dyDescent="0.15">
      <c r="A61" s="8" t="s">
        <v>57</v>
      </c>
      <c r="B61" s="15">
        <v>8150</v>
      </c>
      <c r="C61" s="9">
        <v>1350</v>
      </c>
      <c r="D61" s="10">
        <v>79</v>
      </c>
      <c r="E61" s="10">
        <v>17</v>
      </c>
      <c r="F61" s="10">
        <v>20</v>
      </c>
      <c r="G61" s="10">
        <v>6</v>
      </c>
      <c r="H61" s="10">
        <v>0</v>
      </c>
      <c r="I61" s="10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4">
        <v>0</v>
      </c>
      <c r="S61" s="31">
        <f t="shared" si="0"/>
        <v>9622</v>
      </c>
      <c r="T61" s="32">
        <f t="shared" si="1"/>
        <v>0.14030347121180628</v>
      </c>
      <c r="U61" s="32">
        <f t="shared" si="2"/>
        <v>0.84701725213053414</v>
      </c>
      <c r="V61" s="32">
        <f t="shared" si="3"/>
        <v>1.7667844522968198E-3</v>
      </c>
      <c r="W61" t="str">
        <f t="shared" si="4"/>
        <v>Trump</v>
      </c>
      <c r="X61">
        <v>9622</v>
      </c>
      <c r="Y61" s="32">
        <v>0.14030347121180628</v>
      </c>
      <c r="Z61" s="32">
        <v>0.84701725213053414</v>
      </c>
      <c r="AA61" s="32">
        <v>1.7667844522968198E-3</v>
      </c>
    </row>
    <row r="62" spans="1:27" ht="12.75" customHeight="1" x14ac:dyDescent="0.15">
      <c r="A62" s="8" t="s">
        <v>58</v>
      </c>
      <c r="B62" s="15">
        <v>48444</v>
      </c>
      <c r="C62" s="9">
        <v>30859</v>
      </c>
      <c r="D62" s="10">
        <v>702</v>
      </c>
      <c r="E62" s="10">
        <v>440</v>
      </c>
      <c r="F62" s="10">
        <v>368</v>
      </c>
      <c r="G62" s="10">
        <v>62</v>
      </c>
      <c r="H62" s="10">
        <v>35</v>
      </c>
      <c r="I62" s="10">
        <v>30</v>
      </c>
      <c r="J62" s="11">
        <v>7</v>
      </c>
      <c r="K62" s="11">
        <v>1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4">
        <v>0</v>
      </c>
      <c r="S62" s="31">
        <f t="shared" si="0"/>
        <v>80948</v>
      </c>
      <c r="T62" s="32">
        <f t="shared" si="1"/>
        <v>0.38122004249641744</v>
      </c>
      <c r="U62" s="32">
        <f t="shared" si="2"/>
        <v>0.59845826950634973</v>
      </c>
      <c r="V62" s="32">
        <f t="shared" si="3"/>
        <v>5.4355882788950935E-3</v>
      </c>
      <c r="W62" t="str">
        <f t="shared" si="4"/>
        <v>Trump</v>
      </c>
      <c r="X62">
        <v>80948</v>
      </c>
      <c r="Y62" s="32">
        <v>0.38122004249641744</v>
      </c>
      <c r="Z62" s="32">
        <v>0.59845826950634973</v>
      </c>
      <c r="AA62" s="32">
        <v>5.4355882788950935E-3</v>
      </c>
    </row>
    <row r="63" spans="1:27" ht="12" customHeight="1" x14ac:dyDescent="0.15">
      <c r="A63" s="8" t="s">
        <v>59</v>
      </c>
      <c r="B63" s="15">
        <v>4732</v>
      </c>
      <c r="C63" s="9">
        <v>1181</v>
      </c>
      <c r="D63" s="10">
        <v>49</v>
      </c>
      <c r="E63" s="10">
        <v>20</v>
      </c>
      <c r="F63" s="10">
        <v>15</v>
      </c>
      <c r="G63" s="10">
        <v>6</v>
      </c>
      <c r="H63" s="10">
        <v>0</v>
      </c>
      <c r="I63" s="10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4">
        <v>0</v>
      </c>
      <c r="S63" s="31">
        <f t="shared" si="0"/>
        <v>6003</v>
      </c>
      <c r="T63" s="32">
        <f t="shared" si="1"/>
        <v>0.19673496585040812</v>
      </c>
      <c r="U63" s="32">
        <f t="shared" si="2"/>
        <v>0.78827253040146594</v>
      </c>
      <c r="V63" s="32">
        <f t="shared" si="3"/>
        <v>3.3316674995835416E-3</v>
      </c>
      <c r="W63" t="str">
        <f t="shared" si="4"/>
        <v>Trump</v>
      </c>
      <c r="X63">
        <v>6003</v>
      </c>
      <c r="Y63" s="32">
        <v>0.19673496585040812</v>
      </c>
      <c r="Z63" s="32">
        <v>0.78827253040146594</v>
      </c>
      <c r="AA63" s="32">
        <v>3.3316674995835416E-3</v>
      </c>
    </row>
    <row r="64" spans="1:27" ht="12" customHeight="1" x14ac:dyDescent="0.15">
      <c r="A64" s="8" t="s">
        <v>60</v>
      </c>
      <c r="B64" s="15">
        <v>11178</v>
      </c>
      <c r="C64" s="9">
        <v>1821</v>
      </c>
      <c r="D64" s="10">
        <v>84</v>
      </c>
      <c r="E64" s="10">
        <v>36</v>
      </c>
      <c r="F64" s="10">
        <v>30</v>
      </c>
      <c r="G64" s="10">
        <v>7</v>
      </c>
      <c r="H64" s="10">
        <v>0</v>
      </c>
      <c r="I64" s="10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4">
        <v>0</v>
      </c>
      <c r="S64" s="31">
        <f t="shared" si="0"/>
        <v>13156</v>
      </c>
      <c r="T64" s="32">
        <f t="shared" si="1"/>
        <v>0.13841593189419277</v>
      </c>
      <c r="U64" s="32">
        <f t="shared" si="2"/>
        <v>0.84965034965034969</v>
      </c>
      <c r="V64" s="32">
        <f t="shared" si="3"/>
        <v>2.736394040741867E-3</v>
      </c>
      <c r="W64" t="str">
        <f t="shared" si="4"/>
        <v>Trump</v>
      </c>
      <c r="X64">
        <v>13156</v>
      </c>
      <c r="Y64" s="32">
        <v>0.13841593189419277</v>
      </c>
      <c r="Z64" s="32">
        <v>0.84965034965034969</v>
      </c>
      <c r="AA64" s="32">
        <v>2.736394040741867E-3</v>
      </c>
    </row>
    <row r="65" spans="1:27" ht="13" customHeight="1" x14ac:dyDescent="0.15">
      <c r="A65" s="8" t="s">
        <v>61</v>
      </c>
      <c r="B65" s="15">
        <v>5773</v>
      </c>
      <c r="C65" s="9">
        <v>1389</v>
      </c>
      <c r="D65" s="10">
        <v>61</v>
      </c>
      <c r="E65" s="10">
        <v>16</v>
      </c>
      <c r="F65" s="10">
        <v>15</v>
      </c>
      <c r="G65" s="10">
        <v>4</v>
      </c>
      <c r="H65" s="10">
        <v>0</v>
      </c>
      <c r="I65" s="10">
        <v>0</v>
      </c>
      <c r="J65" s="11">
        <v>1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4">
        <v>0</v>
      </c>
      <c r="S65" s="31">
        <f t="shared" si="0"/>
        <v>7259</v>
      </c>
      <c r="T65" s="32">
        <f t="shared" si="1"/>
        <v>0.19134867061578731</v>
      </c>
      <c r="U65" s="32">
        <f t="shared" si="2"/>
        <v>0.79528860724617711</v>
      </c>
      <c r="V65" s="32">
        <f t="shared" si="3"/>
        <v>2.2041603526656564E-3</v>
      </c>
      <c r="W65" t="str">
        <f t="shared" si="4"/>
        <v>Trump</v>
      </c>
      <c r="X65">
        <v>7259</v>
      </c>
      <c r="Y65" s="32">
        <v>0.19134867061578731</v>
      </c>
      <c r="Z65" s="32">
        <v>0.79528860724617711</v>
      </c>
      <c r="AA65" s="32">
        <v>2.2041603526656564E-3</v>
      </c>
    </row>
    <row r="66" spans="1:27" ht="12" customHeight="1" x14ac:dyDescent="0.15">
      <c r="A66" s="8" t="s">
        <v>62</v>
      </c>
      <c r="B66" s="15">
        <v>23516</v>
      </c>
      <c r="C66" s="9">
        <v>4037</v>
      </c>
      <c r="D66" s="10">
        <v>183</v>
      </c>
      <c r="E66" s="10">
        <v>74</v>
      </c>
      <c r="F66" s="10">
        <v>60</v>
      </c>
      <c r="G66" s="10">
        <v>14</v>
      </c>
      <c r="H66" s="10">
        <v>1</v>
      </c>
      <c r="I66" s="10">
        <v>0</v>
      </c>
      <c r="J66" s="11">
        <v>2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4">
        <v>0</v>
      </c>
      <c r="S66" s="31">
        <f t="shared" si="0"/>
        <v>27887</v>
      </c>
      <c r="T66" s="32">
        <f t="shared" si="1"/>
        <v>0.14476279269910711</v>
      </c>
      <c r="U66" s="32">
        <f t="shared" si="2"/>
        <v>0.84326030049844014</v>
      </c>
      <c r="V66" s="32">
        <f t="shared" si="3"/>
        <v>2.6535661777889337E-3</v>
      </c>
      <c r="W66" t="str">
        <f t="shared" si="4"/>
        <v>Trump</v>
      </c>
      <c r="X66">
        <v>27887</v>
      </c>
      <c r="Y66" s="32">
        <v>0.14476279269910711</v>
      </c>
      <c r="Z66" s="32">
        <v>0.84326030049844014</v>
      </c>
      <c r="AA66" s="32">
        <v>2.6535661777889337E-3</v>
      </c>
    </row>
    <row r="67" spans="1:27" ht="12" customHeight="1" x14ac:dyDescent="0.15">
      <c r="A67" s="8" t="s">
        <v>63</v>
      </c>
      <c r="B67" s="15">
        <v>5464</v>
      </c>
      <c r="C67" s="9">
        <v>1044</v>
      </c>
      <c r="D67" s="10">
        <v>39</v>
      </c>
      <c r="E67" s="10">
        <v>12</v>
      </c>
      <c r="F67" s="10">
        <v>10</v>
      </c>
      <c r="G67" s="10">
        <v>3</v>
      </c>
      <c r="H67" s="10">
        <v>1</v>
      </c>
      <c r="I67" s="10">
        <v>1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4">
        <v>0</v>
      </c>
      <c r="S67" s="31">
        <f t="shared" si="0"/>
        <v>6574</v>
      </c>
      <c r="T67" s="32">
        <f t="shared" si="1"/>
        <v>0.15880742318223304</v>
      </c>
      <c r="U67" s="32">
        <f t="shared" si="2"/>
        <v>0.83115302707636141</v>
      </c>
      <c r="V67" s="32">
        <f t="shared" si="3"/>
        <v>1.8253726802555522E-3</v>
      </c>
      <c r="W67" t="str">
        <f t="shared" si="4"/>
        <v>Trump</v>
      </c>
      <c r="X67">
        <v>6574</v>
      </c>
      <c r="Y67" s="32">
        <v>0.15880742318223304</v>
      </c>
      <c r="Z67" s="32">
        <v>0.83115302707636141</v>
      </c>
      <c r="AA67" s="32">
        <v>1.8253726802555522E-3</v>
      </c>
    </row>
    <row r="68" spans="1:27" ht="12" customHeight="1" x14ac:dyDescent="0.15">
      <c r="A68" s="8" t="s">
        <v>64</v>
      </c>
      <c r="B68" s="15">
        <v>2227</v>
      </c>
      <c r="C68" s="10">
        <v>406</v>
      </c>
      <c r="D68" s="10">
        <v>29</v>
      </c>
      <c r="E68" s="10">
        <v>16</v>
      </c>
      <c r="F68" s="10">
        <v>12</v>
      </c>
      <c r="G68" s="10">
        <v>0</v>
      </c>
      <c r="H68" s="10">
        <v>0</v>
      </c>
      <c r="I68" s="10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4">
        <v>0</v>
      </c>
      <c r="S68" s="31">
        <f t="shared" si="0"/>
        <v>2690</v>
      </c>
      <c r="T68" s="32">
        <f t="shared" si="1"/>
        <v>0.15092936802973977</v>
      </c>
      <c r="U68" s="32">
        <f t="shared" si="2"/>
        <v>0.82788104089219328</v>
      </c>
      <c r="V68" s="32">
        <f t="shared" si="3"/>
        <v>5.9479553903345724E-3</v>
      </c>
      <c r="W68" t="str">
        <f t="shared" si="4"/>
        <v>Trump</v>
      </c>
      <c r="X68">
        <v>2690</v>
      </c>
      <c r="Y68" s="32">
        <v>0.15092936802973977</v>
      </c>
      <c r="Z68" s="32">
        <v>0.82788104089219328</v>
      </c>
      <c r="AA68" s="32">
        <v>5.9479553903345724E-3</v>
      </c>
    </row>
    <row r="69" spans="1:27" ht="13" customHeight="1" x14ac:dyDescent="0.15">
      <c r="A69" s="8" t="s">
        <v>65</v>
      </c>
      <c r="B69" s="15">
        <v>3908</v>
      </c>
      <c r="C69" s="10">
        <v>382</v>
      </c>
      <c r="D69" s="10">
        <v>36</v>
      </c>
      <c r="E69" s="10">
        <v>16</v>
      </c>
      <c r="F69" s="10">
        <v>12</v>
      </c>
      <c r="G69" s="10">
        <v>3</v>
      </c>
      <c r="H69" s="10">
        <v>0</v>
      </c>
      <c r="I69" s="10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4">
        <v>0</v>
      </c>
      <c r="S69" s="31">
        <f t="shared" ref="S69:S124" si="5">B69+C69+D69+E69+F69+G69+H69+I69+J69+K69+L69+M69+N69+O69+P69+Q69+R69</f>
        <v>4357</v>
      </c>
      <c r="T69" s="32">
        <f t="shared" ref="T69:T124" si="6">C69/S69</f>
        <v>8.7675005737893053E-2</v>
      </c>
      <c r="U69" s="32">
        <f t="shared" ref="U69:U124" si="7">B69/S69</f>
        <v>0.89694744089970158</v>
      </c>
      <c r="V69" s="32">
        <f t="shared" ref="V69:V124" si="8">E69/S69</f>
        <v>3.6722515492311225E-3</v>
      </c>
      <c r="W69" t="str">
        <f t="shared" ref="W69:W124" si="9">IF(T69&gt;U69,"Harris","Trump")</f>
        <v>Trump</v>
      </c>
      <c r="X69">
        <v>4357</v>
      </c>
      <c r="Y69" s="32">
        <v>8.7675005737893053E-2</v>
      </c>
      <c r="Z69" s="32">
        <v>0.89694744089970158</v>
      </c>
      <c r="AA69" s="32">
        <v>3.6722515492311225E-3</v>
      </c>
    </row>
    <row r="70" spans="1:27" ht="12" customHeight="1" x14ac:dyDescent="0.15">
      <c r="A70" s="8" t="s">
        <v>66</v>
      </c>
      <c r="B70" s="15">
        <v>6848</v>
      </c>
      <c r="C70" s="9">
        <v>1457</v>
      </c>
      <c r="D70" s="10">
        <v>80</v>
      </c>
      <c r="E70" s="10">
        <v>23</v>
      </c>
      <c r="F70" s="10">
        <v>20</v>
      </c>
      <c r="G70" s="10">
        <v>2</v>
      </c>
      <c r="H70" s="10">
        <v>0</v>
      </c>
      <c r="I70" s="10">
        <v>1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4">
        <v>0</v>
      </c>
      <c r="S70" s="31">
        <f t="shared" si="5"/>
        <v>8431</v>
      </c>
      <c r="T70" s="32">
        <f t="shared" si="6"/>
        <v>0.17281461273870241</v>
      </c>
      <c r="U70" s="32">
        <f t="shared" si="7"/>
        <v>0.81224054086110786</v>
      </c>
      <c r="V70" s="32">
        <f t="shared" si="8"/>
        <v>2.7280275174949593E-3</v>
      </c>
      <c r="W70" t="str">
        <f t="shared" si="9"/>
        <v>Trump</v>
      </c>
      <c r="X70">
        <v>8431</v>
      </c>
      <c r="Y70" s="32">
        <v>0.17281461273870241</v>
      </c>
      <c r="Z70" s="32">
        <v>0.81224054086110786</v>
      </c>
      <c r="AA70" s="32">
        <v>2.7280275174949593E-3</v>
      </c>
    </row>
    <row r="71" spans="1:27" ht="12" customHeight="1" x14ac:dyDescent="0.15">
      <c r="A71" s="8" t="s">
        <v>67</v>
      </c>
      <c r="B71" s="15">
        <v>4997</v>
      </c>
      <c r="C71" s="10">
        <v>666</v>
      </c>
      <c r="D71" s="10">
        <v>34</v>
      </c>
      <c r="E71" s="10">
        <v>9</v>
      </c>
      <c r="F71" s="10">
        <v>12</v>
      </c>
      <c r="G71" s="10">
        <v>3</v>
      </c>
      <c r="H71" s="10">
        <v>0</v>
      </c>
      <c r="I71" s="10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4">
        <v>0</v>
      </c>
      <c r="S71" s="31">
        <f t="shared" si="5"/>
        <v>5721</v>
      </c>
      <c r="T71" s="32">
        <f t="shared" si="6"/>
        <v>0.11641321447299423</v>
      </c>
      <c r="U71" s="32">
        <f t="shared" si="7"/>
        <v>0.87344869778010836</v>
      </c>
      <c r="V71" s="32">
        <f t="shared" si="8"/>
        <v>1.5731515469323545E-3</v>
      </c>
      <c r="W71" t="str">
        <f t="shared" si="9"/>
        <v>Trump</v>
      </c>
      <c r="X71">
        <v>5721</v>
      </c>
      <c r="Y71" s="32">
        <v>0.11641321447299423</v>
      </c>
      <c r="Z71" s="32">
        <v>0.87344869778010836</v>
      </c>
      <c r="AA71" s="32">
        <v>1.5731515469323545E-3</v>
      </c>
    </row>
    <row r="72" spans="1:27" ht="13" customHeight="1" x14ac:dyDescent="0.15">
      <c r="A72" s="8" t="s">
        <v>68</v>
      </c>
      <c r="B72" s="15">
        <v>8833</v>
      </c>
      <c r="C72" s="9">
        <v>2080</v>
      </c>
      <c r="D72" s="10">
        <v>75</v>
      </c>
      <c r="E72" s="10">
        <v>17</v>
      </c>
      <c r="F72" s="10">
        <v>23</v>
      </c>
      <c r="G72" s="10">
        <v>6</v>
      </c>
      <c r="H72" s="10">
        <v>0</v>
      </c>
      <c r="I72" s="10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4">
        <v>0</v>
      </c>
      <c r="S72" s="31">
        <f t="shared" si="5"/>
        <v>11034</v>
      </c>
      <c r="T72" s="32">
        <f t="shared" si="6"/>
        <v>0.18850824723581658</v>
      </c>
      <c r="U72" s="32">
        <f t="shared" si="7"/>
        <v>0.80052564799709991</v>
      </c>
      <c r="V72" s="32">
        <f t="shared" si="8"/>
        <v>1.5406924052927316E-3</v>
      </c>
      <c r="W72" t="str">
        <f t="shared" si="9"/>
        <v>Trump</v>
      </c>
      <c r="X72">
        <v>11034</v>
      </c>
      <c r="Y72" s="32">
        <v>0.18850824723581658</v>
      </c>
      <c r="Z72" s="32">
        <v>0.80052564799709991</v>
      </c>
      <c r="AA72" s="32">
        <v>1.5406924052927316E-3</v>
      </c>
    </row>
    <row r="73" spans="1:27" ht="12" customHeight="1" x14ac:dyDescent="0.15">
      <c r="A73" s="8" t="s">
        <v>69</v>
      </c>
      <c r="B73" s="15">
        <v>4021</v>
      </c>
      <c r="C73" s="10">
        <v>886</v>
      </c>
      <c r="D73" s="10">
        <v>41</v>
      </c>
      <c r="E73" s="10">
        <v>9</v>
      </c>
      <c r="F73" s="10">
        <v>12</v>
      </c>
      <c r="G73" s="10">
        <v>3</v>
      </c>
      <c r="H73" s="10">
        <v>0</v>
      </c>
      <c r="I73" s="10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4">
        <v>0</v>
      </c>
      <c r="S73" s="31">
        <f t="shared" si="5"/>
        <v>4972</v>
      </c>
      <c r="T73" s="32">
        <f t="shared" si="6"/>
        <v>0.17819790828640386</v>
      </c>
      <c r="U73" s="32">
        <f t="shared" si="7"/>
        <v>0.80872888173773128</v>
      </c>
      <c r="V73" s="32">
        <f t="shared" si="8"/>
        <v>1.8101367658889783E-3</v>
      </c>
      <c r="W73" t="str">
        <f t="shared" si="9"/>
        <v>Trump</v>
      </c>
      <c r="X73">
        <v>4972</v>
      </c>
      <c r="Y73" s="32">
        <v>0.17819790828640386</v>
      </c>
      <c r="Z73" s="32">
        <v>0.80872888173773128</v>
      </c>
      <c r="AA73" s="32">
        <v>1.8101367658889783E-3</v>
      </c>
    </row>
    <row r="74" spans="1:27" ht="12" customHeight="1" x14ac:dyDescent="0.15">
      <c r="A74" s="8" t="s">
        <v>70</v>
      </c>
      <c r="B74" s="15">
        <v>9620</v>
      </c>
      <c r="C74" s="9">
        <v>2734</v>
      </c>
      <c r="D74" s="10">
        <v>100</v>
      </c>
      <c r="E74" s="10">
        <v>16</v>
      </c>
      <c r="F74" s="10">
        <v>33</v>
      </c>
      <c r="G74" s="10">
        <v>3</v>
      </c>
      <c r="H74" s="10">
        <v>3</v>
      </c>
      <c r="I74" s="10">
        <v>0</v>
      </c>
      <c r="J74" s="11">
        <v>0</v>
      </c>
      <c r="K74" s="11">
        <v>2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4">
        <v>0</v>
      </c>
      <c r="S74" s="31">
        <f t="shared" si="5"/>
        <v>12511</v>
      </c>
      <c r="T74" s="32">
        <f t="shared" si="6"/>
        <v>0.21852769562784749</v>
      </c>
      <c r="U74" s="32">
        <f t="shared" si="7"/>
        <v>0.76892334745424029</v>
      </c>
      <c r="V74" s="32">
        <f t="shared" si="8"/>
        <v>1.2788745903604829E-3</v>
      </c>
      <c r="W74" t="str">
        <f t="shared" si="9"/>
        <v>Trump</v>
      </c>
      <c r="X74">
        <v>12511</v>
      </c>
      <c r="Y74" s="32">
        <v>0.21852769562784749</v>
      </c>
      <c r="Z74" s="32">
        <v>0.76892334745424029</v>
      </c>
      <c r="AA74" s="32">
        <v>1.2788745903604829E-3</v>
      </c>
    </row>
    <row r="75" spans="1:27" ht="13" customHeight="1" x14ac:dyDescent="0.15">
      <c r="A75" s="8" t="s">
        <v>71</v>
      </c>
      <c r="B75" s="15">
        <v>3187</v>
      </c>
      <c r="C75" s="10">
        <v>950</v>
      </c>
      <c r="D75" s="10">
        <v>39</v>
      </c>
      <c r="E75" s="10">
        <v>4</v>
      </c>
      <c r="F75" s="10">
        <v>7</v>
      </c>
      <c r="G75" s="10">
        <v>0</v>
      </c>
      <c r="H75" s="10">
        <v>0</v>
      </c>
      <c r="I75" s="10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4">
        <v>0</v>
      </c>
      <c r="S75" s="31">
        <f t="shared" si="5"/>
        <v>4187</v>
      </c>
      <c r="T75" s="32">
        <f t="shared" si="6"/>
        <v>0.2268927633150227</v>
      </c>
      <c r="U75" s="32">
        <f t="shared" si="7"/>
        <v>0.76116551229997609</v>
      </c>
      <c r="V75" s="32">
        <f t="shared" si="8"/>
        <v>9.5533795080009556E-4</v>
      </c>
      <c r="W75" t="str">
        <f t="shared" si="9"/>
        <v>Trump</v>
      </c>
      <c r="X75">
        <v>4187</v>
      </c>
      <c r="Y75" s="32">
        <v>0.2268927633150227</v>
      </c>
      <c r="Z75" s="32">
        <v>0.76116551229997609</v>
      </c>
      <c r="AA75" s="32">
        <v>9.5533795080009556E-4</v>
      </c>
    </row>
    <row r="76" spans="1:27" ht="12" customHeight="1" x14ac:dyDescent="0.15">
      <c r="A76" s="8" t="s">
        <v>72</v>
      </c>
      <c r="B76" s="15">
        <v>29130</v>
      </c>
      <c r="C76" s="9">
        <v>15180</v>
      </c>
      <c r="D76" s="10">
        <v>454</v>
      </c>
      <c r="E76" s="10">
        <v>200</v>
      </c>
      <c r="F76" s="10">
        <v>174</v>
      </c>
      <c r="G76" s="10">
        <v>26</v>
      </c>
      <c r="H76" s="10">
        <v>18</v>
      </c>
      <c r="I76" s="10">
        <v>4</v>
      </c>
      <c r="J76" s="11">
        <v>1</v>
      </c>
      <c r="K76" s="11">
        <v>0</v>
      </c>
      <c r="L76" s="11">
        <v>0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4">
        <v>0</v>
      </c>
      <c r="S76" s="31">
        <f t="shared" si="5"/>
        <v>45188</v>
      </c>
      <c r="T76" s="32">
        <f t="shared" si="6"/>
        <v>0.33592989289191821</v>
      </c>
      <c r="U76" s="32">
        <f t="shared" si="7"/>
        <v>0.64464016995662565</v>
      </c>
      <c r="V76" s="32">
        <f t="shared" si="8"/>
        <v>4.4259537930424007E-3</v>
      </c>
      <c r="W76" t="str">
        <f t="shared" si="9"/>
        <v>Trump</v>
      </c>
      <c r="X76">
        <v>45188</v>
      </c>
      <c r="Y76" s="32">
        <v>0.33592989289191821</v>
      </c>
      <c r="Z76" s="32">
        <v>0.64464016995662565</v>
      </c>
      <c r="AA76" s="32">
        <v>4.4259537930424007E-3</v>
      </c>
    </row>
    <row r="77" spans="1:27" ht="12" customHeight="1" x14ac:dyDescent="0.15">
      <c r="A77" s="8" t="s">
        <v>73</v>
      </c>
      <c r="B77" s="15">
        <v>4288</v>
      </c>
      <c r="C77" s="10">
        <v>909</v>
      </c>
      <c r="D77" s="10">
        <v>45</v>
      </c>
      <c r="E77" s="10">
        <v>16</v>
      </c>
      <c r="F77" s="10">
        <v>13</v>
      </c>
      <c r="G77" s="10">
        <v>3</v>
      </c>
      <c r="H77" s="10">
        <v>0</v>
      </c>
      <c r="I77" s="10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4">
        <v>0</v>
      </c>
      <c r="S77" s="31">
        <f t="shared" si="5"/>
        <v>5274</v>
      </c>
      <c r="T77" s="32">
        <f t="shared" si="6"/>
        <v>0.17235494880546076</v>
      </c>
      <c r="U77" s="32">
        <f t="shared" si="7"/>
        <v>0.81304512703830112</v>
      </c>
      <c r="V77" s="32">
        <f t="shared" si="8"/>
        <v>3.0337504740235114E-3</v>
      </c>
      <c r="W77" t="str">
        <f t="shared" si="9"/>
        <v>Trump</v>
      </c>
      <c r="X77">
        <v>5274</v>
      </c>
      <c r="Y77" s="32">
        <v>0.17235494880546076</v>
      </c>
      <c r="Z77" s="32">
        <v>0.81304512703830112</v>
      </c>
      <c r="AA77" s="32">
        <v>3.0337504740235114E-3</v>
      </c>
    </row>
    <row r="78" spans="1:27" ht="12" customHeight="1" x14ac:dyDescent="0.15">
      <c r="A78" s="8" t="s">
        <v>74</v>
      </c>
      <c r="B78" s="15">
        <v>6473</v>
      </c>
      <c r="C78" s="9">
        <v>2513</v>
      </c>
      <c r="D78" s="10">
        <v>81</v>
      </c>
      <c r="E78" s="10">
        <v>16</v>
      </c>
      <c r="F78" s="10">
        <v>15</v>
      </c>
      <c r="G78" s="10">
        <v>2</v>
      </c>
      <c r="H78" s="10">
        <v>0</v>
      </c>
      <c r="I78" s="10">
        <v>1</v>
      </c>
      <c r="J78" s="11">
        <v>0</v>
      </c>
      <c r="K78" s="11">
        <v>1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4">
        <v>0</v>
      </c>
      <c r="S78" s="31">
        <f t="shared" si="5"/>
        <v>9102</v>
      </c>
      <c r="T78" s="32">
        <f t="shared" si="6"/>
        <v>0.27609316633706876</v>
      </c>
      <c r="U78" s="32">
        <f t="shared" si="7"/>
        <v>0.7111623818940892</v>
      </c>
      <c r="V78" s="32">
        <f t="shared" si="8"/>
        <v>1.7578554163920018E-3</v>
      </c>
      <c r="W78" t="str">
        <f t="shared" si="9"/>
        <v>Trump</v>
      </c>
      <c r="X78">
        <v>9102</v>
      </c>
      <c r="Y78" s="32">
        <v>0.27609316633706876</v>
      </c>
      <c r="Z78" s="32">
        <v>0.7111623818940892</v>
      </c>
      <c r="AA78" s="32">
        <v>1.7578554163920018E-3</v>
      </c>
    </row>
    <row r="79" spans="1:27" ht="13" customHeight="1" x14ac:dyDescent="0.15">
      <c r="A79" s="8" t="s">
        <v>75</v>
      </c>
      <c r="B79" s="15">
        <v>13677</v>
      </c>
      <c r="C79" s="9">
        <v>3700</v>
      </c>
      <c r="D79" s="10">
        <v>135</v>
      </c>
      <c r="E79" s="10">
        <v>36</v>
      </c>
      <c r="F79" s="10">
        <v>46</v>
      </c>
      <c r="G79" s="10">
        <v>5</v>
      </c>
      <c r="H79" s="10">
        <v>0</v>
      </c>
      <c r="I79" s="10">
        <v>1</v>
      </c>
      <c r="J79" s="11">
        <v>0</v>
      </c>
      <c r="K79" s="11">
        <v>2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4">
        <v>0</v>
      </c>
      <c r="S79" s="31">
        <f t="shared" si="5"/>
        <v>17602</v>
      </c>
      <c r="T79" s="32">
        <f t="shared" si="6"/>
        <v>0.21020338597886604</v>
      </c>
      <c r="U79" s="32">
        <f t="shared" si="7"/>
        <v>0.7770139756845813</v>
      </c>
      <c r="V79" s="32">
        <f t="shared" si="8"/>
        <v>2.0452221338484265E-3</v>
      </c>
      <c r="W79" t="str">
        <f t="shared" si="9"/>
        <v>Trump</v>
      </c>
      <c r="X79">
        <v>17602</v>
      </c>
      <c r="Y79" s="32">
        <v>0.21020338597886604</v>
      </c>
      <c r="Z79" s="32">
        <v>0.7770139756845813</v>
      </c>
      <c r="AA79" s="32">
        <v>2.0452221338484265E-3</v>
      </c>
    </row>
    <row r="80" spans="1:27" ht="12" customHeight="1" x14ac:dyDescent="0.15">
      <c r="A80" s="8" t="s">
        <v>76</v>
      </c>
      <c r="B80" s="15">
        <v>3343</v>
      </c>
      <c r="C80" s="10">
        <v>287</v>
      </c>
      <c r="D80" s="10">
        <v>14</v>
      </c>
      <c r="E80" s="10">
        <v>6</v>
      </c>
      <c r="F80" s="10">
        <v>4</v>
      </c>
      <c r="G80" s="10">
        <v>1</v>
      </c>
      <c r="H80" s="10">
        <v>0</v>
      </c>
      <c r="I80" s="10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4">
        <v>0</v>
      </c>
      <c r="S80" s="31">
        <f t="shared" si="5"/>
        <v>3655</v>
      </c>
      <c r="T80" s="32">
        <f t="shared" si="6"/>
        <v>7.8522571819425444E-2</v>
      </c>
      <c r="U80" s="32">
        <f t="shared" si="7"/>
        <v>0.9146374829001368</v>
      </c>
      <c r="V80" s="32">
        <f t="shared" si="8"/>
        <v>1.6415868673050615E-3</v>
      </c>
      <c r="W80" t="str">
        <f t="shared" si="9"/>
        <v>Trump</v>
      </c>
      <c r="X80">
        <v>3655</v>
      </c>
      <c r="Y80" s="32">
        <v>7.8522571819425444E-2</v>
      </c>
      <c r="Z80" s="32">
        <v>0.9146374829001368</v>
      </c>
      <c r="AA80" s="32">
        <v>1.6415868673050615E-3</v>
      </c>
    </row>
    <row r="81" spans="1:27" ht="12" customHeight="1" x14ac:dyDescent="0.15">
      <c r="A81" s="8" t="s">
        <v>77</v>
      </c>
      <c r="B81" s="15">
        <v>5621</v>
      </c>
      <c r="C81" s="9">
        <v>2170</v>
      </c>
      <c r="D81" s="10">
        <v>70</v>
      </c>
      <c r="E81" s="10">
        <v>20</v>
      </c>
      <c r="F81" s="10">
        <v>12</v>
      </c>
      <c r="G81" s="10">
        <v>5</v>
      </c>
      <c r="H81" s="10">
        <v>1</v>
      </c>
      <c r="I81" s="10">
        <v>0</v>
      </c>
      <c r="J81" s="11">
        <v>1</v>
      </c>
      <c r="K81" s="11">
        <v>1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4">
        <v>0</v>
      </c>
      <c r="S81" s="31">
        <f t="shared" si="5"/>
        <v>7901</v>
      </c>
      <c r="T81" s="32">
        <f t="shared" si="6"/>
        <v>0.27464877863561576</v>
      </c>
      <c r="U81" s="32">
        <f t="shared" si="7"/>
        <v>0.71142893304644983</v>
      </c>
      <c r="V81" s="32">
        <f t="shared" si="8"/>
        <v>2.5313251487153526E-3</v>
      </c>
      <c r="W81" t="str">
        <f t="shared" si="9"/>
        <v>Trump</v>
      </c>
      <c r="X81">
        <v>7901</v>
      </c>
      <c r="Y81" s="32">
        <v>0.27464877863561576</v>
      </c>
      <c r="Z81" s="32">
        <v>0.71142893304644983</v>
      </c>
      <c r="AA81" s="32">
        <v>2.5313251487153526E-3</v>
      </c>
    </row>
    <row r="82" spans="1:27" ht="13" customHeight="1" x14ac:dyDescent="0.15">
      <c r="A82" s="8" t="s">
        <v>78</v>
      </c>
      <c r="B82" s="15">
        <v>21349</v>
      </c>
      <c r="C82" s="9">
        <v>10191</v>
      </c>
      <c r="D82" s="10">
        <v>218</v>
      </c>
      <c r="E82" s="10">
        <v>78</v>
      </c>
      <c r="F82" s="10">
        <v>97</v>
      </c>
      <c r="G82" s="10">
        <v>4</v>
      </c>
      <c r="H82" s="10">
        <v>6</v>
      </c>
      <c r="I82" s="10">
        <v>2</v>
      </c>
      <c r="J82" s="11">
        <v>2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4">
        <v>0</v>
      </c>
      <c r="S82" s="31">
        <f t="shared" si="5"/>
        <v>31947</v>
      </c>
      <c r="T82" s="32">
        <f t="shared" si="6"/>
        <v>0.3189970889285379</v>
      </c>
      <c r="U82" s="32">
        <f t="shared" si="7"/>
        <v>0.66826306069427488</v>
      </c>
      <c r="V82" s="32">
        <f t="shared" si="8"/>
        <v>2.4415438069302284E-3</v>
      </c>
      <c r="W82" t="str">
        <f t="shared" si="9"/>
        <v>Trump</v>
      </c>
      <c r="X82">
        <v>31947</v>
      </c>
      <c r="Y82" s="32">
        <v>0.3189970889285379</v>
      </c>
      <c r="Z82" s="32">
        <v>0.66826306069427488</v>
      </c>
      <c r="AA82" s="32">
        <v>2.4415438069302284E-3</v>
      </c>
    </row>
    <row r="83" spans="1:27" ht="12.75" customHeight="1" x14ac:dyDescent="0.15">
      <c r="A83" s="8" t="s">
        <v>79</v>
      </c>
      <c r="B83" s="15">
        <v>5531</v>
      </c>
      <c r="C83" s="10">
        <v>641</v>
      </c>
      <c r="D83" s="10">
        <v>26</v>
      </c>
      <c r="E83" s="10">
        <v>4</v>
      </c>
      <c r="F83" s="10">
        <v>9</v>
      </c>
      <c r="G83" s="10">
        <v>0</v>
      </c>
      <c r="H83" s="10">
        <v>0</v>
      </c>
      <c r="I83" s="10">
        <v>0</v>
      </c>
      <c r="J83" s="11">
        <v>1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4">
        <v>0</v>
      </c>
      <c r="S83" s="31">
        <f t="shared" si="5"/>
        <v>6212</v>
      </c>
      <c r="T83" s="32">
        <f t="shared" si="6"/>
        <v>0.10318737926593689</v>
      </c>
      <c r="U83" s="32">
        <f t="shared" si="7"/>
        <v>0.89037347070186734</v>
      </c>
      <c r="V83" s="32">
        <f t="shared" si="8"/>
        <v>6.43915003219575E-4</v>
      </c>
      <c r="W83" t="str">
        <f t="shared" si="9"/>
        <v>Trump</v>
      </c>
      <c r="X83">
        <v>6212</v>
      </c>
      <c r="Y83" s="32">
        <v>0.10318737926593689</v>
      </c>
      <c r="Z83" s="32">
        <v>0.89037347070186734</v>
      </c>
      <c r="AA83" s="32">
        <v>6.43915003219575E-4</v>
      </c>
    </row>
    <row r="84" spans="1:27" ht="12" customHeight="1" x14ac:dyDescent="0.15">
      <c r="A84" s="8" t="s">
        <v>80</v>
      </c>
      <c r="B84" s="15">
        <v>3578</v>
      </c>
      <c r="C84" s="10">
        <v>989</v>
      </c>
      <c r="D84" s="10">
        <v>45</v>
      </c>
      <c r="E84" s="10">
        <v>10</v>
      </c>
      <c r="F84" s="10">
        <v>10</v>
      </c>
      <c r="G84" s="10">
        <v>1</v>
      </c>
      <c r="H84" s="10">
        <v>0</v>
      </c>
      <c r="I84" s="10">
        <v>1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4">
        <v>0</v>
      </c>
      <c r="S84" s="31">
        <f t="shared" si="5"/>
        <v>4634</v>
      </c>
      <c r="T84" s="32">
        <f t="shared" si="6"/>
        <v>0.21342252913249893</v>
      </c>
      <c r="U84" s="32">
        <f t="shared" si="7"/>
        <v>0.77211911955114376</v>
      </c>
      <c r="V84" s="32">
        <f t="shared" si="8"/>
        <v>2.1579628830384117E-3</v>
      </c>
      <c r="W84" t="str">
        <f t="shared" si="9"/>
        <v>Trump</v>
      </c>
      <c r="X84">
        <v>4634</v>
      </c>
      <c r="Y84" s="32">
        <v>0.21342252913249893</v>
      </c>
      <c r="Z84" s="32">
        <v>0.77211911955114376</v>
      </c>
      <c r="AA84" s="32">
        <v>2.1579628830384117E-3</v>
      </c>
    </row>
    <row r="85" spans="1:27" ht="12" customHeight="1" x14ac:dyDescent="0.15">
      <c r="A85" s="8" t="s">
        <v>81</v>
      </c>
      <c r="B85" s="15">
        <v>10630</v>
      </c>
      <c r="C85" s="9">
        <v>3279</v>
      </c>
      <c r="D85" s="10">
        <v>139</v>
      </c>
      <c r="E85" s="10">
        <v>27</v>
      </c>
      <c r="F85" s="10">
        <v>38</v>
      </c>
      <c r="G85" s="10">
        <v>6</v>
      </c>
      <c r="H85" s="10">
        <v>2</v>
      </c>
      <c r="I85" s="10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4">
        <v>0</v>
      </c>
      <c r="S85" s="31">
        <f t="shared" si="5"/>
        <v>14123</v>
      </c>
      <c r="T85" s="32">
        <f t="shared" si="6"/>
        <v>0.23217446718119381</v>
      </c>
      <c r="U85" s="32">
        <f t="shared" si="7"/>
        <v>0.75267294484174752</v>
      </c>
      <c r="V85" s="32">
        <f t="shared" si="8"/>
        <v>1.9117751186008638E-3</v>
      </c>
      <c r="W85" t="str">
        <f t="shared" si="9"/>
        <v>Trump</v>
      </c>
      <c r="X85">
        <v>14123</v>
      </c>
      <c r="Y85" s="32">
        <v>0.23217446718119381</v>
      </c>
      <c r="Z85" s="32">
        <v>0.75267294484174752</v>
      </c>
      <c r="AA85" s="32">
        <v>1.9117751186008638E-3</v>
      </c>
    </row>
    <row r="86" spans="1:27" ht="13" customHeight="1" x14ac:dyDescent="0.15">
      <c r="A86" s="8" t="s">
        <v>82</v>
      </c>
      <c r="B86" s="15">
        <v>2563</v>
      </c>
      <c r="C86" s="10">
        <v>664</v>
      </c>
      <c r="D86" s="10">
        <v>40</v>
      </c>
      <c r="E86" s="10">
        <v>12</v>
      </c>
      <c r="F86" s="10">
        <v>8</v>
      </c>
      <c r="G86" s="10">
        <v>5</v>
      </c>
      <c r="H86" s="10">
        <v>2</v>
      </c>
      <c r="I86" s="10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4">
        <v>0</v>
      </c>
      <c r="S86" s="31">
        <f t="shared" si="5"/>
        <v>3294</v>
      </c>
      <c r="T86" s="32">
        <f t="shared" si="6"/>
        <v>0.20157862780813601</v>
      </c>
      <c r="U86" s="32">
        <f t="shared" si="7"/>
        <v>0.7780813600485732</v>
      </c>
      <c r="V86" s="32">
        <f t="shared" si="8"/>
        <v>3.6429872495446266E-3</v>
      </c>
      <c r="W86" t="str">
        <f t="shared" si="9"/>
        <v>Trump</v>
      </c>
      <c r="X86">
        <v>3294</v>
      </c>
      <c r="Y86" s="32">
        <v>0.20157862780813601</v>
      </c>
      <c r="Z86" s="32">
        <v>0.7780813600485732</v>
      </c>
      <c r="AA86" s="32">
        <v>3.6429872495446266E-3</v>
      </c>
    </row>
    <row r="87" spans="1:27" ht="12" customHeight="1" x14ac:dyDescent="0.15">
      <c r="A87" s="8" t="s">
        <v>83</v>
      </c>
      <c r="B87" s="15">
        <v>8826</v>
      </c>
      <c r="C87" s="9">
        <v>2838</v>
      </c>
      <c r="D87" s="10">
        <v>108</v>
      </c>
      <c r="E87" s="10">
        <v>25</v>
      </c>
      <c r="F87" s="10">
        <v>38</v>
      </c>
      <c r="G87" s="10">
        <v>6</v>
      </c>
      <c r="H87" s="10">
        <v>8</v>
      </c>
      <c r="I87" s="10">
        <v>1</v>
      </c>
      <c r="J87" s="11">
        <v>1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4">
        <v>0</v>
      </c>
      <c r="S87" s="31">
        <f t="shared" si="5"/>
        <v>11851</v>
      </c>
      <c r="T87" s="32">
        <f t="shared" si="6"/>
        <v>0.23947346215509241</v>
      </c>
      <c r="U87" s="32">
        <f t="shared" si="7"/>
        <v>0.74474727871065738</v>
      </c>
      <c r="V87" s="32">
        <f t="shared" si="8"/>
        <v>2.1095266222259726E-3</v>
      </c>
      <c r="W87" t="str">
        <f t="shared" si="9"/>
        <v>Trump</v>
      </c>
      <c r="X87">
        <v>11851</v>
      </c>
      <c r="Y87" s="32">
        <v>0.23947346215509241</v>
      </c>
      <c r="Z87" s="32">
        <v>0.74474727871065738</v>
      </c>
      <c r="AA87" s="32">
        <v>2.1095266222259726E-3</v>
      </c>
    </row>
    <row r="88" spans="1:27" ht="12" customHeight="1" x14ac:dyDescent="0.15">
      <c r="A88" s="8" t="s">
        <v>84</v>
      </c>
      <c r="B88" s="15">
        <v>4197</v>
      </c>
      <c r="C88" s="10">
        <v>884</v>
      </c>
      <c r="D88" s="10">
        <v>22</v>
      </c>
      <c r="E88" s="10">
        <v>9</v>
      </c>
      <c r="F88" s="10">
        <v>11</v>
      </c>
      <c r="G88" s="10">
        <v>1</v>
      </c>
      <c r="H88" s="10">
        <v>0</v>
      </c>
      <c r="I88" s="10">
        <v>1</v>
      </c>
      <c r="J88" s="11">
        <v>0</v>
      </c>
      <c r="K88" s="11">
        <v>0</v>
      </c>
      <c r="L88" s="11">
        <v>2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4">
        <v>0</v>
      </c>
      <c r="S88" s="31">
        <f t="shared" si="5"/>
        <v>5127</v>
      </c>
      <c r="T88" s="32">
        <f t="shared" si="6"/>
        <v>0.17242051882192316</v>
      </c>
      <c r="U88" s="32">
        <f t="shared" si="7"/>
        <v>0.81860737273259221</v>
      </c>
      <c r="V88" s="32">
        <f t="shared" si="8"/>
        <v>1.7554125219426564E-3</v>
      </c>
      <c r="W88" t="str">
        <f t="shared" si="9"/>
        <v>Trump</v>
      </c>
      <c r="X88">
        <v>5127</v>
      </c>
      <c r="Y88" s="32">
        <v>0.17242051882192316</v>
      </c>
      <c r="Z88" s="32">
        <v>0.81860737273259221</v>
      </c>
      <c r="AA88" s="32">
        <v>1.7554125219426564E-3</v>
      </c>
    </row>
    <row r="89" spans="1:27" ht="12" customHeight="1" x14ac:dyDescent="0.15">
      <c r="A89" s="8" t="s">
        <v>85</v>
      </c>
      <c r="B89" s="15">
        <v>4679</v>
      </c>
      <c r="C89" s="10">
        <v>576</v>
      </c>
      <c r="D89" s="10">
        <v>39</v>
      </c>
      <c r="E89" s="10">
        <v>8</v>
      </c>
      <c r="F89" s="10">
        <v>5</v>
      </c>
      <c r="G89" s="10">
        <v>1</v>
      </c>
      <c r="H89" s="10">
        <v>0</v>
      </c>
      <c r="I89" s="10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4">
        <v>0</v>
      </c>
      <c r="S89" s="31">
        <f t="shared" si="5"/>
        <v>5308</v>
      </c>
      <c r="T89" s="32">
        <f t="shared" si="6"/>
        <v>0.10851544837980406</v>
      </c>
      <c r="U89" s="32">
        <f t="shared" si="7"/>
        <v>0.88149962321024866</v>
      </c>
      <c r="V89" s="32">
        <f t="shared" si="8"/>
        <v>1.5071590052750565E-3</v>
      </c>
      <c r="W89" t="str">
        <f t="shared" si="9"/>
        <v>Trump</v>
      </c>
      <c r="X89">
        <v>5308</v>
      </c>
      <c r="Y89" s="32">
        <v>0.10851544837980406</v>
      </c>
      <c r="Z89" s="32">
        <v>0.88149962321024866</v>
      </c>
      <c r="AA89" s="32">
        <v>1.5071590052750565E-3</v>
      </c>
    </row>
    <row r="90" spans="1:27" ht="13" customHeight="1" x14ac:dyDescent="0.15">
      <c r="A90" s="8" t="s">
        <v>86</v>
      </c>
      <c r="B90" s="15">
        <v>9302</v>
      </c>
      <c r="C90" s="9">
        <v>3329</v>
      </c>
      <c r="D90" s="10">
        <v>120</v>
      </c>
      <c r="E90" s="10">
        <v>33</v>
      </c>
      <c r="F90" s="10">
        <v>29</v>
      </c>
      <c r="G90" s="10">
        <v>6</v>
      </c>
      <c r="H90" s="10">
        <v>1</v>
      </c>
      <c r="I90" s="10">
        <v>1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4">
        <v>0</v>
      </c>
      <c r="S90" s="31">
        <f t="shared" si="5"/>
        <v>12821</v>
      </c>
      <c r="T90" s="32">
        <f t="shared" si="6"/>
        <v>0.25965213321893765</v>
      </c>
      <c r="U90" s="32">
        <f t="shared" si="7"/>
        <v>0.72552842991966304</v>
      </c>
      <c r="V90" s="32">
        <f t="shared" si="8"/>
        <v>2.5739021917167149E-3</v>
      </c>
      <c r="W90" t="str">
        <f t="shared" si="9"/>
        <v>Trump</v>
      </c>
      <c r="X90">
        <v>12821</v>
      </c>
      <c r="Y90" s="32">
        <v>0.25965213321893765</v>
      </c>
      <c r="Z90" s="32">
        <v>0.72552842991966304</v>
      </c>
      <c r="AA90" s="32">
        <v>2.5739021917167149E-3</v>
      </c>
    </row>
    <row r="91" spans="1:27" ht="12" customHeight="1" x14ac:dyDescent="0.15">
      <c r="A91" s="8" t="s">
        <v>87</v>
      </c>
      <c r="B91" s="15">
        <v>4353</v>
      </c>
      <c r="C91" s="10">
        <v>939</v>
      </c>
      <c r="D91" s="10">
        <v>54</v>
      </c>
      <c r="E91" s="10">
        <v>18</v>
      </c>
      <c r="F91" s="10">
        <v>6</v>
      </c>
      <c r="G91" s="10">
        <v>3</v>
      </c>
      <c r="H91" s="10">
        <v>0</v>
      </c>
      <c r="I91" s="10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4">
        <v>0</v>
      </c>
      <c r="S91" s="31">
        <f t="shared" si="5"/>
        <v>5373</v>
      </c>
      <c r="T91" s="32">
        <f t="shared" si="6"/>
        <v>0.17476270240089337</v>
      </c>
      <c r="U91" s="32">
        <f t="shared" si="7"/>
        <v>0.81016192071468451</v>
      </c>
      <c r="V91" s="32">
        <f t="shared" si="8"/>
        <v>3.3500837520938024E-3</v>
      </c>
      <c r="W91" t="str">
        <f t="shared" si="9"/>
        <v>Trump</v>
      </c>
      <c r="X91">
        <v>5373</v>
      </c>
      <c r="Y91" s="32">
        <v>0.17476270240089337</v>
      </c>
      <c r="Z91" s="32">
        <v>0.81016192071468451</v>
      </c>
      <c r="AA91" s="32">
        <v>3.3500837520938024E-3</v>
      </c>
    </row>
    <row r="92" spans="1:27" ht="12" customHeight="1" x14ac:dyDescent="0.15">
      <c r="A92" s="8" t="s">
        <v>88</v>
      </c>
      <c r="B92" s="15">
        <v>10491</v>
      </c>
      <c r="C92" s="9">
        <v>3048</v>
      </c>
      <c r="D92" s="10">
        <v>96</v>
      </c>
      <c r="E92" s="10">
        <v>27</v>
      </c>
      <c r="F92" s="10">
        <v>25</v>
      </c>
      <c r="G92" s="10">
        <v>4</v>
      </c>
      <c r="H92" s="10">
        <v>0</v>
      </c>
      <c r="I92" s="10">
        <v>0</v>
      </c>
      <c r="J92" s="11">
        <v>0</v>
      </c>
      <c r="K92" s="11">
        <v>0</v>
      </c>
      <c r="L92" s="11">
        <v>1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4">
        <v>0</v>
      </c>
      <c r="S92" s="31">
        <f t="shared" si="5"/>
        <v>13692</v>
      </c>
      <c r="T92" s="32">
        <f t="shared" si="6"/>
        <v>0.22261174408413673</v>
      </c>
      <c r="U92" s="32">
        <f t="shared" si="7"/>
        <v>0.76621384750219101</v>
      </c>
      <c r="V92" s="32">
        <f t="shared" si="8"/>
        <v>1.9719544259421558E-3</v>
      </c>
      <c r="W92" t="str">
        <f t="shared" si="9"/>
        <v>Trump</v>
      </c>
      <c r="X92">
        <v>13692</v>
      </c>
      <c r="Y92" s="32">
        <v>0.22261174408413673</v>
      </c>
      <c r="Z92" s="32">
        <v>0.76621384750219101</v>
      </c>
      <c r="AA92" s="32">
        <v>1.9719544259421558E-3</v>
      </c>
    </row>
    <row r="93" spans="1:27" ht="13" customHeight="1" x14ac:dyDescent="0.15">
      <c r="A93" s="8" t="s">
        <v>89</v>
      </c>
      <c r="B93" s="15">
        <v>16052</v>
      </c>
      <c r="C93" s="9">
        <v>6515</v>
      </c>
      <c r="D93" s="10">
        <v>166</v>
      </c>
      <c r="E93" s="10">
        <v>43</v>
      </c>
      <c r="F93" s="10">
        <v>51</v>
      </c>
      <c r="G93" s="10">
        <v>11</v>
      </c>
      <c r="H93" s="10">
        <v>12</v>
      </c>
      <c r="I93" s="10">
        <v>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4">
        <v>0</v>
      </c>
      <c r="S93" s="31">
        <f t="shared" si="5"/>
        <v>22852</v>
      </c>
      <c r="T93" s="32">
        <f t="shared" si="6"/>
        <v>0.28509539646420445</v>
      </c>
      <c r="U93" s="32">
        <f t="shared" si="7"/>
        <v>0.70243304743567303</v>
      </c>
      <c r="V93" s="32">
        <f t="shared" si="8"/>
        <v>1.8816733765097146E-3</v>
      </c>
      <c r="W93" t="str">
        <f t="shared" si="9"/>
        <v>Trump</v>
      </c>
      <c r="X93">
        <v>22852</v>
      </c>
      <c r="Y93" s="32">
        <v>0.28509539646420445</v>
      </c>
      <c r="Z93" s="32">
        <v>0.70243304743567303</v>
      </c>
      <c r="AA93" s="32">
        <v>1.8816733765097146E-3</v>
      </c>
    </row>
    <row r="94" spans="1:27" ht="12" customHeight="1" x14ac:dyDescent="0.15">
      <c r="A94" s="8" t="s">
        <v>90</v>
      </c>
      <c r="B94" s="15">
        <v>2451</v>
      </c>
      <c r="C94" s="10">
        <v>824</v>
      </c>
      <c r="D94" s="10">
        <v>26</v>
      </c>
      <c r="E94" s="10">
        <v>7</v>
      </c>
      <c r="F94" s="10">
        <v>9</v>
      </c>
      <c r="G94" s="10">
        <v>2</v>
      </c>
      <c r="H94" s="10">
        <v>0</v>
      </c>
      <c r="I94" s="10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4">
        <v>0</v>
      </c>
      <c r="S94" s="31">
        <f t="shared" si="5"/>
        <v>3319</v>
      </c>
      <c r="T94" s="32">
        <f t="shared" si="6"/>
        <v>0.24826755046700813</v>
      </c>
      <c r="U94" s="32">
        <f t="shared" si="7"/>
        <v>0.73847544441096713</v>
      </c>
      <c r="V94" s="32">
        <f t="shared" si="8"/>
        <v>2.1090689966857487E-3</v>
      </c>
      <c r="W94" t="str">
        <f t="shared" si="9"/>
        <v>Trump</v>
      </c>
      <c r="X94">
        <v>3319</v>
      </c>
      <c r="Y94" s="32">
        <v>0.24826755046700813</v>
      </c>
      <c r="Z94" s="32">
        <v>0.73847544441096713</v>
      </c>
      <c r="AA94" s="32">
        <v>2.1090689966857487E-3</v>
      </c>
    </row>
    <row r="95" spans="1:27" ht="12" customHeight="1" x14ac:dyDescent="0.15">
      <c r="A95" s="8" t="s">
        <v>91</v>
      </c>
      <c r="B95" s="15">
        <v>8679</v>
      </c>
      <c r="C95" s="9">
        <v>2094</v>
      </c>
      <c r="D95" s="10">
        <v>115</v>
      </c>
      <c r="E95" s="10">
        <v>23</v>
      </c>
      <c r="F95" s="10">
        <v>20</v>
      </c>
      <c r="G95" s="10">
        <v>4</v>
      </c>
      <c r="H95" s="10">
        <v>0</v>
      </c>
      <c r="I95" s="10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4">
        <v>0</v>
      </c>
      <c r="S95" s="31">
        <f t="shared" si="5"/>
        <v>10937</v>
      </c>
      <c r="T95" s="32">
        <f t="shared" si="6"/>
        <v>0.19146018103684739</v>
      </c>
      <c r="U95" s="32">
        <f t="shared" si="7"/>
        <v>0.79354484776446921</v>
      </c>
      <c r="V95" s="32">
        <f t="shared" si="8"/>
        <v>2.1029532778641309E-3</v>
      </c>
      <c r="W95" t="str">
        <f t="shared" si="9"/>
        <v>Trump</v>
      </c>
      <c r="X95">
        <v>10937</v>
      </c>
      <c r="Y95" s="32">
        <v>0.19146018103684739</v>
      </c>
      <c r="Z95" s="32">
        <v>0.79354484776446921</v>
      </c>
      <c r="AA95" s="32">
        <v>2.1029532778641309E-3</v>
      </c>
    </row>
    <row r="96" spans="1:27" ht="13" customHeight="1" x14ac:dyDescent="0.15">
      <c r="A96" s="8" t="s">
        <v>92</v>
      </c>
      <c r="B96" s="15">
        <v>23025</v>
      </c>
      <c r="C96" s="9">
        <v>14402</v>
      </c>
      <c r="D96" s="10">
        <v>361</v>
      </c>
      <c r="E96" s="10">
        <v>193</v>
      </c>
      <c r="F96" s="10">
        <v>181</v>
      </c>
      <c r="G96" s="10">
        <v>25</v>
      </c>
      <c r="H96" s="10">
        <v>14</v>
      </c>
      <c r="I96" s="10">
        <v>5</v>
      </c>
      <c r="J96" s="11">
        <v>4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4">
        <v>0</v>
      </c>
      <c r="S96" s="31">
        <f t="shared" si="5"/>
        <v>38210</v>
      </c>
      <c r="T96" s="32">
        <f t="shared" si="6"/>
        <v>0.37691703742475791</v>
      </c>
      <c r="U96" s="32">
        <f t="shared" si="7"/>
        <v>0.60259094477885367</v>
      </c>
      <c r="V96" s="32">
        <f t="shared" si="8"/>
        <v>5.0510337607956035E-3</v>
      </c>
      <c r="W96" t="str">
        <f t="shared" si="9"/>
        <v>Trump</v>
      </c>
      <c r="X96">
        <v>38210</v>
      </c>
      <c r="Y96" s="32">
        <v>0.37691703742475791</v>
      </c>
      <c r="Z96" s="32">
        <v>0.60259094477885367</v>
      </c>
      <c r="AA96" s="32">
        <v>5.0510337607956035E-3</v>
      </c>
    </row>
    <row r="97" spans="1:27" ht="12" customHeight="1" x14ac:dyDescent="0.15">
      <c r="A97" s="8" t="s">
        <v>93</v>
      </c>
      <c r="B97" s="15">
        <v>4434</v>
      </c>
      <c r="C97" s="10">
        <v>988</v>
      </c>
      <c r="D97" s="10">
        <v>49</v>
      </c>
      <c r="E97" s="10">
        <v>11</v>
      </c>
      <c r="F97" s="10">
        <v>10</v>
      </c>
      <c r="G97" s="10">
        <v>2</v>
      </c>
      <c r="H97" s="10">
        <v>2</v>
      </c>
      <c r="I97" s="10">
        <v>3</v>
      </c>
      <c r="J97" s="11">
        <v>1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4">
        <v>0</v>
      </c>
      <c r="S97" s="31">
        <f t="shared" si="5"/>
        <v>5500</v>
      </c>
      <c r="T97" s="32">
        <f t="shared" si="6"/>
        <v>0.17963636363636365</v>
      </c>
      <c r="U97" s="32">
        <f t="shared" si="7"/>
        <v>0.80618181818181822</v>
      </c>
      <c r="V97" s="32">
        <f t="shared" si="8"/>
        <v>2E-3</v>
      </c>
      <c r="W97" t="str">
        <f t="shared" si="9"/>
        <v>Trump</v>
      </c>
      <c r="X97">
        <v>5500</v>
      </c>
      <c r="Y97" s="32">
        <v>0.17963636363636365</v>
      </c>
      <c r="Z97" s="32">
        <v>0.80618181818181822</v>
      </c>
      <c r="AA97" s="32">
        <v>2E-3</v>
      </c>
    </row>
    <row r="98" spans="1:27" ht="12" customHeight="1" x14ac:dyDescent="0.15">
      <c r="A98" s="8" t="s">
        <v>94</v>
      </c>
      <c r="B98" s="15">
        <v>1625</v>
      </c>
      <c r="C98" s="10">
        <v>203</v>
      </c>
      <c r="D98" s="10">
        <v>8</v>
      </c>
      <c r="E98" s="10">
        <v>0</v>
      </c>
      <c r="F98" s="10">
        <v>2</v>
      </c>
      <c r="G98" s="10">
        <v>1</v>
      </c>
      <c r="H98" s="10">
        <v>0</v>
      </c>
      <c r="I98" s="10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4">
        <v>0</v>
      </c>
      <c r="S98" s="31">
        <f t="shared" si="5"/>
        <v>1839</v>
      </c>
      <c r="T98" s="32">
        <f t="shared" si="6"/>
        <v>0.11038607939097335</v>
      </c>
      <c r="U98" s="32">
        <f t="shared" si="7"/>
        <v>0.88363240891789019</v>
      </c>
      <c r="V98" s="32">
        <f t="shared" si="8"/>
        <v>0</v>
      </c>
      <c r="W98" t="str">
        <f t="shared" si="9"/>
        <v>Trump</v>
      </c>
      <c r="X98">
        <v>1839</v>
      </c>
      <c r="Y98" s="32">
        <v>0.11038607939097335</v>
      </c>
      <c r="Z98" s="32">
        <v>0.88363240891789019</v>
      </c>
      <c r="AA98" s="32">
        <v>0</v>
      </c>
    </row>
    <row r="99" spans="1:27" ht="12" customHeight="1" x14ac:dyDescent="0.15">
      <c r="A99" s="8" t="s">
        <v>95</v>
      </c>
      <c r="B99" s="15">
        <v>5593</v>
      </c>
      <c r="C99" s="9">
        <v>1210</v>
      </c>
      <c r="D99" s="10">
        <v>56</v>
      </c>
      <c r="E99" s="10">
        <v>21</v>
      </c>
      <c r="F99" s="10">
        <v>16</v>
      </c>
      <c r="G99" s="10">
        <v>4</v>
      </c>
      <c r="H99" s="10">
        <v>0</v>
      </c>
      <c r="I99" s="10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4">
        <v>0</v>
      </c>
      <c r="S99" s="31">
        <f t="shared" si="5"/>
        <v>6900</v>
      </c>
      <c r="T99" s="32">
        <f t="shared" si="6"/>
        <v>0.17536231884057971</v>
      </c>
      <c r="U99" s="32">
        <f t="shared" si="7"/>
        <v>0.81057971014492758</v>
      </c>
      <c r="V99" s="32">
        <f t="shared" si="8"/>
        <v>3.0434782608695652E-3</v>
      </c>
      <c r="W99" t="str">
        <f t="shared" si="9"/>
        <v>Trump</v>
      </c>
      <c r="X99">
        <v>6900</v>
      </c>
      <c r="Y99" s="32">
        <v>0.17536231884057971</v>
      </c>
      <c r="Z99" s="32">
        <v>0.81057971014492758</v>
      </c>
      <c r="AA99" s="32">
        <v>3.0434782608695652E-3</v>
      </c>
    </row>
    <row r="100" spans="1:27" ht="13" customHeight="1" x14ac:dyDescent="0.15">
      <c r="A100" s="8" t="s">
        <v>96</v>
      </c>
      <c r="B100" s="15">
        <v>7913</v>
      </c>
      <c r="C100" s="9">
        <v>1966</v>
      </c>
      <c r="D100" s="10">
        <v>71</v>
      </c>
      <c r="E100" s="10">
        <v>21</v>
      </c>
      <c r="F100" s="10">
        <v>18</v>
      </c>
      <c r="G100" s="10">
        <v>3</v>
      </c>
      <c r="H100" s="10">
        <v>0</v>
      </c>
      <c r="I100" s="10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4">
        <v>0</v>
      </c>
      <c r="S100" s="31">
        <f t="shared" si="5"/>
        <v>9992</v>
      </c>
      <c r="T100" s="32">
        <f t="shared" si="6"/>
        <v>0.19675740592473978</v>
      </c>
      <c r="U100" s="32">
        <f t="shared" si="7"/>
        <v>0.79193354683746997</v>
      </c>
      <c r="V100" s="32">
        <f t="shared" si="8"/>
        <v>2.1016813450760608E-3</v>
      </c>
      <c r="W100" t="str">
        <f t="shared" si="9"/>
        <v>Trump</v>
      </c>
      <c r="X100">
        <v>9992</v>
      </c>
      <c r="Y100" s="32">
        <v>0.19675740592473978</v>
      </c>
      <c r="Z100" s="32">
        <v>0.79193354683746997</v>
      </c>
      <c r="AA100" s="32">
        <v>2.1016813450760608E-3</v>
      </c>
    </row>
    <row r="101" spans="1:27" ht="12" customHeight="1" x14ac:dyDescent="0.15">
      <c r="A101" s="8" t="s">
        <v>97</v>
      </c>
      <c r="B101" s="15">
        <v>19684</v>
      </c>
      <c r="C101" s="9">
        <v>4025</v>
      </c>
      <c r="D101" s="10">
        <v>161</v>
      </c>
      <c r="E101" s="10">
        <v>34</v>
      </c>
      <c r="F101" s="10">
        <v>33</v>
      </c>
      <c r="G101" s="10">
        <v>9</v>
      </c>
      <c r="H101" s="10">
        <v>4</v>
      </c>
      <c r="I101" s="10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4">
        <v>0</v>
      </c>
      <c r="S101" s="31">
        <f t="shared" si="5"/>
        <v>23950</v>
      </c>
      <c r="T101" s="32">
        <f t="shared" si="6"/>
        <v>0.16805845511482254</v>
      </c>
      <c r="U101" s="32">
        <f t="shared" si="7"/>
        <v>0.82187891440501049</v>
      </c>
      <c r="V101" s="32">
        <f t="shared" si="8"/>
        <v>1.4196242171189979E-3</v>
      </c>
      <c r="W101" t="str">
        <f t="shared" si="9"/>
        <v>Trump</v>
      </c>
      <c r="X101">
        <v>23950</v>
      </c>
      <c r="Y101" s="32">
        <v>0.16805845511482254</v>
      </c>
      <c r="Z101" s="32">
        <v>0.82187891440501049</v>
      </c>
      <c r="AA101" s="32">
        <v>1.4196242171189979E-3</v>
      </c>
    </row>
    <row r="102" spans="1:27" ht="12" customHeight="1" x14ac:dyDescent="0.15">
      <c r="A102" s="8" t="s">
        <v>98</v>
      </c>
      <c r="B102" s="15">
        <v>4092</v>
      </c>
      <c r="C102" s="9">
        <v>1174</v>
      </c>
      <c r="D102" s="10">
        <v>63</v>
      </c>
      <c r="E102" s="10">
        <v>13</v>
      </c>
      <c r="F102" s="10">
        <v>13</v>
      </c>
      <c r="G102" s="10">
        <v>5</v>
      </c>
      <c r="H102" s="10">
        <v>0</v>
      </c>
      <c r="I102" s="10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4">
        <v>0</v>
      </c>
      <c r="S102" s="31">
        <f t="shared" si="5"/>
        <v>5360</v>
      </c>
      <c r="T102" s="32">
        <f t="shared" si="6"/>
        <v>0.21902985074626866</v>
      </c>
      <c r="U102" s="32">
        <f t="shared" si="7"/>
        <v>0.76343283582089549</v>
      </c>
      <c r="V102" s="32">
        <f t="shared" si="8"/>
        <v>2.4253731343283581E-3</v>
      </c>
      <c r="W102" t="str">
        <f t="shared" si="9"/>
        <v>Trump</v>
      </c>
      <c r="X102">
        <v>5360</v>
      </c>
      <c r="Y102" s="32">
        <v>0.21902985074626866</v>
      </c>
      <c r="Z102" s="32">
        <v>0.76343283582089549</v>
      </c>
      <c r="AA102" s="32">
        <v>2.4253731343283581E-3</v>
      </c>
    </row>
    <row r="103" spans="1:27" ht="13" customHeight="1" x14ac:dyDescent="0.15">
      <c r="A103" s="8" t="s">
        <v>99</v>
      </c>
      <c r="B103" s="15">
        <v>26051</v>
      </c>
      <c r="C103" s="9">
        <v>5351</v>
      </c>
      <c r="D103" s="10">
        <v>177</v>
      </c>
      <c r="E103" s="10">
        <v>65</v>
      </c>
      <c r="F103" s="10">
        <v>72</v>
      </c>
      <c r="G103" s="10">
        <v>9</v>
      </c>
      <c r="H103" s="10">
        <v>6</v>
      </c>
      <c r="I103" s="10">
        <v>2</v>
      </c>
      <c r="J103" s="11">
        <v>1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1</v>
      </c>
      <c r="Q103" s="11">
        <v>0</v>
      </c>
      <c r="R103" s="14">
        <v>0</v>
      </c>
      <c r="S103" s="31">
        <f t="shared" si="5"/>
        <v>31735</v>
      </c>
      <c r="T103" s="32">
        <f t="shared" si="6"/>
        <v>0.16861509374507641</v>
      </c>
      <c r="U103" s="32">
        <f t="shared" si="7"/>
        <v>0.8208917598865606</v>
      </c>
      <c r="V103" s="32">
        <f t="shared" si="8"/>
        <v>2.0482117535843706E-3</v>
      </c>
      <c r="W103" t="str">
        <f t="shared" si="9"/>
        <v>Trump</v>
      </c>
      <c r="X103">
        <v>31735</v>
      </c>
      <c r="Y103" s="32">
        <v>0.16861509374507641</v>
      </c>
      <c r="Z103" s="32">
        <v>0.8208917598865606</v>
      </c>
      <c r="AA103" s="32">
        <v>2.0482117535843706E-3</v>
      </c>
    </row>
    <row r="104" spans="1:27" ht="12.75" customHeight="1" x14ac:dyDescent="0.15">
      <c r="A104" s="8" t="s">
        <v>100</v>
      </c>
      <c r="B104" s="14">
        <v>915</v>
      </c>
      <c r="C104" s="10">
        <v>215</v>
      </c>
      <c r="D104" s="10">
        <v>12</v>
      </c>
      <c r="E104" s="10">
        <v>1</v>
      </c>
      <c r="F104" s="10">
        <v>0</v>
      </c>
      <c r="G104" s="10">
        <v>1</v>
      </c>
      <c r="H104" s="10">
        <v>0</v>
      </c>
      <c r="I104" s="10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4">
        <v>0</v>
      </c>
      <c r="S104" s="31">
        <f t="shared" si="5"/>
        <v>1144</v>
      </c>
      <c r="T104" s="32">
        <f t="shared" si="6"/>
        <v>0.18793706293706294</v>
      </c>
      <c r="U104" s="32">
        <f t="shared" si="7"/>
        <v>0.79982517482517479</v>
      </c>
      <c r="V104" s="32">
        <f t="shared" si="8"/>
        <v>8.7412587412587413E-4</v>
      </c>
      <c r="W104" t="str">
        <f t="shared" si="9"/>
        <v>Trump</v>
      </c>
      <c r="X104">
        <v>1144</v>
      </c>
      <c r="Y104" s="32">
        <v>0.18793706293706294</v>
      </c>
      <c r="Z104" s="32">
        <v>0.79982517482517479</v>
      </c>
      <c r="AA104" s="32">
        <v>8.7412587412587413E-4</v>
      </c>
    </row>
    <row r="105" spans="1:27" ht="12" customHeight="1" x14ac:dyDescent="0.15">
      <c r="A105" s="8" t="s">
        <v>101</v>
      </c>
      <c r="B105" s="9">
        <v>6635</v>
      </c>
      <c r="C105" s="10">
        <v>986</v>
      </c>
      <c r="D105" s="10">
        <v>56</v>
      </c>
      <c r="E105" s="10">
        <v>26</v>
      </c>
      <c r="F105" s="10">
        <v>16</v>
      </c>
      <c r="G105" s="11">
        <v>5</v>
      </c>
      <c r="H105" s="11">
        <v>0</v>
      </c>
      <c r="I105" s="11">
        <v>0</v>
      </c>
      <c r="J105" s="12">
        <v>0</v>
      </c>
      <c r="K105" s="12">
        <v>0</v>
      </c>
      <c r="L105" s="12">
        <v>0</v>
      </c>
      <c r="M105" s="11">
        <v>0</v>
      </c>
      <c r="N105" s="11">
        <v>0</v>
      </c>
      <c r="O105" s="12">
        <v>0</v>
      </c>
      <c r="P105" s="13">
        <v>0</v>
      </c>
      <c r="Q105" s="13">
        <v>0</v>
      </c>
      <c r="R105" s="14">
        <v>0</v>
      </c>
      <c r="S105" s="31">
        <f t="shared" si="5"/>
        <v>7724</v>
      </c>
      <c r="T105" s="32">
        <f t="shared" si="6"/>
        <v>0.12765406525116521</v>
      </c>
      <c r="U105" s="32">
        <f t="shared" si="7"/>
        <v>0.85901087519419994</v>
      </c>
      <c r="V105" s="32">
        <f t="shared" si="8"/>
        <v>3.3661315380631796E-3</v>
      </c>
      <c r="W105" t="str">
        <f t="shared" si="9"/>
        <v>Trump</v>
      </c>
      <c r="X105">
        <v>7724</v>
      </c>
      <c r="Y105" s="32">
        <v>0.12765406525116521</v>
      </c>
      <c r="Z105" s="32">
        <v>0.85901087519419994</v>
      </c>
      <c r="AA105" s="32">
        <v>3.3661315380631796E-3</v>
      </c>
    </row>
    <row r="106" spans="1:27" ht="12" customHeight="1" x14ac:dyDescent="0.15">
      <c r="A106" s="8" t="s">
        <v>102</v>
      </c>
      <c r="B106" s="9">
        <v>6224</v>
      </c>
      <c r="C106" s="9">
        <v>3484</v>
      </c>
      <c r="D106" s="10">
        <v>100</v>
      </c>
      <c r="E106" s="10">
        <v>33</v>
      </c>
      <c r="F106" s="10">
        <v>28</v>
      </c>
      <c r="G106" s="11">
        <v>3</v>
      </c>
      <c r="H106" s="11">
        <v>1</v>
      </c>
      <c r="I106" s="11">
        <v>0</v>
      </c>
      <c r="J106" s="12">
        <v>0</v>
      </c>
      <c r="K106" s="12">
        <v>0</v>
      </c>
      <c r="L106" s="12">
        <v>0</v>
      </c>
      <c r="M106" s="11">
        <v>0</v>
      </c>
      <c r="N106" s="11">
        <v>0</v>
      </c>
      <c r="O106" s="12">
        <v>0</v>
      </c>
      <c r="P106" s="13">
        <v>0</v>
      </c>
      <c r="Q106" s="13">
        <v>0</v>
      </c>
      <c r="R106" s="14">
        <v>0</v>
      </c>
      <c r="S106" s="31">
        <f t="shared" si="5"/>
        <v>9873</v>
      </c>
      <c r="T106" s="32">
        <f t="shared" si="6"/>
        <v>0.3528815962726628</v>
      </c>
      <c r="U106" s="32">
        <f t="shared" si="7"/>
        <v>0.63040615820925761</v>
      </c>
      <c r="V106" s="32">
        <f t="shared" si="8"/>
        <v>3.3424491036159222E-3</v>
      </c>
      <c r="W106" t="str">
        <f t="shared" si="9"/>
        <v>Trump</v>
      </c>
      <c r="X106">
        <v>9873</v>
      </c>
      <c r="Y106" s="32">
        <v>0.3528815962726628</v>
      </c>
      <c r="Z106" s="32">
        <v>0.63040615820925761</v>
      </c>
      <c r="AA106" s="32">
        <v>3.3424491036159222E-3</v>
      </c>
    </row>
    <row r="107" spans="1:27" ht="13" customHeight="1" x14ac:dyDescent="0.15">
      <c r="A107" s="8" t="s">
        <v>103</v>
      </c>
      <c r="B107" s="9">
        <v>7622</v>
      </c>
      <c r="C107" s="9">
        <v>1200</v>
      </c>
      <c r="D107" s="10">
        <v>44</v>
      </c>
      <c r="E107" s="10">
        <v>6</v>
      </c>
      <c r="F107" s="10">
        <v>16</v>
      </c>
      <c r="G107" s="11">
        <v>5</v>
      </c>
      <c r="H107" s="11">
        <v>0</v>
      </c>
      <c r="I107" s="11">
        <v>0</v>
      </c>
      <c r="J107" s="12">
        <v>0</v>
      </c>
      <c r="K107" s="12">
        <v>0</v>
      </c>
      <c r="L107" s="12">
        <v>0</v>
      </c>
      <c r="M107" s="11">
        <v>0</v>
      </c>
      <c r="N107" s="11">
        <v>0</v>
      </c>
      <c r="O107" s="12">
        <v>0</v>
      </c>
      <c r="P107" s="13">
        <v>0</v>
      </c>
      <c r="Q107" s="13">
        <v>0</v>
      </c>
      <c r="R107" s="14">
        <v>0</v>
      </c>
      <c r="S107" s="31">
        <f t="shared" si="5"/>
        <v>8893</v>
      </c>
      <c r="T107" s="32">
        <f t="shared" si="6"/>
        <v>0.13493759136399416</v>
      </c>
      <c r="U107" s="32">
        <f t="shared" si="7"/>
        <v>0.85707860114696954</v>
      </c>
      <c r="V107" s="32">
        <f t="shared" si="8"/>
        <v>6.7468795681997079E-4</v>
      </c>
      <c r="W107" t="str">
        <f t="shared" si="9"/>
        <v>Trump</v>
      </c>
      <c r="X107">
        <v>8893</v>
      </c>
      <c r="Y107" s="32">
        <v>0.13493759136399416</v>
      </c>
      <c r="Z107" s="32">
        <v>0.85707860114696954</v>
      </c>
      <c r="AA107" s="32">
        <v>6.7468795681997079E-4</v>
      </c>
    </row>
    <row r="108" spans="1:27" ht="12" customHeight="1" x14ac:dyDescent="0.15">
      <c r="A108" s="8" t="s">
        <v>104</v>
      </c>
      <c r="B108" s="9">
        <v>18747</v>
      </c>
      <c r="C108" s="9">
        <v>10501</v>
      </c>
      <c r="D108" s="10">
        <v>291</v>
      </c>
      <c r="E108" s="10">
        <v>95</v>
      </c>
      <c r="F108" s="10">
        <v>115</v>
      </c>
      <c r="G108" s="11">
        <v>12</v>
      </c>
      <c r="H108" s="11">
        <v>4</v>
      </c>
      <c r="I108" s="11">
        <v>1</v>
      </c>
      <c r="J108" s="12">
        <v>3</v>
      </c>
      <c r="K108" s="12">
        <v>0</v>
      </c>
      <c r="L108" s="12">
        <v>0</v>
      </c>
      <c r="M108" s="11">
        <v>0</v>
      </c>
      <c r="N108" s="11">
        <v>0</v>
      </c>
      <c r="O108" s="12">
        <v>0</v>
      </c>
      <c r="P108" s="13">
        <v>0</v>
      </c>
      <c r="Q108" s="13">
        <v>0</v>
      </c>
      <c r="R108" s="14">
        <v>0</v>
      </c>
      <c r="S108" s="31">
        <f t="shared" si="5"/>
        <v>29769</v>
      </c>
      <c r="T108" s="32">
        <f t="shared" si="6"/>
        <v>0.35274950451812287</v>
      </c>
      <c r="U108" s="32">
        <f t="shared" si="7"/>
        <v>0.62974906782223117</v>
      </c>
      <c r="V108" s="32">
        <f t="shared" si="8"/>
        <v>3.1912392085726763E-3</v>
      </c>
      <c r="W108" t="str">
        <f t="shared" si="9"/>
        <v>Trump</v>
      </c>
      <c r="X108">
        <v>29769</v>
      </c>
      <c r="Y108" s="32">
        <v>0.35274950451812287</v>
      </c>
      <c r="Z108" s="32">
        <v>0.62974906782223117</v>
      </c>
      <c r="AA108" s="32">
        <v>3.1912392085726763E-3</v>
      </c>
    </row>
    <row r="109" spans="1:27" ht="12" customHeight="1" x14ac:dyDescent="0.15">
      <c r="A109" s="8" t="s">
        <v>105</v>
      </c>
      <c r="B109" s="9">
        <v>16356</v>
      </c>
      <c r="C109" s="9">
        <v>7822</v>
      </c>
      <c r="D109" s="10">
        <v>247</v>
      </c>
      <c r="E109" s="10">
        <v>81</v>
      </c>
      <c r="F109" s="10">
        <v>88</v>
      </c>
      <c r="G109" s="11">
        <v>13</v>
      </c>
      <c r="H109" s="11">
        <v>8</v>
      </c>
      <c r="I109" s="11">
        <v>4</v>
      </c>
      <c r="J109" s="12">
        <v>1</v>
      </c>
      <c r="K109" s="12">
        <v>0</v>
      </c>
      <c r="L109" s="12">
        <v>0</v>
      </c>
      <c r="M109" s="11">
        <v>0</v>
      </c>
      <c r="N109" s="11">
        <v>0</v>
      </c>
      <c r="O109" s="12">
        <v>0</v>
      </c>
      <c r="P109" s="13">
        <v>0</v>
      </c>
      <c r="Q109" s="13">
        <v>0</v>
      </c>
      <c r="R109" s="14">
        <v>0</v>
      </c>
      <c r="S109" s="31">
        <f t="shared" si="5"/>
        <v>24620</v>
      </c>
      <c r="T109" s="32">
        <f t="shared" si="6"/>
        <v>0.31770917952883837</v>
      </c>
      <c r="U109" s="32">
        <f t="shared" si="7"/>
        <v>0.66433793663688057</v>
      </c>
      <c r="V109" s="32">
        <f t="shared" si="8"/>
        <v>3.2900081234768482E-3</v>
      </c>
      <c r="W109" t="str">
        <f t="shared" si="9"/>
        <v>Trump</v>
      </c>
      <c r="X109">
        <v>24620</v>
      </c>
      <c r="Y109" s="32">
        <v>0.31770917952883837</v>
      </c>
      <c r="Z109" s="32">
        <v>0.66433793663688057</v>
      </c>
      <c r="AA109" s="32">
        <v>3.2900081234768482E-3</v>
      </c>
    </row>
    <row r="110" spans="1:27" ht="12" customHeight="1" x14ac:dyDescent="0.15">
      <c r="A110" s="8" t="s">
        <v>106</v>
      </c>
      <c r="B110" s="9">
        <v>6253</v>
      </c>
      <c r="C110" s="9">
        <v>2403</v>
      </c>
      <c r="D110" s="10">
        <v>72</v>
      </c>
      <c r="E110" s="10">
        <v>19</v>
      </c>
      <c r="F110" s="10">
        <v>26</v>
      </c>
      <c r="G110" s="11">
        <v>3</v>
      </c>
      <c r="H110" s="11">
        <v>0</v>
      </c>
      <c r="I110" s="11">
        <v>0</v>
      </c>
      <c r="J110" s="12">
        <v>0</v>
      </c>
      <c r="K110" s="12">
        <v>0</v>
      </c>
      <c r="L110" s="12">
        <v>0</v>
      </c>
      <c r="M110" s="11">
        <v>0</v>
      </c>
      <c r="N110" s="11">
        <v>0</v>
      </c>
      <c r="O110" s="12">
        <v>0</v>
      </c>
      <c r="P110" s="13">
        <v>0</v>
      </c>
      <c r="Q110" s="13">
        <v>0</v>
      </c>
      <c r="R110" s="14">
        <v>0</v>
      </c>
      <c r="S110" s="31">
        <f t="shared" si="5"/>
        <v>8776</v>
      </c>
      <c r="T110" s="32">
        <f t="shared" si="6"/>
        <v>0.27381494986326343</v>
      </c>
      <c r="U110" s="32">
        <f t="shared" si="7"/>
        <v>0.71251139471285319</v>
      </c>
      <c r="V110" s="32">
        <f t="shared" si="8"/>
        <v>2.1649954421148589E-3</v>
      </c>
      <c r="W110" t="str">
        <f t="shared" si="9"/>
        <v>Trump</v>
      </c>
      <c r="X110">
        <v>8776</v>
      </c>
      <c r="Y110" s="32">
        <v>0.27381494986326343</v>
      </c>
      <c r="Z110" s="32">
        <v>0.71251139471285319</v>
      </c>
      <c r="AA110" s="32">
        <v>2.1649954421148589E-3</v>
      </c>
    </row>
    <row r="111" spans="1:27" ht="13" customHeight="1" x14ac:dyDescent="0.15">
      <c r="A111" s="8" t="s">
        <v>107</v>
      </c>
      <c r="B111" s="9">
        <v>8927</v>
      </c>
      <c r="C111" s="9">
        <v>2415</v>
      </c>
      <c r="D111" s="10">
        <v>81</v>
      </c>
      <c r="E111" s="10">
        <v>20</v>
      </c>
      <c r="F111" s="10">
        <v>32</v>
      </c>
      <c r="G111" s="11">
        <v>4</v>
      </c>
      <c r="H111" s="11">
        <v>1</v>
      </c>
      <c r="I111" s="11">
        <v>0</v>
      </c>
      <c r="J111" s="12">
        <v>0</v>
      </c>
      <c r="K111" s="12">
        <v>0</v>
      </c>
      <c r="L111" s="12">
        <v>0</v>
      </c>
      <c r="M111" s="11">
        <v>0</v>
      </c>
      <c r="N111" s="11">
        <v>0</v>
      </c>
      <c r="O111" s="12">
        <v>0</v>
      </c>
      <c r="P111" s="13">
        <v>0</v>
      </c>
      <c r="Q111" s="13">
        <v>0</v>
      </c>
      <c r="R111" s="14">
        <v>0</v>
      </c>
      <c r="S111" s="31">
        <f t="shared" si="5"/>
        <v>11480</v>
      </c>
      <c r="T111" s="32">
        <f t="shared" si="6"/>
        <v>0.21036585365853658</v>
      </c>
      <c r="U111" s="32">
        <f t="shared" si="7"/>
        <v>0.77761324041811841</v>
      </c>
      <c r="V111" s="32">
        <f t="shared" si="8"/>
        <v>1.7421602787456446E-3</v>
      </c>
      <c r="W111" t="str">
        <f t="shared" si="9"/>
        <v>Trump</v>
      </c>
      <c r="X111">
        <v>11480</v>
      </c>
      <c r="Y111" s="32">
        <v>0.21036585365853658</v>
      </c>
      <c r="Z111" s="32">
        <v>0.77761324041811841</v>
      </c>
      <c r="AA111" s="32">
        <v>1.7421602787456446E-3</v>
      </c>
    </row>
    <row r="112" spans="1:27" ht="12" customHeight="1" x14ac:dyDescent="0.15">
      <c r="A112" s="8" t="s">
        <v>108</v>
      </c>
      <c r="B112" s="9">
        <v>9523</v>
      </c>
      <c r="C112" s="9">
        <v>2576</v>
      </c>
      <c r="D112" s="10">
        <v>113</v>
      </c>
      <c r="E112" s="10">
        <v>22</v>
      </c>
      <c r="F112" s="10">
        <v>17</v>
      </c>
      <c r="G112" s="11">
        <v>5</v>
      </c>
      <c r="H112" s="11">
        <v>0</v>
      </c>
      <c r="I112" s="11">
        <v>0</v>
      </c>
      <c r="J112" s="12">
        <v>5</v>
      </c>
      <c r="K112" s="12">
        <v>0</v>
      </c>
      <c r="L112" s="12">
        <v>0</v>
      </c>
      <c r="M112" s="11">
        <v>0</v>
      </c>
      <c r="N112" s="11">
        <v>0</v>
      </c>
      <c r="O112" s="12">
        <v>0</v>
      </c>
      <c r="P112" s="13">
        <v>0</v>
      </c>
      <c r="Q112" s="13">
        <v>0</v>
      </c>
      <c r="R112" s="14">
        <v>0</v>
      </c>
      <c r="S112" s="31">
        <f t="shared" si="5"/>
        <v>12261</v>
      </c>
      <c r="T112" s="32">
        <f t="shared" si="6"/>
        <v>0.21009705570508116</v>
      </c>
      <c r="U112" s="32">
        <f t="shared" si="7"/>
        <v>0.77669031889731666</v>
      </c>
      <c r="V112" s="32">
        <f t="shared" si="8"/>
        <v>1.7943071527607862E-3</v>
      </c>
      <c r="W112" t="str">
        <f t="shared" si="9"/>
        <v>Trump</v>
      </c>
      <c r="X112">
        <v>12261</v>
      </c>
      <c r="Y112" s="32">
        <v>0.21009705570508116</v>
      </c>
      <c r="Z112" s="32">
        <v>0.77669031889731666</v>
      </c>
      <c r="AA112" s="32">
        <v>1.7943071527607862E-3</v>
      </c>
    </row>
    <row r="113" spans="1:27" ht="12" customHeight="1" x14ac:dyDescent="0.15">
      <c r="A113" s="8" t="s">
        <v>109</v>
      </c>
      <c r="B113" s="9">
        <v>4009</v>
      </c>
      <c r="C113" s="9">
        <v>1051</v>
      </c>
      <c r="D113" s="10">
        <v>24</v>
      </c>
      <c r="E113" s="10">
        <v>11</v>
      </c>
      <c r="F113" s="10">
        <v>17</v>
      </c>
      <c r="G113" s="11">
        <v>0</v>
      </c>
      <c r="H113" s="11">
        <v>0</v>
      </c>
      <c r="I113" s="11">
        <v>0</v>
      </c>
      <c r="J113" s="12">
        <v>0</v>
      </c>
      <c r="K113" s="12">
        <v>0</v>
      </c>
      <c r="L113" s="12">
        <v>0</v>
      </c>
      <c r="M113" s="11">
        <v>0</v>
      </c>
      <c r="N113" s="11">
        <v>0</v>
      </c>
      <c r="O113" s="12">
        <v>0</v>
      </c>
      <c r="P113" s="13">
        <v>0</v>
      </c>
      <c r="Q113" s="13">
        <v>0</v>
      </c>
      <c r="R113" s="14">
        <v>0</v>
      </c>
      <c r="S113" s="31">
        <f t="shared" si="5"/>
        <v>5112</v>
      </c>
      <c r="T113" s="32">
        <f t="shared" si="6"/>
        <v>0.20559467918622848</v>
      </c>
      <c r="U113" s="32">
        <f t="shared" si="7"/>
        <v>0.78423317683881066</v>
      </c>
      <c r="V113" s="32">
        <f t="shared" si="8"/>
        <v>2.1517996870109544E-3</v>
      </c>
      <c r="W113" t="str">
        <f t="shared" si="9"/>
        <v>Trump</v>
      </c>
      <c r="X113">
        <v>5112</v>
      </c>
      <c r="Y113" s="32">
        <v>0.20559467918622848</v>
      </c>
      <c r="Z113" s="32">
        <v>0.78423317683881066</v>
      </c>
      <c r="AA113" s="32">
        <v>2.1517996870109544E-3</v>
      </c>
    </row>
    <row r="114" spans="1:27" ht="13" customHeight="1" x14ac:dyDescent="0.15">
      <c r="A114" s="8" t="s">
        <v>110</v>
      </c>
      <c r="B114" s="9">
        <v>5436</v>
      </c>
      <c r="C114" s="9">
        <v>1667</v>
      </c>
      <c r="D114" s="10">
        <v>62</v>
      </c>
      <c r="E114" s="10">
        <v>11</v>
      </c>
      <c r="F114" s="10">
        <v>16</v>
      </c>
      <c r="G114" s="11">
        <v>4</v>
      </c>
      <c r="H114" s="11">
        <v>0</v>
      </c>
      <c r="I114" s="11">
        <v>0</v>
      </c>
      <c r="J114" s="12">
        <v>0</v>
      </c>
      <c r="K114" s="12">
        <v>0</v>
      </c>
      <c r="L114" s="12">
        <v>0</v>
      </c>
      <c r="M114" s="11">
        <v>0</v>
      </c>
      <c r="N114" s="11">
        <v>0</v>
      </c>
      <c r="O114" s="12">
        <v>0</v>
      </c>
      <c r="P114" s="13">
        <v>0</v>
      </c>
      <c r="Q114" s="13">
        <v>0</v>
      </c>
      <c r="R114" s="14">
        <v>0</v>
      </c>
      <c r="S114" s="31">
        <f t="shared" si="5"/>
        <v>7196</v>
      </c>
      <c r="T114" s="32">
        <f t="shared" si="6"/>
        <v>0.23165647581989995</v>
      </c>
      <c r="U114" s="32">
        <f t="shared" si="7"/>
        <v>0.75541967759866591</v>
      </c>
      <c r="V114" s="32">
        <f t="shared" si="8"/>
        <v>1.528627015008338E-3</v>
      </c>
      <c r="W114" t="str">
        <f t="shared" si="9"/>
        <v>Trump</v>
      </c>
      <c r="X114">
        <v>7196</v>
      </c>
      <c r="Y114" s="32">
        <v>0.23165647581989995</v>
      </c>
      <c r="Z114" s="32">
        <v>0.75541967759866591</v>
      </c>
      <c r="AA114" s="32">
        <v>1.528627015008338E-3</v>
      </c>
    </row>
    <row r="115" spans="1:27" ht="12" customHeight="1" x14ac:dyDescent="0.15">
      <c r="A115" s="8" t="s">
        <v>111</v>
      </c>
      <c r="B115" s="9">
        <v>3283</v>
      </c>
      <c r="C115" s="10">
        <v>923</v>
      </c>
      <c r="D115" s="10">
        <v>28</v>
      </c>
      <c r="E115" s="10">
        <v>9</v>
      </c>
      <c r="F115" s="10">
        <v>6</v>
      </c>
      <c r="G115" s="11">
        <v>0</v>
      </c>
      <c r="H115" s="11">
        <v>0</v>
      </c>
      <c r="I115" s="11">
        <v>0</v>
      </c>
      <c r="J115" s="12">
        <v>0</v>
      </c>
      <c r="K115" s="12">
        <v>0</v>
      </c>
      <c r="L115" s="12">
        <v>0</v>
      </c>
      <c r="M115" s="11">
        <v>0</v>
      </c>
      <c r="N115" s="11">
        <v>0</v>
      </c>
      <c r="O115" s="12">
        <v>0</v>
      </c>
      <c r="P115" s="13">
        <v>0</v>
      </c>
      <c r="Q115" s="13">
        <v>0</v>
      </c>
      <c r="R115" s="14">
        <v>0</v>
      </c>
      <c r="S115" s="31">
        <f t="shared" si="5"/>
        <v>4249</v>
      </c>
      <c r="T115" s="32">
        <f t="shared" si="6"/>
        <v>0.21722758296069664</v>
      </c>
      <c r="U115" s="32">
        <f t="shared" si="7"/>
        <v>0.77265238879736409</v>
      </c>
      <c r="V115" s="32">
        <f t="shared" si="8"/>
        <v>2.118145445987291E-3</v>
      </c>
      <c r="W115" t="str">
        <f t="shared" si="9"/>
        <v>Trump</v>
      </c>
      <c r="X115">
        <v>4249</v>
      </c>
      <c r="Y115" s="32">
        <v>0.21722758296069664</v>
      </c>
      <c r="Z115" s="32">
        <v>0.77265238879736409</v>
      </c>
      <c r="AA115" s="32">
        <v>2.118145445987291E-3</v>
      </c>
    </row>
    <row r="116" spans="1:27" ht="12" customHeight="1" x14ac:dyDescent="0.15">
      <c r="A116" s="8" t="s">
        <v>112</v>
      </c>
      <c r="B116" s="9">
        <v>4758</v>
      </c>
      <c r="C116" s="9">
        <v>1225</v>
      </c>
      <c r="D116" s="10">
        <v>51</v>
      </c>
      <c r="E116" s="10">
        <v>11</v>
      </c>
      <c r="F116" s="10">
        <v>8</v>
      </c>
      <c r="G116" s="11">
        <v>5</v>
      </c>
      <c r="H116" s="11">
        <v>0</v>
      </c>
      <c r="I116" s="11">
        <v>0</v>
      </c>
      <c r="J116" s="12">
        <v>0</v>
      </c>
      <c r="K116" s="12">
        <v>0</v>
      </c>
      <c r="L116" s="12">
        <v>0</v>
      </c>
      <c r="M116" s="11">
        <v>0</v>
      </c>
      <c r="N116" s="11">
        <v>0</v>
      </c>
      <c r="O116" s="12">
        <v>0</v>
      </c>
      <c r="P116" s="13">
        <v>0</v>
      </c>
      <c r="Q116" s="13">
        <v>0</v>
      </c>
      <c r="R116" s="14">
        <v>0</v>
      </c>
      <c r="S116" s="31">
        <f t="shared" si="5"/>
        <v>6058</v>
      </c>
      <c r="T116" s="32">
        <f t="shared" si="6"/>
        <v>0.20221195113898977</v>
      </c>
      <c r="U116" s="32">
        <f t="shared" si="7"/>
        <v>0.78540772532188841</v>
      </c>
      <c r="V116" s="32">
        <f t="shared" si="8"/>
        <v>1.8157807857378673E-3</v>
      </c>
      <c r="W116" t="str">
        <f t="shared" si="9"/>
        <v>Trump</v>
      </c>
      <c r="X116">
        <v>6058</v>
      </c>
      <c r="Y116" s="32">
        <v>0.20221195113898977</v>
      </c>
      <c r="Z116" s="32">
        <v>0.78540772532188841</v>
      </c>
      <c r="AA116" s="32">
        <v>1.8157807857378673E-3</v>
      </c>
    </row>
    <row r="117" spans="1:27" ht="12" customHeight="1" x14ac:dyDescent="0.15">
      <c r="A117" s="8" t="s">
        <v>113</v>
      </c>
      <c r="B117" s="9">
        <v>34862</v>
      </c>
      <c r="C117" s="9">
        <v>21065</v>
      </c>
      <c r="D117" s="10">
        <v>499</v>
      </c>
      <c r="E117" s="10">
        <v>209</v>
      </c>
      <c r="F117" s="10">
        <v>200</v>
      </c>
      <c r="G117" s="11">
        <v>25</v>
      </c>
      <c r="H117" s="11">
        <v>18</v>
      </c>
      <c r="I117" s="11">
        <v>13</v>
      </c>
      <c r="J117" s="12">
        <v>0</v>
      </c>
      <c r="K117" s="12">
        <v>0</v>
      </c>
      <c r="L117" s="12">
        <v>0</v>
      </c>
      <c r="M117" s="11">
        <v>0</v>
      </c>
      <c r="N117" s="11">
        <v>0</v>
      </c>
      <c r="O117" s="12">
        <v>0</v>
      </c>
      <c r="P117" s="13">
        <v>0</v>
      </c>
      <c r="Q117" s="13">
        <v>0</v>
      </c>
      <c r="R117" s="14">
        <v>0</v>
      </c>
      <c r="S117" s="31">
        <f t="shared" si="5"/>
        <v>56891</v>
      </c>
      <c r="T117" s="32">
        <f t="shared" si="6"/>
        <v>0.37026946265665922</v>
      </c>
      <c r="U117" s="32">
        <f t="shared" si="7"/>
        <v>0.61278585364996219</v>
      </c>
      <c r="V117" s="32">
        <f t="shared" si="8"/>
        <v>3.6736917965934858E-3</v>
      </c>
      <c r="W117" t="str">
        <f t="shared" si="9"/>
        <v>Trump</v>
      </c>
      <c r="X117">
        <v>56891</v>
      </c>
      <c r="Y117" s="32">
        <v>0.37026946265665922</v>
      </c>
      <c r="Z117" s="32">
        <v>0.61278585364996219</v>
      </c>
      <c r="AA117" s="32">
        <v>3.6736917965934858E-3</v>
      </c>
    </row>
    <row r="118" spans="1:27" ht="13" customHeight="1" x14ac:dyDescent="0.15">
      <c r="A118" s="8" t="s">
        <v>114</v>
      </c>
      <c r="B118" s="9">
        <v>4720</v>
      </c>
      <c r="C118" s="9">
        <v>1533</v>
      </c>
      <c r="D118" s="10">
        <v>51</v>
      </c>
      <c r="E118" s="10">
        <v>16</v>
      </c>
      <c r="F118" s="10">
        <v>16</v>
      </c>
      <c r="G118" s="11">
        <v>2</v>
      </c>
      <c r="H118" s="11">
        <v>2</v>
      </c>
      <c r="I118" s="11">
        <v>0</v>
      </c>
      <c r="J118" s="12">
        <v>1</v>
      </c>
      <c r="K118" s="12">
        <v>0</v>
      </c>
      <c r="L118" s="12">
        <v>0</v>
      </c>
      <c r="M118" s="11">
        <v>0</v>
      </c>
      <c r="N118" s="11">
        <v>0</v>
      </c>
      <c r="O118" s="12">
        <v>0</v>
      </c>
      <c r="P118" s="13">
        <v>0</v>
      </c>
      <c r="Q118" s="13">
        <v>0</v>
      </c>
      <c r="R118" s="14">
        <v>0</v>
      </c>
      <c r="S118" s="31">
        <f t="shared" si="5"/>
        <v>6341</v>
      </c>
      <c r="T118" s="32">
        <f t="shared" si="6"/>
        <v>0.24175997476738684</v>
      </c>
      <c r="U118" s="32">
        <f t="shared" si="7"/>
        <v>0.74436208799873838</v>
      </c>
      <c r="V118" s="32">
        <f t="shared" si="8"/>
        <v>2.5232613152499604E-3</v>
      </c>
      <c r="W118" t="str">
        <f t="shared" si="9"/>
        <v>Trump</v>
      </c>
      <c r="X118">
        <v>6341</v>
      </c>
      <c r="Y118" s="32">
        <v>0.24175997476738684</v>
      </c>
      <c r="Z118" s="32">
        <v>0.74436208799873838</v>
      </c>
      <c r="AA118" s="32">
        <v>2.5232613152499604E-3</v>
      </c>
    </row>
    <row r="119" spans="1:27" ht="12" customHeight="1" x14ac:dyDescent="0.15">
      <c r="A119" s="8" t="s">
        <v>115</v>
      </c>
      <c r="B119" s="9">
        <v>7203</v>
      </c>
      <c r="C119" s="9">
        <v>1444</v>
      </c>
      <c r="D119" s="10">
        <v>60</v>
      </c>
      <c r="E119" s="10">
        <v>14</v>
      </c>
      <c r="F119" s="10">
        <v>10</v>
      </c>
      <c r="G119" s="11">
        <v>2</v>
      </c>
      <c r="H119" s="11">
        <v>0</v>
      </c>
      <c r="I119" s="11">
        <v>0</v>
      </c>
      <c r="J119" s="12">
        <v>0</v>
      </c>
      <c r="K119" s="12">
        <v>0</v>
      </c>
      <c r="L119" s="12">
        <v>0</v>
      </c>
      <c r="M119" s="11">
        <v>0</v>
      </c>
      <c r="N119" s="11">
        <v>0</v>
      </c>
      <c r="O119" s="12">
        <v>0</v>
      </c>
      <c r="P119" s="13">
        <v>0</v>
      </c>
      <c r="Q119" s="13">
        <v>0</v>
      </c>
      <c r="R119" s="14">
        <v>0</v>
      </c>
      <c r="S119" s="31">
        <f t="shared" si="5"/>
        <v>8733</v>
      </c>
      <c r="T119" s="32">
        <f t="shared" si="6"/>
        <v>0.16534982251230962</v>
      </c>
      <c r="U119" s="32">
        <f t="shared" si="7"/>
        <v>0.82480247337684642</v>
      </c>
      <c r="V119" s="32">
        <f t="shared" si="8"/>
        <v>1.6031146226955226E-3</v>
      </c>
      <c r="W119" t="str">
        <f t="shared" si="9"/>
        <v>Trump</v>
      </c>
      <c r="X119">
        <v>8733</v>
      </c>
      <c r="Y119" s="32">
        <v>0.16534982251230962</v>
      </c>
      <c r="Z119" s="32">
        <v>0.82480247337684642</v>
      </c>
      <c r="AA119" s="32">
        <v>1.6031146226955226E-3</v>
      </c>
    </row>
    <row r="120" spans="1:27" ht="12" customHeight="1" x14ac:dyDescent="0.15">
      <c r="A120" s="8" t="s">
        <v>116</v>
      </c>
      <c r="B120" s="9">
        <v>4339</v>
      </c>
      <c r="C120" s="9">
        <v>1153</v>
      </c>
      <c r="D120" s="10">
        <v>37</v>
      </c>
      <c r="E120" s="10">
        <v>17</v>
      </c>
      <c r="F120" s="10">
        <v>9</v>
      </c>
      <c r="G120" s="11">
        <v>1</v>
      </c>
      <c r="H120" s="11">
        <v>0</v>
      </c>
      <c r="I120" s="11">
        <v>0</v>
      </c>
      <c r="J120" s="12">
        <v>0</v>
      </c>
      <c r="K120" s="12">
        <v>0</v>
      </c>
      <c r="L120" s="12">
        <v>0</v>
      </c>
      <c r="M120" s="11">
        <v>0</v>
      </c>
      <c r="N120" s="11">
        <v>0</v>
      </c>
      <c r="O120" s="12">
        <v>0</v>
      </c>
      <c r="P120" s="13">
        <v>0</v>
      </c>
      <c r="Q120" s="13">
        <v>0</v>
      </c>
      <c r="R120" s="14">
        <v>0</v>
      </c>
      <c r="S120" s="31">
        <f t="shared" si="5"/>
        <v>5556</v>
      </c>
      <c r="T120" s="32">
        <f t="shared" si="6"/>
        <v>0.20752339812814974</v>
      </c>
      <c r="U120" s="32">
        <f t="shared" si="7"/>
        <v>0.78095752339812818</v>
      </c>
      <c r="V120" s="32">
        <f t="shared" si="8"/>
        <v>3.0597552195824333E-3</v>
      </c>
      <c r="W120" t="str">
        <f t="shared" si="9"/>
        <v>Trump</v>
      </c>
      <c r="X120">
        <v>5556</v>
      </c>
      <c r="Y120" s="32">
        <v>0.20752339812814974</v>
      </c>
      <c r="Z120" s="32">
        <v>0.78095752339812818</v>
      </c>
      <c r="AA120" s="32">
        <v>3.0597552195824333E-3</v>
      </c>
    </row>
    <row r="121" spans="1:27" ht="13" customHeight="1" x14ac:dyDescent="0.15">
      <c r="A121" s="8" t="s">
        <v>117</v>
      </c>
      <c r="B121" s="9">
        <v>12687</v>
      </c>
      <c r="C121" s="9">
        <v>2237</v>
      </c>
      <c r="D121" s="10">
        <v>93</v>
      </c>
      <c r="E121" s="10">
        <v>19</v>
      </c>
      <c r="F121" s="10">
        <v>32</v>
      </c>
      <c r="G121" s="11">
        <v>7</v>
      </c>
      <c r="H121" s="11">
        <v>0</v>
      </c>
      <c r="I121" s="11">
        <v>0</v>
      </c>
      <c r="J121" s="12">
        <v>0</v>
      </c>
      <c r="K121" s="12">
        <v>0</v>
      </c>
      <c r="L121" s="12">
        <v>0</v>
      </c>
      <c r="M121" s="11">
        <v>0</v>
      </c>
      <c r="N121" s="11">
        <v>0</v>
      </c>
      <c r="O121" s="12">
        <v>0</v>
      </c>
      <c r="P121" s="13">
        <v>0</v>
      </c>
      <c r="Q121" s="13">
        <v>0</v>
      </c>
      <c r="R121" s="14">
        <v>0</v>
      </c>
      <c r="S121" s="31">
        <f t="shared" si="5"/>
        <v>15075</v>
      </c>
      <c r="T121" s="32">
        <f t="shared" si="6"/>
        <v>0.14839137645107794</v>
      </c>
      <c r="U121" s="32">
        <f t="shared" si="7"/>
        <v>0.84159203980099506</v>
      </c>
      <c r="V121" s="32">
        <f t="shared" si="8"/>
        <v>1.2603648424543946E-3</v>
      </c>
      <c r="W121" t="str">
        <f t="shared" si="9"/>
        <v>Trump</v>
      </c>
      <c r="X121">
        <v>15075</v>
      </c>
      <c r="Y121" s="32">
        <v>0.14839137645107794</v>
      </c>
      <c r="Z121" s="32">
        <v>0.84159203980099506</v>
      </c>
      <c r="AA121" s="32">
        <v>1.2603648424543946E-3</v>
      </c>
    </row>
    <row r="122" spans="1:27" ht="12" customHeight="1" x14ac:dyDescent="0.15">
      <c r="A122" s="8" t="s">
        <v>118</v>
      </c>
      <c r="B122" s="9">
        <v>2163</v>
      </c>
      <c r="C122" s="10">
        <v>689</v>
      </c>
      <c r="D122" s="10">
        <v>30</v>
      </c>
      <c r="E122" s="10">
        <v>15</v>
      </c>
      <c r="F122" s="10">
        <v>12</v>
      </c>
      <c r="G122" s="11">
        <v>6</v>
      </c>
      <c r="H122" s="11">
        <v>0</v>
      </c>
      <c r="I122" s="11">
        <v>0</v>
      </c>
      <c r="J122" s="12">
        <v>0</v>
      </c>
      <c r="K122" s="12">
        <v>0</v>
      </c>
      <c r="L122" s="12">
        <v>0</v>
      </c>
      <c r="M122" s="11">
        <v>0</v>
      </c>
      <c r="N122" s="11">
        <v>0</v>
      </c>
      <c r="O122" s="12">
        <v>0</v>
      </c>
      <c r="P122" s="13">
        <v>0</v>
      </c>
      <c r="Q122" s="13">
        <v>0</v>
      </c>
      <c r="R122" s="14">
        <v>0</v>
      </c>
      <c r="S122" s="31">
        <f t="shared" si="5"/>
        <v>2915</v>
      </c>
      <c r="T122" s="32">
        <f t="shared" si="6"/>
        <v>0.23636363636363636</v>
      </c>
      <c r="U122" s="32">
        <f t="shared" si="7"/>
        <v>0.7420240137221269</v>
      </c>
      <c r="V122" s="32">
        <f t="shared" si="8"/>
        <v>5.1457975986277877E-3</v>
      </c>
      <c r="W122" t="str">
        <f t="shared" si="9"/>
        <v>Trump</v>
      </c>
      <c r="X122">
        <v>2915</v>
      </c>
      <c r="Y122" s="32">
        <v>0.23636363636363636</v>
      </c>
      <c r="Z122" s="32">
        <v>0.7420240137221269</v>
      </c>
      <c r="AA122" s="32">
        <v>5.1457975986277877E-3</v>
      </c>
    </row>
    <row r="123" spans="1:27" ht="14" customHeight="1" x14ac:dyDescent="0.15">
      <c r="A123" s="16" t="s">
        <v>119</v>
      </c>
      <c r="B123" s="17">
        <v>8419</v>
      </c>
      <c r="C123" s="17">
        <v>6282</v>
      </c>
      <c r="D123" s="18">
        <v>144</v>
      </c>
      <c r="E123" s="18">
        <v>60</v>
      </c>
      <c r="F123" s="18">
        <v>69</v>
      </c>
      <c r="G123" s="19">
        <v>10</v>
      </c>
      <c r="H123" s="19">
        <v>7</v>
      </c>
      <c r="I123" s="19">
        <v>1</v>
      </c>
      <c r="J123" s="20">
        <v>1</v>
      </c>
      <c r="K123" s="20">
        <v>0</v>
      </c>
      <c r="L123" s="20">
        <v>0</v>
      </c>
      <c r="M123" s="19">
        <v>0</v>
      </c>
      <c r="N123" s="19">
        <v>0</v>
      </c>
      <c r="O123" s="20">
        <v>0</v>
      </c>
      <c r="P123" s="21">
        <v>0</v>
      </c>
      <c r="Q123" s="21">
        <v>0</v>
      </c>
      <c r="R123" s="22">
        <v>0</v>
      </c>
      <c r="S123" s="31">
        <f t="shared" si="5"/>
        <v>14993</v>
      </c>
      <c r="T123" s="32">
        <f t="shared" si="6"/>
        <v>0.41899553124791572</v>
      </c>
      <c r="U123" s="32">
        <f t="shared" si="7"/>
        <v>0.56152871339958643</v>
      </c>
      <c r="V123" s="32">
        <f t="shared" si="8"/>
        <v>4.0018675381844858E-3</v>
      </c>
      <c r="W123" t="str">
        <f t="shared" si="9"/>
        <v>Trump</v>
      </c>
      <c r="X123">
        <v>14993</v>
      </c>
      <c r="Y123" s="32">
        <v>0.41899553124791572</v>
      </c>
      <c r="Z123" s="32">
        <v>0.56152871339958643</v>
      </c>
      <c r="AA123" s="32">
        <v>4.0018675381844858E-3</v>
      </c>
    </row>
    <row r="124" spans="1:27" ht="12.5" customHeight="1" x14ac:dyDescent="0.15">
      <c r="A124" s="23" t="s">
        <v>120</v>
      </c>
      <c r="B124" s="24">
        <v>1337494</v>
      </c>
      <c r="C124" s="24">
        <v>704043</v>
      </c>
      <c r="D124" s="24">
        <v>16769</v>
      </c>
      <c r="E124" s="24">
        <v>7566</v>
      </c>
      <c r="F124" s="24">
        <v>6422</v>
      </c>
      <c r="G124" s="25">
        <v>1015</v>
      </c>
      <c r="H124" s="26">
        <v>611</v>
      </c>
      <c r="I124" s="26">
        <v>391</v>
      </c>
      <c r="J124" s="27">
        <v>177</v>
      </c>
      <c r="K124" s="27">
        <v>14</v>
      </c>
      <c r="L124" s="27">
        <v>10</v>
      </c>
      <c r="M124" s="26">
        <v>8</v>
      </c>
      <c r="N124" s="26">
        <v>5</v>
      </c>
      <c r="O124" s="27">
        <v>4</v>
      </c>
      <c r="P124" s="28">
        <v>1</v>
      </c>
      <c r="Q124" s="28">
        <v>0</v>
      </c>
      <c r="R124" s="29">
        <v>0</v>
      </c>
      <c r="S124" s="31">
        <f t="shared" si="5"/>
        <v>2074530</v>
      </c>
      <c r="T124" s="32">
        <f t="shared" si="6"/>
        <v>0.33937470173967116</v>
      </c>
      <c r="U124" s="32">
        <f t="shared" si="7"/>
        <v>0.6447214549801642</v>
      </c>
      <c r="V124" s="32">
        <f t="shared" si="8"/>
        <v>3.6470911483564954E-3</v>
      </c>
      <c r="W124" t="str">
        <f t="shared" si="9"/>
        <v>Trump</v>
      </c>
      <c r="X124">
        <v>2074530</v>
      </c>
      <c r="Y124" s="32">
        <v>0.33937470173967116</v>
      </c>
      <c r="Z124" s="32">
        <v>0.6447214549801642</v>
      </c>
      <c r="AA124" s="32">
        <v>3.6470911483564954E-3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F93D-3A7B-5842-952F-734539A2C35F}">
  <dimension ref="A1:A6"/>
  <sheetViews>
    <sheetView workbookViewId="0">
      <selection activeCell="C18" sqref="C18"/>
    </sheetView>
  </sheetViews>
  <sheetFormatPr baseColWidth="10" defaultRowHeight="13" x14ac:dyDescent="0.15"/>
  <sheetData>
    <row r="1" spans="1:1" x14ac:dyDescent="0.15">
      <c r="A1" s="30" t="s">
        <v>155</v>
      </c>
    </row>
    <row r="2" spans="1:1" x14ac:dyDescent="0.15">
      <c r="A2" s="30" t="s">
        <v>161</v>
      </c>
    </row>
    <row r="3" spans="1:1" x14ac:dyDescent="0.15">
      <c r="A3" s="30" t="s">
        <v>162</v>
      </c>
    </row>
    <row r="4" spans="1:1" x14ac:dyDescent="0.15">
      <c r="A4" s="30" t="s">
        <v>163</v>
      </c>
    </row>
    <row r="5" spans="1:1" x14ac:dyDescent="0.15">
      <c r="A5" s="30" t="s">
        <v>164</v>
      </c>
    </row>
    <row r="6" spans="1:1" x14ac:dyDescent="0.15">
      <c r="A6" s="30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A Thomas</cp:lastModifiedBy>
  <dcterms:created xsi:type="dcterms:W3CDTF">2025-01-29T17:18:19Z</dcterms:created>
  <dcterms:modified xsi:type="dcterms:W3CDTF">2025-02-07T01:43:16Z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2024-12-05T00:00:00Z</vt:filetime>
  </property>
  <property fmtid="{D5CDD505-2E9C-101B-9397-08002B2CF9AE}" pid="3" name="LastSaved">
    <vt:filetime>2025-01-29T00:00:00Z</vt:filetime>
  </property>
  <property fmtid="{D5CDD505-2E9C-101B-9397-08002B2CF9AE}" pid="4" name="Producer">
    <vt:lpwstr>macOS Version 15.2 (Build 24C101) Quartz PDFContext</vt:lpwstr>
  </property>
</Properties>
</file>