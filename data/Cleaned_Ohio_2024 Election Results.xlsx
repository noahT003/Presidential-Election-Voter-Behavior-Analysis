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8277A800-2651-A247-BE1A-7686D344BEE7}" xr6:coauthVersionLast="47" xr6:coauthVersionMax="47" xr10:uidLastSave="{00000000-0000-0000-0000-000000000000}"/>
  <bookViews>
    <workbookView xWindow="1620" yWindow="10680" windowWidth="27640" windowHeight="16340" xr2:uid="{62D1B512-B22E-C146-8512-AED0C58A7C57}"/>
  </bookViews>
  <sheets>
    <sheet name="President and Vice President" sheetId="1" r:id="rId1"/>
    <sheet name="Cleaning Lo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5" i="1"/>
</calcChain>
</file>

<file path=xl/sharedStrings.xml><?xml version="1.0" encoding="utf-8"?>
<sst xmlns="http://schemas.openxmlformats.org/spreadsheetml/2006/main" count="131" uniqueCount="115">
  <si>
    <t>County Name</t>
  </si>
  <si>
    <t>Shiva  Ayyadurai and Crystal Ellis (WI)*</t>
  </si>
  <si>
    <t>Jay Bowman and De D Bowman (WI)*</t>
  </si>
  <si>
    <t>John Cheng and Wayne Waligorski (WI)*</t>
  </si>
  <si>
    <t>Claudia De la Cruz and Karina Garcia (WI)*</t>
  </si>
  <si>
    <t>Richard Duncan and Mitchell Preston Bupp</t>
  </si>
  <si>
    <t>Cherunda Fox and Harlan McVay (WI)*</t>
  </si>
  <si>
    <t>Chris Garrity and Cody Ballard (WI)*</t>
  </si>
  <si>
    <t>Kamala D. Harris and Tim Walz (D)</t>
  </si>
  <si>
    <t>Brian Kienitz and Christina Johnston (WI)*</t>
  </si>
  <si>
    <t>William Nalbach and Willis Butts (WI)*</t>
  </si>
  <si>
    <t>Chase Oliver and Mike  ter Maat (L)</t>
  </si>
  <si>
    <t>Peter  Sonski and Lauren  Onak</t>
  </si>
  <si>
    <t>Donald J. Trump and JD Vance (R)</t>
  </si>
  <si>
    <t>Cornel West and Melina Abdullah (WI)*</t>
  </si>
  <si>
    <t>Total</t>
  </si>
  <si>
    <t>Percentage</t>
  </si>
  <si>
    <t>Adams</t>
  </si>
  <si>
    <t>Allen</t>
  </si>
  <si>
    <t>Ashland</t>
  </si>
  <si>
    <t>Ashtabula</t>
  </si>
  <si>
    <t>Athens</t>
  </si>
  <si>
    <t>Auglaize</t>
  </si>
  <si>
    <t>Belmont</t>
  </si>
  <si>
    <t>Brown</t>
  </si>
  <si>
    <t>Butler</t>
  </si>
  <si>
    <t>Carroll</t>
  </si>
  <si>
    <t>Champaign</t>
  </si>
  <si>
    <t>Clark</t>
  </si>
  <si>
    <t>Clermont</t>
  </si>
  <si>
    <t>Clinton</t>
  </si>
  <si>
    <t>Columbiana</t>
  </si>
  <si>
    <t>Coshocton</t>
  </si>
  <si>
    <t>Crawford</t>
  </si>
  <si>
    <t>Cuyahoga</t>
  </si>
  <si>
    <t>Darke</t>
  </si>
  <si>
    <t>Defiance</t>
  </si>
  <si>
    <t>Delaware</t>
  </si>
  <si>
    <t>Erie</t>
  </si>
  <si>
    <t>Fairfield</t>
  </si>
  <si>
    <t>Fayette</t>
  </si>
  <si>
    <t>Franklin</t>
  </si>
  <si>
    <t>Fulton</t>
  </si>
  <si>
    <t>Gallia</t>
  </si>
  <si>
    <t>Geauga</t>
  </si>
  <si>
    <t>Greene</t>
  </si>
  <si>
    <t>Guernsey</t>
  </si>
  <si>
    <t>Hamilton</t>
  </si>
  <si>
    <t>Hancock</t>
  </si>
  <si>
    <t>Hardin</t>
  </si>
  <si>
    <t>Harrison</t>
  </si>
  <si>
    <t>Henry</t>
  </si>
  <si>
    <t>Highland</t>
  </si>
  <si>
    <t>Hocking</t>
  </si>
  <si>
    <t>Holmes</t>
  </si>
  <si>
    <t>Huron</t>
  </si>
  <si>
    <t>Jackson</t>
  </si>
  <si>
    <t>Jefferson</t>
  </si>
  <si>
    <t>Knox</t>
  </si>
  <si>
    <t>Lake</t>
  </si>
  <si>
    <t>Lawrence</t>
  </si>
  <si>
    <t>Licking</t>
  </si>
  <si>
    <t>Logan</t>
  </si>
  <si>
    <t>Lorain</t>
  </si>
  <si>
    <t>Lucas</t>
  </si>
  <si>
    <t>Madison</t>
  </si>
  <si>
    <t>Mahoning</t>
  </si>
  <si>
    <t>Marion</t>
  </si>
  <si>
    <t>Medina</t>
  </si>
  <si>
    <t>Meigs</t>
  </si>
  <si>
    <t>Mercer</t>
  </si>
  <si>
    <t>Miami</t>
  </si>
  <si>
    <t>Monroe</t>
  </si>
  <si>
    <t>Montgomery</t>
  </si>
  <si>
    <t>Morgan</t>
  </si>
  <si>
    <t>Morrow</t>
  </si>
  <si>
    <t>Muskingum</t>
  </si>
  <si>
    <t>Noble</t>
  </si>
  <si>
    <t>Ottawa</t>
  </si>
  <si>
    <t>Paulding</t>
  </si>
  <si>
    <t>Perry</t>
  </si>
  <si>
    <t>Pickaway</t>
  </si>
  <si>
    <t>Pike</t>
  </si>
  <si>
    <t>Portage</t>
  </si>
  <si>
    <t>Preble</t>
  </si>
  <si>
    <t>Putnam</t>
  </si>
  <si>
    <t>Richland</t>
  </si>
  <si>
    <t>Ross</t>
  </si>
  <si>
    <t>Sandusky</t>
  </si>
  <si>
    <t>Scioto</t>
  </si>
  <si>
    <t>Seneca</t>
  </si>
  <si>
    <t>Shelby</t>
  </si>
  <si>
    <t>Stark</t>
  </si>
  <si>
    <t>Summit</t>
  </si>
  <si>
    <t>Trumbull</t>
  </si>
  <si>
    <t>Tuscarawas</t>
  </si>
  <si>
    <t>Union</t>
  </si>
  <si>
    <t>Van Wert</t>
  </si>
  <si>
    <t>Vinton</t>
  </si>
  <si>
    <t>Warren</t>
  </si>
  <si>
    <t>Washington</t>
  </si>
  <si>
    <t>Wayne</t>
  </si>
  <si>
    <t>Williams</t>
  </si>
  <si>
    <t>Wood</t>
  </si>
  <si>
    <t>Wyandot</t>
  </si>
  <si>
    <t>1. Deleted irrelevant rows (1)</t>
  </si>
  <si>
    <t>2. Deleted irrelevant columns (B - F)</t>
  </si>
  <si>
    <t>X</t>
  </si>
  <si>
    <t>County Totals</t>
  </si>
  <si>
    <t>3. Moved Trump and Harris to the front where the deleted columns were</t>
  </si>
  <si>
    <t>4. use sum formula to calculate county totals</t>
  </si>
  <si>
    <t>5. hid irrelevant columns (G - T)</t>
  </si>
  <si>
    <t>Harris / Walz Percent</t>
  </si>
  <si>
    <t>Trump / Vance Percent</t>
  </si>
  <si>
    <t>6. Calculated percents using formulas (left is the formula calculations, right is the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</si>
</sst>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00"/>
    <numFmt numFmtId="171" formatCode="0.0000"/>
  </numFmts>
  <fonts count="7" x14ac:knownFonts="1">
    <font>
      <sz val="11"/>
      <name val="Calibri"/>
      <family val="2"/>
    </font>
    <font>
      <b/>
      <sz val="10"/>
      <color theme="1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518E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center"/>
    </xf>
    <xf numFmtId="10" fontId="5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6" fontId="6" fillId="0" borderId="1" xfId="0" applyNumberFormat="1" applyFont="1" applyBorder="1" applyAlignment="1">
      <alignment horizontal="center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4DF1-ABFB-5C48-92A6-0F44239018A3}">
  <dimension ref="A1:W92"/>
  <sheetViews>
    <sheetView tabSelected="1" workbookViewId="0">
      <pane xSplit="6" topLeftCell="U1" activePane="topRight" state="frozenSplit"/>
      <selection pane="topRight" activeCell="Y11" sqref="Y11"/>
    </sheetView>
  </sheetViews>
  <sheetFormatPr baseColWidth="10" defaultColWidth="8.83203125" defaultRowHeight="15" x14ac:dyDescent="0.2"/>
  <cols>
    <col min="1" max="1" width="13.1640625" bestFit="1" customWidth="1"/>
    <col min="2" max="2" width="13.1640625" customWidth="1"/>
    <col min="3" max="3" width="14.33203125" bestFit="1" customWidth="1"/>
    <col min="4" max="4" width="9.6640625" customWidth="1"/>
    <col min="5" max="5" width="18" customWidth="1"/>
    <col min="6" max="6" width="28.83203125" bestFit="1" customWidth="1"/>
    <col min="7" max="20" width="47" hidden="1" customWidth="1"/>
  </cols>
  <sheetData>
    <row r="1" spans="1:23" ht="150" customHeight="1" thickBot="1" x14ac:dyDescent="0.25">
      <c r="A1" s="12"/>
      <c r="C1" s="13"/>
      <c r="E1" s="13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3" ht="17" thickTop="1" thickBot="1" x14ac:dyDescent="0.25">
      <c r="A2" s="3" t="s">
        <v>0</v>
      </c>
      <c r="B2" s="5" t="s">
        <v>8</v>
      </c>
      <c r="C2" s="5" t="s">
        <v>13</v>
      </c>
      <c r="D2" s="4" t="s">
        <v>108</v>
      </c>
      <c r="E2" s="4" t="s">
        <v>112</v>
      </c>
      <c r="F2" s="4" t="s">
        <v>113</v>
      </c>
      <c r="G2" s="5" t="s">
        <v>1</v>
      </c>
      <c r="H2" s="5" t="s">
        <v>2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5" t="s">
        <v>8</v>
      </c>
      <c r="O2" s="5" t="s">
        <v>9</v>
      </c>
      <c r="P2" s="5" t="s">
        <v>10</v>
      </c>
      <c r="Q2" s="5" t="s">
        <v>11</v>
      </c>
      <c r="R2" s="5" t="s">
        <v>12</v>
      </c>
      <c r="S2" s="5" t="s">
        <v>13</v>
      </c>
      <c r="T2" s="5" t="s">
        <v>14</v>
      </c>
      <c r="U2" t="s">
        <v>108</v>
      </c>
      <c r="V2" t="s">
        <v>112</v>
      </c>
      <c r="W2" t="s">
        <v>113</v>
      </c>
    </row>
    <row r="3" spans="1:23" ht="16" thickTop="1" x14ac:dyDescent="0.2">
      <c r="A3" s="6" t="s">
        <v>15</v>
      </c>
      <c r="B3" s="7">
        <v>2533699</v>
      </c>
      <c r="C3" s="7">
        <v>3180116</v>
      </c>
      <c r="D3" s="7" t="s">
        <v>107</v>
      </c>
      <c r="E3" s="7" t="s">
        <v>107</v>
      </c>
      <c r="F3" s="8" t="s">
        <v>107</v>
      </c>
      <c r="G3" s="7">
        <v>74</v>
      </c>
      <c r="H3" s="7">
        <v>7</v>
      </c>
      <c r="I3" s="7">
        <v>24</v>
      </c>
      <c r="J3" s="7">
        <v>1794</v>
      </c>
      <c r="K3" s="7">
        <v>12805</v>
      </c>
      <c r="L3" s="7">
        <v>0</v>
      </c>
      <c r="M3" s="7">
        <v>13</v>
      </c>
      <c r="N3" s="7">
        <v>2533699</v>
      </c>
      <c r="O3" s="7">
        <v>4</v>
      </c>
      <c r="P3" s="7">
        <v>3</v>
      </c>
      <c r="Q3" s="7">
        <v>28200</v>
      </c>
      <c r="R3" s="7">
        <v>10197</v>
      </c>
      <c r="S3" s="7">
        <v>3180116</v>
      </c>
      <c r="T3" s="7">
        <v>852</v>
      </c>
      <c r="U3" t="s">
        <v>107</v>
      </c>
      <c r="V3" t="s">
        <v>107</v>
      </c>
      <c r="W3" t="s">
        <v>107</v>
      </c>
    </row>
    <row r="4" spans="1:23" x14ac:dyDescent="0.2">
      <c r="A4" s="6" t="s">
        <v>16</v>
      </c>
      <c r="B4" s="8">
        <v>0.43928434956347218</v>
      </c>
      <c r="C4" s="8">
        <v>0.55135799027287413</v>
      </c>
      <c r="D4" s="9" t="s">
        <v>107</v>
      </c>
      <c r="E4" s="9" t="s">
        <v>107</v>
      </c>
      <c r="F4" s="9" t="s">
        <v>107</v>
      </c>
      <c r="G4" s="8">
        <v>1.2829875161847141E-5</v>
      </c>
      <c r="H4" s="8">
        <v>1.2136368396341891E-6</v>
      </c>
      <c r="I4" s="8">
        <v>4.1610405930315052E-6</v>
      </c>
      <c r="J4" s="8">
        <v>3.1103778432910504E-4</v>
      </c>
      <c r="K4" s="8">
        <v>2.2200885330736844E-3</v>
      </c>
      <c r="L4" s="8">
        <v>0</v>
      </c>
      <c r="M4" s="8">
        <v>2.2538969878920654E-6</v>
      </c>
      <c r="N4" s="8">
        <v>0.43928434956347218</v>
      </c>
      <c r="O4" s="8">
        <v>6.935067655052509E-7</v>
      </c>
      <c r="P4" s="8">
        <v>5.2013007412893815E-7</v>
      </c>
      <c r="Q4" s="8">
        <v>4.889222696812019E-3</v>
      </c>
      <c r="R4" s="8">
        <v>1.7679221219642609E-3</v>
      </c>
      <c r="S4" s="8">
        <v>0.55135799027287413</v>
      </c>
      <c r="T4" s="8">
        <v>1.4771694105261845E-4</v>
      </c>
      <c r="U4" t="s">
        <v>107</v>
      </c>
      <c r="V4" t="s">
        <v>107</v>
      </c>
      <c r="W4" t="s">
        <v>107</v>
      </c>
    </row>
    <row r="5" spans="1:23" x14ac:dyDescent="0.2">
      <c r="A5" s="10" t="s">
        <v>17</v>
      </c>
      <c r="B5" s="11">
        <v>2098</v>
      </c>
      <c r="C5" s="11">
        <v>10269</v>
      </c>
      <c r="D5" s="11">
        <f>G5+H5+I5+J5+K5+L5+M5+N5+O5+P5+Q5+R5+S5+T5</f>
        <v>12429</v>
      </c>
      <c r="E5" s="14">
        <f>B5/$D5</f>
        <v>0.16879877705366481</v>
      </c>
      <c r="F5" s="15">
        <f>C5/$D5</f>
        <v>0.82621288921071689</v>
      </c>
      <c r="G5" s="11">
        <v>0</v>
      </c>
      <c r="H5" s="11">
        <v>0</v>
      </c>
      <c r="I5" s="11">
        <v>0</v>
      </c>
      <c r="J5" s="11">
        <v>0</v>
      </c>
      <c r="K5" s="11">
        <v>21</v>
      </c>
      <c r="L5" s="11">
        <v>0</v>
      </c>
      <c r="M5" s="11">
        <v>0</v>
      </c>
      <c r="N5" s="11">
        <v>2098</v>
      </c>
      <c r="O5" s="11">
        <v>0</v>
      </c>
      <c r="P5" s="11">
        <v>0</v>
      </c>
      <c r="Q5" s="11">
        <v>27</v>
      </c>
      <c r="R5" s="11">
        <v>14</v>
      </c>
      <c r="S5" s="11">
        <v>10269</v>
      </c>
      <c r="T5" s="11">
        <v>0</v>
      </c>
      <c r="U5">
        <v>12429</v>
      </c>
      <c r="V5" s="15">
        <v>0.16879877705366481</v>
      </c>
      <c r="W5" s="15">
        <v>0.82621288921071689</v>
      </c>
    </row>
    <row r="6" spans="1:23" x14ac:dyDescent="0.2">
      <c r="A6" s="10" t="s">
        <v>18</v>
      </c>
      <c r="B6" s="11">
        <v>12754</v>
      </c>
      <c r="C6" s="11">
        <v>33201</v>
      </c>
      <c r="D6" s="11">
        <f t="shared" ref="D6:D69" si="0">G6+H6+I6+J6+K6+L6+M6+N6+O6+P6+Q6+R6+S6+T6</f>
        <v>46369</v>
      </c>
      <c r="E6" s="14">
        <f t="shared" ref="E6:E69" si="1">B6/$D6</f>
        <v>0.27505445448467725</v>
      </c>
      <c r="F6" s="15">
        <f t="shared" ref="F6:F69" si="2">C6/$D6</f>
        <v>0.71601716664150616</v>
      </c>
      <c r="G6" s="11">
        <v>0</v>
      </c>
      <c r="H6" s="11">
        <v>0</v>
      </c>
      <c r="I6" s="11">
        <v>0</v>
      </c>
      <c r="J6" s="11">
        <v>6</v>
      </c>
      <c r="K6" s="11">
        <v>116</v>
      </c>
      <c r="L6" s="11">
        <v>0</v>
      </c>
      <c r="M6" s="11">
        <v>0</v>
      </c>
      <c r="N6" s="11">
        <v>12754</v>
      </c>
      <c r="O6" s="11">
        <v>0</v>
      </c>
      <c r="P6" s="11">
        <v>0</v>
      </c>
      <c r="Q6" s="11">
        <v>211</v>
      </c>
      <c r="R6" s="11">
        <v>79</v>
      </c>
      <c r="S6" s="11">
        <v>33201</v>
      </c>
      <c r="T6" s="11">
        <v>2</v>
      </c>
      <c r="U6">
        <v>46369</v>
      </c>
      <c r="V6" s="15">
        <v>0.27505445448467725</v>
      </c>
      <c r="W6" s="15">
        <v>0.71601716664150616</v>
      </c>
    </row>
    <row r="7" spans="1:23" x14ac:dyDescent="0.2">
      <c r="A7" s="10" t="s">
        <v>19</v>
      </c>
      <c r="B7" s="11">
        <v>6544</v>
      </c>
      <c r="C7" s="11">
        <v>19863</v>
      </c>
      <c r="D7" s="11">
        <f t="shared" si="0"/>
        <v>26663</v>
      </c>
      <c r="E7" s="14">
        <f t="shared" si="1"/>
        <v>0.24543374714023178</v>
      </c>
      <c r="F7" s="15">
        <f t="shared" si="2"/>
        <v>0.74496493267824326</v>
      </c>
      <c r="G7" s="11">
        <v>0</v>
      </c>
      <c r="H7" s="11">
        <v>0</v>
      </c>
      <c r="I7" s="11">
        <v>0</v>
      </c>
      <c r="J7" s="11">
        <v>0</v>
      </c>
      <c r="K7" s="11">
        <v>65</v>
      </c>
      <c r="L7" s="11">
        <v>0</v>
      </c>
      <c r="M7" s="11">
        <v>0</v>
      </c>
      <c r="N7" s="11">
        <v>6544</v>
      </c>
      <c r="O7" s="11">
        <v>0</v>
      </c>
      <c r="P7" s="11">
        <v>0</v>
      </c>
      <c r="Q7" s="11">
        <v>135</v>
      </c>
      <c r="R7" s="11">
        <v>55</v>
      </c>
      <c r="S7" s="11">
        <v>19863</v>
      </c>
      <c r="T7" s="11">
        <v>1</v>
      </c>
      <c r="U7">
        <v>26663</v>
      </c>
      <c r="V7" s="15">
        <v>0.24543374714023178</v>
      </c>
      <c r="W7" s="15">
        <v>0.74496493267824326</v>
      </c>
    </row>
    <row r="8" spans="1:23" x14ac:dyDescent="0.2">
      <c r="A8" s="10" t="s">
        <v>20</v>
      </c>
      <c r="B8" s="11">
        <v>15345</v>
      </c>
      <c r="C8" s="11">
        <v>27656</v>
      </c>
      <c r="D8" s="11">
        <f t="shared" si="0"/>
        <v>43374</v>
      </c>
      <c r="E8" s="14">
        <f t="shared" si="1"/>
        <v>0.35378337252732051</v>
      </c>
      <c r="F8" s="15">
        <f t="shared" si="2"/>
        <v>0.63761700557937939</v>
      </c>
      <c r="G8" s="11">
        <v>0</v>
      </c>
      <c r="H8" s="11">
        <v>0</v>
      </c>
      <c r="I8" s="11">
        <v>0</v>
      </c>
      <c r="J8" s="11">
        <v>4</v>
      </c>
      <c r="K8" s="11">
        <v>129</v>
      </c>
      <c r="L8" s="11">
        <v>0</v>
      </c>
      <c r="M8" s="11">
        <v>0</v>
      </c>
      <c r="N8" s="11">
        <v>15345</v>
      </c>
      <c r="O8" s="11">
        <v>0</v>
      </c>
      <c r="P8" s="11">
        <v>0</v>
      </c>
      <c r="Q8" s="11">
        <v>188</v>
      </c>
      <c r="R8" s="11">
        <v>50</v>
      </c>
      <c r="S8" s="11">
        <v>27656</v>
      </c>
      <c r="T8" s="11">
        <v>2</v>
      </c>
      <c r="U8">
        <v>43374</v>
      </c>
      <c r="V8" s="15">
        <v>0.35378337252732051</v>
      </c>
      <c r="W8" s="15">
        <v>0.63761700557937939</v>
      </c>
    </row>
    <row r="9" spans="1:23" x14ac:dyDescent="0.2">
      <c r="A9" s="10" t="s">
        <v>21</v>
      </c>
      <c r="B9" s="11">
        <v>14134</v>
      </c>
      <c r="C9" s="11">
        <v>11369</v>
      </c>
      <c r="D9" s="11">
        <f t="shared" si="0"/>
        <v>25776</v>
      </c>
      <c r="E9" s="14">
        <f t="shared" si="1"/>
        <v>0.54833954065797641</v>
      </c>
      <c r="F9" s="15">
        <f t="shared" si="2"/>
        <v>0.44106921166977031</v>
      </c>
      <c r="G9" s="11">
        <v>0</v>
      </c>
      <c r="H9" s="11">
        <v>0</v>
      </c>
      <c r="I9" s="11">
        <v>0</v>
      </c>
      <c r="J9" s="11">
        <v>42</v>
      </c>
      <c r="K9" s="11">
        <v>72</v>
      </c>
      <c r="L9" s="11">
        <v>0</v>
      </c>
      <c r="M9" s="11">
        <v>2</v>
      </c>
      <c r="N9" s="11">
        <v>14134</v>
      </c>
      <c r="O9" s="11">
        <v>0</v>
      </c>
      <c r="P9" s="11">
        <v>0</v>
      </c>
      <c r="Q9" s="11">
        <v>120</v>
      </c>
      <c r="R9" s="11">
        <v>31</v>
      </c>
      <c r="S9" s="11">
        <v>11369</v>
      </c>
      <c r="T9" s="11">
        <v>6</v>
      </c>
      <c r="U9">
        <v>25776</v>
      </c>
      <c r="V9" s="15">
        <v>0.54833954065797641</v>
      </c>
      <c r="W9" s="15">
        <v>0.44106921166977031</v>
      </c>
    </row>
    <row r="10" spans="1:23" x14ac:dyDescent="0.2">
      <c r="A10" s="10" t="s">
        <v>22</v>
      </c>
      <c r="B10" s="11">
        <v>4442</v>
      </c>
      <c r="C10" s="11">
        <v>20988</v>
      </c>
      <c r="D10" s="11">
        <f t="shared" si="0"/>
        <v>25629</v>
      </c>
      <c r="E10" s="14">
        <f t="shared" si="1"/>
        <v>0.17331928674548364</v>
      </c>
      <c r="F10" s="15">
        <f t="shared" si="2"/>
        <v>0.81891607163759805</v>
      </c>
      <c r="G10" s="11">
        <v>0</v>
      </c>
      <c r="H10" s="11">
        <v>0</v>
      </c>
      <c r="I10" s="11">
        <v>0</v>
      </c>
      <c r="J10" s="11">
        <v>2</v>
      </c>
      <c r="K10" s="11">
        <v>59</v>
      </c>
      <c r="L10" s="11">
        <v>0</v>
      </c>
      <c r="M10" s="11">
        <v>2</v>
      </c>
      <c r="N10" s="11">
        <v>4442</v>
      </c>
      <c r="O10" s="11">
        <v>0</v>
      </c>
      <c r="P10" s="11">
        <v>0</v>
      </c>
      <c r="Q10" s="11">
        <v>96</v>
      </c>
      <c r="R10" s="11">
        <v>38</v>
      </c>
      <c r="S10" s="11">
        <v>20988</v>
      </c>
      <c r="T10" s="11">
        <v>2</v>
      </c>
      <c r="U10">
        <v>25629</v>
      </c>
      <c r="V10" s="15">
        <v>0.17331928674548364</v>
      </c>
      <c r="W10" s="15">
        <v>0.81891607163759805</v>
      </c>
    </row>
    <row r="11" spans="1:23" x14ac:dyDescent="0.2">
      <c r="A11" s="10" t="s">
        <v>23</v>
      </c>
      <c r="B11" s="11">
        <v>8080</v>
      </c>
      <c r="C11" s="11">
        <v>22758</v>
      </c>
      <c r="D11" s="11">
        <f t="shared" si="0"/>
        <v>31037</v>
      </c>
      <c r="E11" s="14">
        <f t="shared" si="1"/>
        <v>0.26033443953990398</v>
      </c>
      <c r="F11" s="15">
        <f t="shared" si="2"/>
        <v>0.73325385829816025</v>
      </c>
      <c r="G11" s="11">
        <v>1</v>
      </c>
      <c r="H11" s="11">
        <v>0</v>
      </c>
      <c r="I11" s="11">
        <v>0</v>
      </c>
      <c r="J11" s="11">
        <v>2</v>
      </c>
      <c r="K11" s="11">
        <v>66</v>
      </c>
      <c r="L11" s="11">
        <v>0</v>
      </c>
      <c r="M11" s="11">
        <v>0</v>
      </c>
      <c r="N11" s="11">
        <v>8080</v>
      </c>
      <c r="O11" s="11">
        <v>0</v>
      </c>
      <c r="P11" s="11">
        <v>0</v>
      </c>
      <c r="Q11" s="11">
        <v>81</v>
      </c>
      <c r="R11" s="11">
        <v>47</v>
      </c>
      <c r="S11" s="11">
        <v>22758</v>
      </c>
      <c r="T11" s="11">
        <v>2</v>
      </c>
      <c r="U11">
        <v>31037</v>
      </c>
      <c r="V11" s="15">
        <v>0.26033443953990398</v>
      </c>
      <c r="W11" s="15">
        <v>0.73325385829816025</v>
      </c>
    </row>
    <row r="12" spans="1:23" x14ac:dyDescent="0.2">
      <c r="A12" s="10" t="s">
        <v>24</v>
      </c>
      <c r="B12" s="11">
        <v>4069</v>
      </c>
      <c r="C12" s="11">
        <v>17257</v>
      </c>
      <c r="D12" s="11">
        <f t="shared" si="0"/>
        <v>21444</v>
      </c>
      <c r="E12" s="14">
        <f t="shared" si="1"/>
        <v>0.18975004663309084</v>
      </c>
      <c r="F12" s="15">
        <f t="shared" si="2"/>
        <v>0.80474724864764036</v>
      </c>
      <c r="G12" s="11">
        <v>0</v>
      </c>
      <c r="H12" s="11">
        <v>0</v>
      </c>
      <c r="I12" s="11">
        <v>0</v>
      </c>
      <c r="J12" s="11">
        <v>1</v>
      </c>
      <c r="K12" s="11">
        <v>38</v>
      </c>
      <c r="L12" s="11">
        <v>0</v>
      </c>
      <c r="M12" s="11">
        <v>0</v>
      </c>
      <c r="N12" s="11">
        <v>4069</v>
      </c>
      <c r="O12" s="11">
        <v>0</v>
      </c>
      <c r="P12" s="11">
        <v>0</v>
      </c>
      <c r="Q12" s="11">
        <v>59</v>
      </c>
      <c r="R12" s="11">
        <v>19</v>
      </c>
      <c r="S12" s="11">
        <v>17257</v>
      </c>
      <c r="T12" s="11">
        <v>1</v>
      </c>
      <c r="U12">
        <v>21444</v>
      </c>
      <c r="V12" s="15">
        <v>0.18975004663309084</v>
      </c>
      <c r="W12" s="15">
        <v>0.80474724864764036</v>
      </c>
    </row>
    <row r="13" spans="1:23" x14ac:dyDescent="0.2">
      <c r="A13" s="10" t="s">
        <v>25</v>
      </c>
      <c r="B13" s="11">
        <v>66713</v>
      </c>
      <c r="C13" s="11">
        <v>114831</v>
      </c>
      <c r="D13" s="11">
        <f t="shared" si="0"/>
        <v>183197</v>
      </c>
      <c r="E13" s="14">
        <f t="shared" si="1"/>
        <v>0.36415989344803679</v>
      </c>
      <c r="F13" s="15">
        <f t="shared" si="2"/>
        <v>0.6268170330300169</v>
      </c>
      <c r="G13" s="11">
        <v>2</v>
      </c>
      <c r="H13" s="11">
        <v>0</v>
      </c>
      <c r="I13" s="11">
        <v>0</v>
      </c>
      <c r="J13" s="11">
        <v>36</v>
      </c>
      <c r="K13" s="11">
        <v>387</v>
      </c>
      <c r="L13" s="11">
        <v>0</v>
      </c>
      <c r="M13" s="11">
        <v>0</v>
      </c>
      <c r="N13" s="11">
        <v>66713</v>
      </c>
      <c r="O13" s="11">
        <v>0</v>
      </c>
      <c r="P13" s="11">
        <v>0</v>
      </c>
      <c r="Q13" s="11">
        <v>894</v>
      </c>
      <c r="R13" s="11">
        <v>317</v>
      </c>
      <c r="S13" s="11">
        <v>114831</v>
      </c>
      <c r="T13" s="11">
        <v>17</v>
      </c>
      <c r="U13">
        <v>183197</v>
      </c>
      <c r="V13" s="15">
        <v>0.36415989344803679</v>
      </c>
      <c r="W13" s="15">
        <v>0.6268170330300169</v>
      </c>
    </row>
    <row r="14" spans="1:23" x14ac:dyDescent="0.2">
      <c r="A14" s="10" t="s">
        <v>26</v>
      </c>
      <c r="B14" s="11">
        <v>3071</v>
      </c>
      <c r="C14" s="11">
        <v>10634</v>
      </c>
      <c r="D14" s="11">
        <f t="shared" si="0"/>
        <v>13819</v>
      </c>
      <c r="E14" s="14">
        <f t="shared" si="1"/>
        <v>0.22223026268181489</v>
      </c>
      <c r="F14" s="15">
        <f t="shared" si="2"/>
        <v>0.76952022577610535</v>
      </c>
      <c r="G14" s="11">
        <v>1</v>
      </c>
      <c r="H14" s="11">
        <v>0</v>
      </c>
      <c r="I14" s="11">
        <v>0</v>
      </c>
      <c r="J14" s="11">
        <v>0</v>
      </c>
      <c r="K14" s="11">
        <v>44</v>
      </c>
      <c r="L14" s="11">
        <v>0</v>
      </c>
      <c r="M14" s="11">
        <v>0</v>
      </c>
      <c r="N14" s="11">
        <v>3071</v>
      </c>
      <c r="O14" s="11">
        <v>0</v>
      </c>
      <c r="P14" s="11">
        <v>0</v>
      </c>
      <c r="Q14" s="11">
        <v>49</v>
      </c>
      <c r="R14" s="11">
        <v>20</v>
      </c>
      <c r="S14" s="11">
        <v>10634</v>
      </c>
      <c r="T14" s="11">
        <v>0</v>
      </c>
      <c r="U14">
        <v>13819</v>
      </c>
      <c r="V14" s="15">
        <v>0.22223026268181489</v>
      </c>
      <c r="W14" s="15">
        <v>0.76952022577610535</v>
      </c>
    </row>
    <row r="15" spans="1:23" x14ac:dyDescent="0.2">
      <c r="A15" s="10" t="s">
        <v>27</v>
      </c>
      <c r="B15" s="11">
        <v>4944</v>
      </c>
      <c r="C15" s="11">
        <v>15334</v>
      </c>
      <c r="D15" s="11">
        <f t="shared" si="0"/>
        <v>20475</v>
      </c>
      <c r="E15" s="14">
        <f t="shared" si="1"/>
        <v>0.24146520146520148</v>
      </c>
      <c r="F15" s="15">
        <f t="shared" si="2"/>
        <v>0.74891330891330887</v>
      </c>
      <c r="G15" s="11">
        <v>3</v>
      </c>
      <c r="H15" s="11">
        <v>0</v>
      </c>
      <c r="I15" s="11">
        <v>0</v>
      </c>
      <c r="J15" s="11">
        <v>3</v>
      </c>
      <c r="K15" s="11">
        <v>42</v>
      </c>
      <c r="L15" s="11">
        <v>0</v>
      </c>
      <c r="M15" s="11">
        <v>0</v>
      </c>
      <c r="N15" s="11">
        <v>4944</v>
      </c>
      <c r="O15" s="11">
        <v>1</v>
      </c>
      <c r="P15" s="11">
        <v>0</v>
      </c>
      <c r="Q15" s="11">
        <v>116</v>
      </c>
      <c r="R15" s="11">
        <v>32</v>
      </c>
      <c r="S15" s="11">
        <v>15334</v>
      </c>
      <c r="T15" s="11">
        <v>0</v>
      </c>
      <c r="U15">
        <v>20475</v>
      </c>
      <c r="V15" s="15">
        <v>0.24146520146520148</v>
      </c>
      <c r="W15" s="15">
        <v>0.74891330891330887</v>
      </c>
    </row>
    <row r="16" spans="1:23" x14ac:dyDescent="0.2">
      <c r="A16" s="10" t="s">
        <v>28</v>
      </c>
      <c r="B16" s="11">
        <v>21847</v>
      </c>
      <c r="C16" s="11">
        <v>40403</v>
      </c>
      <c r="D16" s="11">
        <f t="shared" si="0"/>
        <v>62855</v>
      </c>
      <c r="E16" s="14">
        <f t="shared" si="1"/>
        <v>0.34757775833267041</v>
      </c>
      <c r="F16" s="15">
        <f t="shared" si="2"/>
        <v>0.6427969135311431</v>
      </c>
      <c r="G16" s="11">
        <v>0</v>
      </c>
      <c r="H16" s="11">
        <v>0</v>
      </c>
      <c r="I16" s="11">
        <v>0</v>
      </c>
      <c r="J16" s="11">
        <v>13</v>
      </c>
      <c r="K16" s="11">
        <v>165</v>
      </c>
      <c r="L16" s="11">
        <v>0</v>
      </c>
      <c r="M16" s="11">
        <v>0</v>
      </c>
      <c r="N16" s="11">
        <v>21847</v>
      </c>
      <c r="O16" s="11">
        <v>0</v>
      </c>
      <c r="P16" s="11">
        <v>0</v>
      </c>
      <c r="Q16" s="11">
        <v>336</v>
      </c>
      <c r="R16" s="11">
        <v>84</v>
      </c>
      <c r="S16" s="11">
        <v>40403</v>
      </c>
      <c r="T16" s="11">
        <v>7</v>
      </c>
      <c r="U16">
        <v>62855</v>
      </c>
      <c r="V16" s="15">
        <v>0.34757775833267041</v>
      </c>
      <c r="W16" s="15">
        <v>0.6427969135311431</v>
      </c>
    </row>
    <row r="17" spans="1:23" x14ac:dyDescent="0.2">
      <c r="A17" s="10" t="s">
        <v>29</v>
      </c>
      <c r="B17" s="11">
        <v>36130</v>
      </c>
      <c r="C17" s="11">
        <v>76964</v>
      </c>
      <c r="D17" s="11">
        <f t="shared" si="0"/>
        <v>114143</v>
      </c>
      <c r="E17" s="14">
        <f t="shared" si="1"/>
        <v>0.31653277029690824</v>
      </c>
      <c r="F17" s="15">
        <f t="shared" si="2"/>
        <v>0.67427700340800578</v>
      </c>
      <c r="G17" s="11">
        <v>8</v>
      </c>
      <c r="H17" s="11">
        <v>0</v>
      </c>
      <c r="I17" s="11">
        <v>1</v>
      </c>
      <c r="J17" s="11">
        <v>15</v>
      </c>
      <c r="K17" s="11">
        <v>206</v>
      </c>
      <c r="L17" s="11">
        <v>0</v>
      </c>
      <c r="M17" s="11">
        <v>0</v>
      </c>
      <c r="N17" s="11">
        <v>36130</v>
      </c>
      <c r="O17" s="11">
        <v>0</v>
      </c>
      <c r="P17" s="11">
        <v>0</v>
      </c>
      <c r="Q17" s="11">
        <v>657</v>
      </c>
      <c r="R17" s="11">
        <v>158</v>
      </c>
      <c r="S17" s="11">
        <v>76964</v>
      </c>
      <c r="T17" s="11">
        <v>4</v>
      </c>
      <c r="U17">
        <v>114143</v>
      </c>
      <c r="V17" s="15">
        <v>0.31653277029690824</v>
      </c>
      <c r="W17" s="15">
        <v>0.67427700340800578</v>
      </c>
    </row>
    <row r="18" spans="1:23" x14ac:dyDescent="0.2">
      <c r="A18" s="10" t="s">
        <v>30</v>
      </c>
      <c r="B18" s="11">
        <v>4633</v>
      </c>
      <c r="C18" s="11">
        <v>15984</v>
      </c>
      <c r="D18" s="11">
        <f t="shared" si="0"/>
        <v>20779</v>
      </c>
      <c r="E18" s="14">
        <f t="shared" si="1"/>
        <v>0.22296549400837384</v>
      </c>
      <c r="F18" s="15">
        <f t="shared" si="2"/>
        <v>0.76923817315558973</v>
      </c>
      <c r="G18" s="11">
        <v>0</v>
      </c>
      <c r="H18" s="11">
        <v>0</v>
      </c>
      <c r="I18" s="11">
        <v>0</v>
      </c>
      <c r="J18" s="11">
        <v>0</v>
      </c>
      <c r="K18" s="11">
        <v>48</v>
      </c>
      <c r="L18" s="11">
        <v>0</v>
      </c>
      <c r="M18" s="11">
        <v>0</v>
      </c>
      <c r="N18" s="11">
        <v>4633</v>
      </c>
      <c r="O18" s="11">
        <v>0</v>
      </c>
      <c r="P18" s="11">
        <v>0</v>
      </c>
      <c r="Q18" s="11">
        <v>88</v>
      </c>
      <c r="R18" s="11">
        <v>26</v>
      </c>
      <c r="S18" s="11">
        <v>15984</v>
      </c>
      <c r="T18" s="11">
        <v>0</v>
      </c>
      <c r="U18">
        <v>20779</v>
      </c>
      <c r="V18" s="15">
        <v>0.22296549400837384</v>
      </c>
      <c r="W18" s="15">
        <v>0.76923817315558973</v>
      </c>
    </row>
    <row r="19" spans="1:23" x14ac:dyDescent="0.2">
      <c r="A19" s="10" t="s">
        <v>31</v>
      </c>
      <c r="B19" s="11">
        <v>12064</v>
      </c>
      <c r="C19" s="11">
        <v>35607</v>
      </c>
      <c r="D19" s="11">
        <f t="shared" si="0"/>
        <v>48053</v>
      </c>
      <c r="E19" s="14">
        <f t="shared" si="1"/>
        <v>0.25105612552806278</v>
      </c>
      <c r="F19" s="15">
        <f t="shared" si="2"/>
        <v>0.74099431877302147</v>
      </c>
      <c r="G19" s="11">
        <v>0</v>
      </c>
      <c r="H19" s="11">
        <v>0</v>
      </c>
      <c r="I19" s="11">
        <v>0</v>
      </c>
      <c r="J19" s="11">
        <v>6</v>
      </c>
      <c r="K19" s="11">
        <v>117</v>
      </c>
      <c r="L19" s="11">
        <v>0</v>
      </c>
      <c r="M19" s="11">
        <v>0</v>
      </c>
      <c r="N19" s="11">
        <v>12064</v>
      </c>
      <c r="O19" s="11">
        <v>0</v>
      </c>
      <c r="P19" s="11">
        <v>0</v>
      </c>
      <c r="Q19" s="11">
        <v>189</v>
      </c>
      <c r="R19" s="11">
        <v>69</v>
      </c>
      <c r="S19" s="11">
        <v>35607</v>
      </c>
      <c r="T19" s="11">
        <v>1</v>
      </c>
      <c r="U19">
        <v>48053</v>
      </c>
      <c r="V19" s="15">
        <v>0.25105612552806278</v>
      </c>
      <c r="W19" s="15">
        <v>0.74099431877302147</v>
      </c>
    </row>
    <row r="20" spans="1:23" x14ac:dyDescent="0.2">
      <c r="A20" s="10" t="s">
        <v>32</v>
      </c>
      <c r="B20" s="11">
        <v>3835</v>
      </c>
      <c r="C20" s="11">
        <v>12362</v>
      </c>
      <c r="D20" s="11">
        <f t="shared" si="0"/>
        <v>16337</v>
      </c>
      <c r="E20" s="14">
        <f t="shared" si="1"/>
        <v>0.23474322090959174</v>
      </c>
      <c r="F20" s="15">
        <f t="shared" si="2"/>
        <v>0.75668727428536453</v>
      </c>
      <c r="G20" s="11">
        <v>2</v>
      </c>
      <c r="H20" s="11">
        <v>0</v>
      </c>
      <c r="I20" s="11">
        <v>0</v>
      </c>
      <c r="J20" s="11">
        <v>1</v>
      </c>
      <c r="K20" s="11">
        <v>48</v>
      </c>
      <c r="L20" s="11">
        <v>0</v>
      </c>
      <c r="M20" s="11">
        <v>0</v>
      </c>
      <c r="N20" s="11">
        <v>3835</v>
      </c>
      <c r="O20" s="11">
        <v>0</v>
      </c>
      <c r="P20" s="11">
        <v>0</v>
      </c>
      <c r="Q20" s="11">
        <v>66</v>
      </c>
      <c r="R20" s="11">
        <v>22</v>
      </c>
      <c r="S20" s="11">
        <v>12362</v>
      </c>
      <c r="T20" s="11">
        <v>1</v>
      </c>
      <c r="U20">
        <v>16337</v>
      </c>
      <c r="V20" s="15">
        <v>0.23474322090959174</v>
      </c>
      <c r="W20" s="15">
        <v>0.75668727428536453</v>
      </c>
    </row>
    <row r="21" spans="1:23" x14ac:dyDescent="0.2">
      <c r="A21" s="10" t="s">
        <v>33</v>
      </c>
      <c r="B21" s="11">
        <v>4683</v>
      </c>
      <c r="C21" s="11">
        <v>15402</v>
      </c>
      <c r="D21" s="11">
        <f t="shared" si="0"/>
        <v>20245</v>
      </c>
      <c r="E21" s="14">
        <f t="shared" si="1"/>
        <v>0.23131637441343542</v>
      </c>
      <c r="F21" s="15">
        <f t="shared" si="2"/>
        <v>0.76078043961471964</v>
      </c>
      <c r="G21" s="11">
        <v>0</v>
      </c>
      <c r="H21" s="11">
        <v>0</v>
      </c>
      <c r="I21" s="11">
        <v>0</v>
      </c>
      <c r="J21" s="11">
        <v>3</v>
      </c>
      <c r="K21" s="11">
        <v>47</v>
      </c>
      <c r="L21" s="11">
        <v>0</v>
      </c>
      <c r="M21" s="11">
        <v>0</v>
      </c>
      <c r="N21" s="11">
        <v>4683</v>
      </c>
      <c r="O21" s="11">
        <v>0</v>
      </c>
      <c r="P21" s="11">
        <v>0</v>
      </c>
      <c r="Q21" s="11">
        <v>80</v>
      </c>
      <c r="R21" s="11">
        <v>29</v>
      </c>
      <c r="S21" s="11">
        <v>15402</v>
      </c>
      <c r="T21" s="11">
        <v>1</v>
      </c>
      <c r="U21">
        <v>20245</v>
      </c>
      <c r="V21" s="15">
        <v>0.23131637441343542</v>
      </c>
      <c r="W21" s="15">
        <v>0.76078043961471964</v>
      </c>
    </row>
    <row r="22" spans="1:23" x14ac:dyDescent="0.2">
      <c r="A22" s="10" t="s">
        <v>34</v>
      </c>
      <c r="B22" s="11">
        <v>376384</v>
      </c>
      <c r="C22" s="11">
        <v>195164</v>
      </c>
      <c r="D22" s="11">
        <f t="shared" si="0"/>
        <v>576520</v>
      </c>
      <c r="E22" s="14">
        <f t="shared" si="1"/>
        <v>0.65285506140290017</v>
      </c>
      <c r="F22" s="15">
        <f t="shared" si="2"/>
        <v>0.33852077985152296</v>
      </c>
      <c r="G22" s="11">
        <v>6</v>
      </c>
      <c r="H22" s="11">
        <v>2</v>
      </c>
      <c r="I22" s="11">
        <v>1</v>
      </c>
      <c r="J22" s="11">
        <v>456</v>
      </c>
      <c r="K22" s="11">
        <v>1032</v>
      </c>
      <c r="L22" s="11">
        <v>0</v>
      </c>
      <c r="M22" s="11">
        <v>2</v>
      </c>
      <c r="N22" s="11">
        <v>376384</v>
      </c>
      <c r="O22" s="11">
        <v>0</v>
      </c>
      <c r="P22" s="11">
        <v>0</v>
      </c>
      <c r="Q22" s="11">
        <v>2419</v>
      </c>
      <c r="R22" s="11">
        <v>891</v>
      </c>
      <c r="S22" s="11">
        <v>195164</v>
      </c>
      <c r="T22" s="11">
        <v>163</v>
      </c>
      <c r="U22">
        <v>576520</v>
      </c>
      <c r="V22" s="15">
        <v>0.65285506140290017</v>
      </c>
      <c r="W22" s="15">
        <v>0.33852077985152296</v>
      </c>
    </row>
    <row r="23" spans="1:23" x14ac:dyDescent="0.2">
      <c r="A23" s="10" t="s">
        <v>35</v>
      </c>
      <c r="B23" s="11">
        <v>4583</v>
      </c>
      <c r="C23" s="11">
        <v>22234</v>
      </c>
      <c r="D23" s="11">
        <f t="shared" si="0"/>
        <v>27002</v>
      </c>
      <c r="E23" s="14">
        <f t="shared" si="1"/>
        <v>0.16972816828383083</v>
      </c>
      <c r="F23" s="15">
        <f t="shared" si="2"/>
        <v>0.8234204873713058</v>
      </c>
      <c r="G23" s="11">
        <v>0</v>
      </c>
      <c r="H23" s="11">
        <v>0</v>
      </c>
      <c r="I23" s="11">
        <v>0</v>
      </c>
      <c r="J23" s="11">
        <v>1</v>
      </c>
      <c r="K23" s="11">
        <v>55</v>
      </c>
      <c r="L23" s="11">
        <v>0</v>
      </c>
      <c r="M23" s="11">
        <v>0</v>
      </c>
      <c r="N23" s="11">
        <v>4583</v>
      </c>
      <c r="O23" s="11">
        <v>0</v>
      </c>
      <c r="P23" s="11">
        <v>0</v>
      </c>
      <c r="Q23" s="11">
        <v>97</v>
      </c>
      <c r="R23" s="11">
        <v>31</v>
      </c>
      <c r="S23" s="11">
        <v>22234</v>
      </c>
      <c r="T23" s="11">
        <v>1</v>
      </c>
      <c r="U23">
        <v>27002</v>
      </c>
      <c r="V23" s="15">
        <v>0.16972816828383083</v>
      </c>
      <c r="W23" s="15">
        <v>0.8234204873713058</v>
      </c>
    </row>
    <row r="24" spans="1:23" x14ac:dyDescent="0.2">
      <c r="A24" s="10" t="s">
        <v>36</v>
      </c>
      <c r="B24" s="11">
        <v>5667</v>
      </c>
      <c r="C24" s="11">
        <v>13302</v>
      </c>
      <c r="D24" s="11">
        <f t="shared" si="0"/>
        <v>19156</v>
      </c>
      <c r="E24" s="14">
        <f t="shared" si="1"/>
        <v>0.29583420338275213</v>
      </c>
      <c r="F24" s="15">
        <f t="shared" si="2"/>
        <v>0.69440384213823347</v>
      </c>
      <c r="G24" s="11">
        <v>0</v>
      </c>
      <c r="H24" s="11">
        <v>0</v>
      </c>
      <c r="I24" s="11">
        <v>0</v>
      </c>
      <c r="J24" s="11">
        <v>2</v>
      </c>
      <c r="K24" s="11">
        <v>55</v>
      </c>
      <c r="L24" s="11">
        <v>0</v>
      </c>
      <c r="M24" s="11">
        <v>0</v>
      </c>
      <c r="N24" s="11">
        <v>5667</v>
      </c>
      <c r="O24" s="11">
        <v>0</v>
      </c>
      <c r="P24" s="11">
        <v>0</v>
      </c>
      <c r="Q24" s="11">
        <v>89</v>
      </c>
      <c r="R24" s="11">
        <v>40</v>
      </c>
      <c r="S24" s="11">
        <v>13302</v>
      </c>
      <c r="T24" s="11">
        <v>1</v>
      </c>
      <c r="U24">
        <v>19156</v>
      </c>
      <c r="V24" s="15">
        <v>0.29583420338275213</v>
      </c>
      <c r="W24" s="15">
        <v>0.69440384213823347</v>
      </c>
    </row>
    <row r="25" spans="1:23" x14ac:dyDescent="0.2">
      <c r="A25" s="10" t="s">
        <v>37</v>
      </c>
      <c r="B25" s="11">
        <v>61657</v>
      </c>
      <c r="C25" s="11">
        <v>70448</v>
      </c>
      <c r="D25" s="11">
        <f t="shared" si="0"/>
        <v>133392</v>
      </c>
      <c r="E25" s="14">
        <f t="shared" si="1"/>
        <v>0.46222412138658991</v>
      </c>
      <c r="F25" s="15">
        <f t="shared" si="2"/>
        <v>0.52812762384550793</v>
      </c>
      <c r="G25" s="11">
        <v>0</v>
      </c>
      <c r="H25" s="11">
        <v>0</v>
      </c>
      <c r="I25" s="11">
        <v>5</v>
      </c>
      <c r="J25" s="11">
        <v>19</v>
      </c>
      <c r="K25" s="11">
        <v>217</v>
      </c>
      <c r="L25" s="11">
        <v>0</v>
      </c>
      <c r="M25" s="11">
        <v>0</v>
      </c>
      <c r="N25" s="11">
        <v>61657</v>
      </c>
      <c r="O25" s="11">
        <v>0</v>
      </c>
      <c r="P25" s="11">
        <v>0</v>
      </c>
      <c r="Q25" s="11">
        <v>770</v>
      </c>
      <c r="R25" s="11">
        <v>265</v>
      </c>
      <c r="S25" s="11">
        <v>70448</v>
      </c>
      <c r="T25" s="11">
        <v>11</v>
      </c>
      <c r="U25">
        <v>133392</v>
      </c>
      <c r="V25" s="15">
        <v>0.46222412138658991</v>
      </c>
      <c r="W25" s="15">
        <v>0.52812762384550793</v>
      </c>
    </row>
    <row r="26" spans="1:23" x14ac:dyDescent="0.2">
      <c r="A26" s="10" t="s">
        <v>38</v>
      </c>
      <c r="B26" s="11">
        <v>16871</v>
      </c>
      <c r="C26" s="11">
        <v>22493</v>
      </c>
      <c r="D26" s="11">
        <f t="shared" si="0"/>
        <v>39749</v>
      </c>
      <c r="E26" s="14">
        <f t="shared" si="1"/>
        <v>0.42443835065033081</v>
      </c>
      <c r="F26" s="15">
        <f t="shared" si="2"/>
        <v>0.5658758710910966</v>
      </c>
      <c r="G26" s="11">
        <v>1</v>
      </c>
      <c r="H26" s="11">
        <v>0</v>
      </c>
      <c r="I26" s="11">
        <v>0</v>
      </c>
      <c r="J26" s="11">
        <v>7</v>
      </c>
      <c r="K26" s="11">
        <v>104</v>
      </c>
      <c r="L26" s="11">
        <v>0</v>
      </c>
      <c r="M26" s="11">
        <v>1</v>
      </c>
      <c r="N26" s="11">
        <v>16871</v>
      </c>
      <c r="O26" s="11">
        <v>0</v>
      </c>
      <c r="P26" s="11">
        <v>0</v>
      </c>
      <c r="Q26" s="11">
        <v>205</v>
      </c>
      <c r="R26" s="11">
        <v>64</v>
      </c>
      <c r="S26" s="11">
        <v>22493</v>
      </c>
      <c r="T26" s="11">
        <v>3</v>
      </c>
      <c r="U26">
        <v>39749</v>
      </c>
      <c r="V26" s="15">
        <v>0.42443835065033081</v>
      </c>
      <c r="W26" s="15">
        <v>0.5658758710910966</v>
      </c>
    </row>
    <row r="27" spans="1:23" x14ac:dyDescent="0.2">
      <c r="A27" s="10" t="s">
        <v>39</v>
      </c>
      <c r="B27" s="11">
        <v>31695</v>
      </c>
      <c r="C27" s="11">
        <v>51999</v>
      </c>
      <c r="D27" s="11">
        <f t="shared" si="0"/>
        <v>84457</v>
      </c>
      <c r="E27" s="14">
        <f t="shared" si="1"/>
        <v>0.37527972814568361</v>
      </c>
      <c r="F27" s="15">
        <f t="shared" si="2"/>
        <v>0.61568608877890529</v>
      </c>
      <c r="G27" s="11">
        <v>0</v>
      </c>
      <c r="H27" s="11">
        <v>0</v>
      </c>
      <c r="I27" s="11">
        <v>0</v>
      </c>
      <c r="J27" s="11">
        <v>12</v>
      </c>
      <c r="K27" s="11">
        <v>184</v>
      </c>
      <c r="L27" s="11">
        <v>0</v>
      </c>
      <c r="M27" s="11">
        <v>0</v>
      </c>
      <c r="N27" s="11">
        <v>31695</v>
      </c>
      <c r="O27" s="11">
        <v>0</v>
      </c>
      <c r="P27" s="11">
        <v>0</v>
      </c>
      <c r="Q27" s="11">
        <v>370</v>
      </c>
      <c r="R27" s="11">
        <v>183</v>
      </c>
      <c r="S27" s="11">
        <v>51999</v>
      </c>
      <c r="T27" s="11">
        <v>14</v>
      </c>
      <c r="U27">
        <v>84457</v>
      </c>
      <c r="V27" s="15">
        <v>0.37527972814568361</v>
      </c>
      <c r="W27" s="15">
        <v>0.61568608877890529</v>
      </c>
    </row>
    <row r="28" spans="1:23" x14ac:dyDescent="0.2">
      <c r="A28" s="10" t="s">
        <v>40</v>
      </c>
      <c r="B28" s="11">
        <v>2773</v>
      </c>
      <c r="C28" s="11">
        <v>9706</v>
      </c>
      <c r="D28" s="11">
        <f t="shared" si="0"/>
        <v>12571</v>
      </c>
      <c r="E28" s="14">
        <f t="shared" si="1"/>
        <v>0.22058706546814097</v>
      </c>
      <c r="F28" s="15">
        <f t="shared" si="2"/>
        <v>0.7720945032217007</v>
      </c>
      <c r="G28" s="11">
        <v>0</v>
      </c>
      <c r="H28" s="11">
        <v>0</v>
      </c>
      <c r="I28" s="11">
        <v>0</v>
      </c>
      <c r="J28" s="11">
        <v>0</v>
      </c>
      <c r="K28" s="11">
        <v>38</v>
      </c>
      <c r="L28" s="11">
        <v>0</v>
      </c>
      <c r="M28" s="11">
        <v>0</v>
      </c>
      <c r="N28" s="11">
        <v>2773</v>
      </c>
      <c r="O28" s="11">
        <v>0</v>
      </c>
      <c r="P28" s="11">
        <v>0</v>
      </c>
      <c r="Q28" s="11">
        <v>40</v>
      </c>
      <c r="R28" s="11">
        <v>14</v>
      </c>
      <c r="S28" s="11">
        <v>9706</v>
      </c>
      <c r="T28" s="11">
        <v>0</v>
      </c>
      <c r="U28">
        <v>12571</v>
      </c>
      <c r="V28" s="15">
        <v>0.22058706546814097</v>
      </c>
      <c r="W28" s="15">
        <v>0.7720945032217007</v>
      </c>
    </row>
    <row r="29" spans="1:23" x14ac:dyDescent="0.2">
      <c r="A29" s="10" t="s">
        <v>41</v>
      </c>
      <c r="B29" s="11">
        <v>380518</v>
      </c>
      <c r="C29" s="11">
        <v>210830</v>
      </c>
      <c r="D29" s="11">
        <f t="shared" si="0"/>
        <v>598225</v>
      </c>
      <c r="E29" s="14">
        <f t="shared" si="1"/>
        <v>0.63607839859584603</v>
      </c>
      <c r="F29" s="15">
        <f t="shared" si="2"/>
        <v>0.35242592669982031</v>
      </c>
      <c r="G29" s="11">
        <v>3</v>
      </c>
      <c r="H29" s="11">
        <v>1</v>
      </c>
      <c r="I29" s="11">
        <v>2</v>
      </c>
      <c r="J29" s="11">
        <v>463</v>
      </c>
      <c r="K29" s="11">
        <v>1295</v>
      </c>
      <c r="L29" s="11">
        <v>0</v>
      </c>
      <c r="M29" s="11">
        <v>0</v>
      </c>
      <c r="N29" s="11">
        <v>380518</v>
      </c>
      <c r="O29" s="11">
        <v>0</v>
      </c>
      <c r="P29" s="11">
        <v>1</v>
      </c>
      <c r="Q29" s="11">
        <v>3503</v>
      </c>
      <c r="R29" s="11">
        <v>1384</v>
      </c>
      <c r="S29" s="11">
        <v>210830</v>
      </c>
      <c r="T29" s="11">
        <v>225</v>
      </c>
      <c r="U29">
        <v>598225</v>
      </c>
      <c r="V29" s="15">
        <v>0.63607839859584603</v>
      </c>
      <c r="W29" s="15">
        <v>0.35242592669982031</v>
      </c>
    </row>
    <row r="30" spans="1:23" x14ac:dyDescent="0.2">
      <c r="A30" s="10" t="s">
        <v>42</v>
      </c>
      <c r="B30" s="11">
        <v>6374</v>
      </c>
      <c r="C30" s="11">
        <v>15893</v>
      </c>
      <c r="D30" s="11">
        <f t="shared" si="0"/>
        <v>22454</v>
      </c>
      <c r="E30" s="14">
        <f t="shared" si="1"/>
        <v>0.2838692437872985</v>
      </c>
      <c r="F30" s="15">
        <f t="shared" si="2"/>
        <v>0.7078026186870936</v>
      </c>
      <c r="G30" s="11">
        <v>0</v>
      </c>
      <c r="H30" s="11">
        <v>0</v>
      </c>
      <c r="I30" s="11">
        <v>0</v>
      </c>
      <c r="J30" s="11">
        <v>2</v>
      </c>
      <c r="K30" s="11">
        <v>64</v>
      </c>
      <c r="L30" s="11">
        <v>0</v>
      </c>
      <c r="M30" s="11">
        <v>0</v>
      </c>
      <c r="N30" s="11">
        <v>6374</v>
      </c>
      <c r="O30" s="11">
        <v>0</v>
      </c>
      <c r="P30" s="11">
        <v>0</v>
      </c>
      <c r="Q30" s="11">
        <v>82</v>
      </c>
      <c r="R30" s="11">
        <v>39</v>
      </c>
      <c r="S30" s="11">
        <v>15893</v>
      </c>
      <c r="T30" s="11">
        <v>0</v>
      </c>
      <c r="U30">
        <v>22454</v>
      </c>
      <c r="V30" s="15">
        <v>0.2838692437872985</v>
      </c>
      <c r="W30" s="15">
        <v>0.7078026186870936</v>
      </c>
    </row>
    <row r="31" spans="1:23" x14ac:dyDescent="0.2">
      <c r="A31" s="10" t="s">
        <v>43</v>
      </c>
      <c r="B31" s="11">
        <v>2592</v>
      </c>
      <c r="C31" s="11">
        <v>10314</v>
      </c>
      <c r="D31" s="11">
        <f t="shared" si="0"/>
        <v>13002</v>
      </c>
      <c r="E31" s="14">
        <f t="shared" si="1"/>
        <v>0.19935394554683894</v>
      </c>
      <c r="F31" s="15">
        <f t="shared" si="2"/>
        <v>0.79326257498846331</v>
      </c>
      <c r="G31" s="11">
        <v>0</v>
      </c>
      <c r="H31" s="11">
        <v>0</v>
      </c>
      <c r="I31" s="11">
        <v>0</v>
      </c>
      <c r="J31" s="11">
        <v>2</v>
      </c>
      <c r="K31" s="11">
        <v>26</v>
      </c>
      <c r="L31" s="11">
        <v>0</v>
      </c>
      <c r="M31" s="11">
        <v>0</v>
      </c>
      <c r="N31" s="11">
        <v>2592</v>
      </c>
      <c r="O31" s="11">
        <v>0</v>
      </c>
      <c r="P31" s="11">
        <v>0</v>
      </c>
      <c r="Q31" s="11">
        <v>50</v>
      </c>
      <c r="R31" s="11">
        <v>18</v>
      </c>
      <c r="S31" s="11">
        <v>10314</v>
      </c>
      <c r="T31" s="11">
        <v>0</v>
      </c>
      <c r="U31">
        <v>13002</v>
      </c>
      <c r="V31" s="15">
        <v>0.19935394554683894</v>
      </c>
      <c r="W31" s="15">
        <v>0.79326257498846331</v>
      </c>
    </row>
    <row r="32" spans="1:23" x14ac:dyDescent="0.2">
      <c r="A32" s="10" t="s">
        <v>44</v>
      </c>
      <c r="B32" s="11">
        <v>20604</v>
      </c>
      <c r="C32" s="11">
        <v>33844</v>
      </c>
      <c r="D32" s="11">
        <f t="shared" si="0"/>
        <v>54894</v>
      </c>
      <c r="E32" s="14">
        <f t="shared" si="1"/>
        <v>0.3753415673844136</v>
      </c>
      <c r="F32" s="15">
        <f t="shared" si="2"/>
        <v>0.61653368309833501</v>
      </c>
      <c r="G32" s="11">
        <v>0</v>
      </c>
      <c r="H32" s="11">
        <v>0</v>
      </c>
      <c r="I32" s="11">
        <v>0</v>
      </c>
      <c r="J32" s="11">
        <v>7</v>
      </c>
      <c r="K32" s="11">
        <v>99</v>
      </c>
      <c r="L32" s="11">
        <v>0</v>
      </c>
      <c r="M32" s="11">
        <v>0</v>
      </c>
      <c r="N32" s="11">
        <v>20604</v>
      </c>
      <c r="O32" s="11">
        <v>0</v>
      </c>
      <c r="P32" s="11">
        <v>0</v>
      </c>
      <c r="Q32" s="11">
        <v>251</v>
      </c>
      <c r="R32" s="11">
        <v>88</v>
      </c>
      <c r="S32" s="11">
        <v>33844</v>
      </c>
      <c r="T32" s="11">
        <v>1</v>
      </c>
      <c r="U32">
        <v>54894</v>
      </c>
      <c r="V32" s="15">
        <v>0.3753415673844136</v>
      </c>
      <c r="W32" s="15">
        <v>0.61653368309833501</v>
      </c>
    </row>
    <row r="33" spans="1:23" x14ac:dyDescent="0.2">
      <c r="A33" s="10" t="s">
        <v>45</v>
      </c>
      <c r="B33" s="11">
        <v>35575</v>
      </c>
      <c r="C33" s="11">
        <v>53399</v>
      </c>
      <c r="D33" s="11">
        <f t="shared" si="0"/>
        <v>90041</v>
      </c>
      <c r="E33" s="14">
        <f t="shared" si="1"/>
        <v>0.39509778878510898</v>
      </c>
      <c r="F33" s="15">
        <f t="shared" si="2"/>
        <v>0.59305205406425965</v>
      </c>
      <c r="G33" s="11">
        <v>0</v>
      </c>
      <c r="H33" s="11">
        <v>0</v>
      </c>
      <c r="I33" s="11">
        <v>4</v>
      </c>
      <c r="J33" s="11">
        <v>0</v>
      </c>
      <c r="K33" s="11">
        <v>205</v>
      </c>
      <c r="L33" s="11">
        <v>0</v>
      </c>
      <c r="M33" s="11">
        <v>0</v>
      </c>
      <c r="N33" s="11">
        <v>35575</v>
      </c>
      <c r="O33" s="11">
        <v>0</v>
      </c>
      <c r="P33" s="11">
        <v>0</v>
      </c>
      <c r="Q33" s="11">
        <v>568</v>
      </c>
      <c r="R33" s="11">
        <v>284</v>
      </c>
      <c r="S33" s="11">
        <v>53399</v>
      </c>
      <c r="T33" s="11">
        <v>6</v>
      </c>
      <c r="U33">
        <v>90041</v>
      </c>
      <c r="V33" s="15">
        <v>0.39509778878510898</v>
      </c>
      <c r="W33" s="15">
        <v>0.59305205406425965</v>
      </c>
    </row>
    <row r="34" spans="1:23" x14ac:dyDescent="0.2">
      <c r="A34" s="10" t="s">
        <v>46</v>
      </c>
      <c r="B34" s="11">
        <v>4154</v>
      </c>
      <c r="C34" s="11">
        <v>13314</v>
      </c>
      <c r="D34" s="11">
        <f t="shared" si="0"/>
        <v>17601</v>
      </c>
      <c r="E34" s="14">
        <f t="shared" si="1"/>
        <v>0.23600931765240613</v>
      </c>
      <c r="F34" s="15">
        <f t="shared" si="2"/>
        <v>0.75643429350605085</v>
      </c>
      <c r="G34" s="11">
        <v>2</v>
      </c>
      <c r="H34" s="11">
        <v>0</v>
      </c>
      <c r="I34" s="11">
        <v>0</v>
      </c>
      <c r="J34" s="11">
        <v>1</v>
      </c>
      <c r="K34" s="11">
        <v>49</v>
      </c>
      <c r="L34" s="11">
        <v>0</v>
      </c>
      <c r="M34" s="11">
        <v>0</v>
      </c>
      <c r="N34" s="11">
        <v>4154</v>
      </c>
      <c r="O34" s="11">
        <v>0</v>
      </c>
      <c r="P34" s="11">
        <v>0</v>
      </c>
      <c r="Q34" s="11">
        <v>58</v>
      </c>
      <c r="R34" s="11">
        <v>19</v>
      </c>
      <c r="S34" s="11">
        <v>13314</v>
      </c>
      <c r="T34" s="11">
        <v>4</v>
      </c>
      <c r="U34">
        <v>17601</v>
      </c>
      <c r="V34" s="15">
        <v>0.23600931765240613</v>
      </c>
      <c r="W34" s="15">
        <v>0.75643429350605085</v>
      </c>
    </row>
    <row r="35" spans="1:23" x14ac:dyDescent="0.2">
      <c r="A35" s="10" t="s">
        <v>47</v>
      </c>
      <c r="B35" s="11">
        <v>233360</v>
      </c>
      <c r="C35" s="11">
        <v>172365</v>
      </c>
      <c r="D35" s="11">
        <f t="shared" si="0"/>
        <v>410085</v>
      </c>
      <c r="E35" s="14">
        <f t="shared" si="1"/>
        <v>0.56905275735518246</v>
      </c>
      <c r="F35" s="15">
        <f t="shared" si="2"/>
        <v>0.42031530048648452</v>
      </c>
      <c r="G35" s="11">
        <v>2</v>
      </c>
      <c r="H35" s="11">
        <v>0</v>
      </c>
      <c r="I35" s="11">
        <v>8</v>
      </c>
      <c r="J35" s="11">
        <v>229</v>
      </c>
      <c r="K35" s="11">
        <v>819</v>
      </c>
      <c r="L35" s="11">
        <v>0</v>
      </c>
      <c r="M35" s="11">
        <v>2</v>
      </c>
      <c r="N35" s="11">
        <v>233360</v>
      </c>
      <c r="O35" s="11">
        <v>1</v>
      </c>
      <c r="P35" s="11">
        <v>1</v>
      </c>
      <c r="Q35" s="11">
        <v>2420</v>
      </c>
      <c r="R35" s="11">
        <v>789</v>
      </c>
      <c r="S35" s="11">
        <v>172365</v>
      </c>
      <c r="T35" s="11">
        <v>89</v>
      </c>
      <c r="U35">
        <v>410085</v>
      </c>
      <c r="V35" s="15">
        <v>0.56905275735518246</v>
      </c>
      <c r="W35" s="15">
        <v>0.42031530048648452</v>
      </c>
    </row>
    <row r="36" spans="1:23" x14ac:dyDescent="0.2">
      <c r="A36" s="10" t="s">
        <v>48</v>
      </c>
      <c r="B36" s="11">
        <v>11467</v>
      </c>
      <c r="C36" s="11">
        <v>26052</v>
      </c>
      <c r="D36" s="11">
        <f t="shared" si="0"/>
        <v>37943</v>
      </c>
      <c r="E36" s="14">
        <f t="shared" si="1"/>
        <v>0.30221648261866485</v>
      </c>
      <c r="F36" s="15">
        <f t="shared" si="2"/>
        <v>0.68660886065941018</v>
      </c>
      <c r="G36" s="11">
        <v>0</v>
      </c>
      <c r="H36" s="11">
        <v>0</v>
      </c>
      <c r="I36" s="11">
        <v>0</v>
      </c>
      <c r="J36" s="11">
        <v>6</v>
      </c>
      <c r="K36" s="11">
        <v>119</v>
      </c>
      <c r="L36" s="11">
        <v>0</v>
      </c>
      <c r="M36" s="11">
        <v>0</v>
      </c>
      <c r="N36" s="11">
        <v>11467</v>
      </c>
      <c r="O36" s="11">
        <v>0</v>
      </c>
      <c r="P36" s="11">
        <v>0</v>
      </c>
      <c r="Q36" s="11">
        <v>218</v>
      </c>
      <c r="R36" s="11">
        <v>81</v>
      </c>
      <c r="S36" s="11">
        <v>26052</v>
      </c>
      <c r="T36" s="11">
        <v>0</v>
      </c>
      <c r="U36">
        <v>37943</v>
      </c>
      <c r="V36" s="15">
        <v>0.30221648261866485</v>
      </c>
      <c r="W36" s="15">
        <v>0.68660886065941018</v>
      </c>
    </row>
    <row r="37" spans="1:23" x14ac:dyDescent="0.2">
      <c r="A37" s="10" t="s">
        <v>49</v>
      </c>
      <c r="B37" s="11">
        <v>2863</v>
      </c>
      <c r="C37" s="11">
        <v>9911</v>
      </c>
      <c r="D37" s="11">
        <f t="shared" si="0"/>
        <v>12893</v>
      </c>
      <c r="E37" s="14">
        <f t="shared" si="1"/>
        <v>0.22205848134646708</v>
      </c>
      <c r="F37" s="15">
        <f t="shared" si="2"/>
        <v>0.7687117040254402</v>
      </c>
      <c r="G37" s="11">
        <v>0</v>
      </c>
      <c r="H37" s="11">
        <v>0</v>
      </c>
      <c r="I37" s="11">
        <v>0</v>
      </c>
      <c r="J37" s="11">
        <v>0</v>
      </c>
      <c r="K37" s="11">
        <v>38</v>
      </c>
      <c r="L37" s="11">
        <v>0</v>
      </c>
      <c r="M37" s="11">
        <v>0</v>
      </c>
      <c r="N37" s="11">
        <v>2863</v>
      </c>
      <c r="O37" s="11">
        <v>0</v>
      </c>
      <c r="P37" s="11">
        <v>0</v>
      </c>
      <c r="Q37" s="11">
        <v>63</v>
      </c>
      <c r="R37" s="11">
        <v>18</v>
      </c>
      <c r="S37" s="11">
        <v>9911</v>
      </c>
      <c r="T37" s="11">
        <v>0</v>
      </c>
      <c r="U37">
        <v>12893</v>
      </c>
      <c r="V37" s="15">
        <v>0.22205848134646708</v>
      </c>
      <c r="W37" s="15">
        <v>0.7687117040254402</v>
      </c>
    </row>
    <row r="38" spans="1:23" x14ac:dyDescent="0.2">
      <c r="A38" s="10" t="s">
        <v>50</v>
      </c>
      <c r="B38" s="11">
        <v>1559</v>
      </c>
      <c r="C38" s="11">
        <v>5484</v>
      </c>
      <c r="D38" s="11">
        <f t="shared" si="0"/>
        <v>7110</v>
      </c>
      <c r="E38" s="14">
        <f t="shared" si="1"/>
        <v>0.21926863572433192</v>
      </c>
      <c r="F38" s="15">
        <f t="shared" si="2"/>
        <v>0.77130801687763717</v>
      </c>
      <c r="G38" s="11">
        <v>0</v>
      </c>
      <c r="H38" s="11">
        <v>0</v>
      </c>
      <c r="I38" s="11">
        <v>0</v>
      </c>
      <c r="J38" s="11">
        <v>1</v>
      </c>
      <c r="K38" s="11">
        <v>19</v>
      </c>
      <c r="L38" s="11">
        <v>0</v>
      </c>
      <c r="M38" s="11">
        <v>0</v>
      </c>
      <c r="N38" s="11">
        <v>1559</v>
      </c>
      <c r="O38" s="11">
        <v>0</v>
      </c>
      <c r="P38" s="11">
        <v>0</v>
      </c>
      <c r="Q38" s="11">
        <v>38</v>
      </c>
      <c r="R38" s="11">
        <v>9</v>
      </c>
      <c r="S38" s="11">
        <v>5484</v>
      </c>
      <c r="T38" s="11">
        <v>0</v>
      </c>
      <c r="U38">
        <v>7110</v>
      </c>
      <c r="V38" s="15">
        <v>0.21926863572433192</v>
      </c>
      <c r="W38" s="15">
        <v>0.77130801687763717</v>
      </c>
    </row>
    <row r="39" spans="1:23" x14ac:dyDescent="0.2">
      <c r="A39" s="10" t="s">
        <v>51</v>
      </c>
      <c r="B39" s="11">
        <v>3905</v>
      </c>
      <c r="C39" s="11">
        <v>10873</v>
      </c>
      <c r="D39" s="11">
        <f t="shared" si="0"/>
        <v>14912</v>
      </c>
      <c r="E39" s="14">
        <f t="shared" si="1"/>
        <v>0.26186963519313305</v>
      </c>
      <c r="F39" s="15">
        <f t="shared" si="2"/>
        <v>0.72914431330472107</v>
      </c>
      <c r="G39" s="11">
        <v>0</v>
      </c>
      <c r="H39" s="11">
        <v>0</v>
      </c>
      <c r="I39" s="11">
        <v>0</v>
      </c>
      <c r="J39" s="11">
        <v>0</v>
      </c>
      <c r="K39" s="11">
        <v>43</v>
      </c>
      <c r="L39" s="11">
        <v>0</v>
      </c>
      <c r="M39" s="11">
        <v>0</v>
      </c>
      <c r="N39" s="11">
        <v>3905</v>
      </c>
      <c r="O39" s="11">
        <v>0</v>
      </c>
      <c r="P39" s="11">
        <v>0</v>
      </c>
      <c r="Q39" s="11">
        <v>68</v>
      </c>
      <c r="R39" s="11">
        <v>22</v>
      </c>
      <c r="S39" s="11">
        <v>10873</v>
      </c>
      <c r="T39" s="11">
        <v>1</v>
      </c>
      <c r="U39">
        <v>14912</v>
      </c>
      <c r="V39" s="15">
        <v>0.26186963519313305</v>
      </c>
      <c r="W39" s="15">
        <v>0.72914431330472107</v>
      </c>
    </row>
    <row r="40" spans="1:23" x14ac:dyDescent="0.2">
      <c r="A40" s="10" t="s">
        <v>52</v>
      </c>
      <c r="B40" s="11">
        <v>3609</v>
      </c>
      <c r="C40" s="11">
        <v>16269</v>
      </c>
      <c r="D40" s="11">
        <f t="shared" si="0"/>
        <v>19987</v>
      </c>
      <c r="E40" s="14">
        <f t="shared" si="1"/>
        <v>0.1805673687897133</v>
      </c>
      <c r="F40" s="15">
        <f t="shared" si="2"/>
        <v>0.81397908640616401</v>
      </c>
      <c r="G40" s="11">
        <v>0</v>
      </c>
      <c r="H40" s="11">
        <v>0</v>
      </c>
      <c r="I40" s="11">
        <v>0</v>
      </c>
      <c r="J40" s="11">
        <v>1</v>
      </c>
      <c r="K40" s="11">
        <v>35</v>
      </c>
      <c r="L40" s="11">
        <v>0</v>
      </c>
      <c r="M40" s="11">
        <v>0</v>
      </c>
      <c r="N40" s="11">
        <v>3609</v>
      </c>
      <c r="O40" s="11">
        <v>0</v>
      </c>
      <c r="P40" s="11">
        <v>0</v>
      </c>
      <c r="Q40" s="11">
        <v>54</v>
      </c>
      <c r="R40" s="11">
        <v>17</v>
      </c>
      <c r="S40" s="11">
        <v>16269</v>
      </c>
      <c r="T40" s="11">
        <v>2</v>
      </c>
      <c r="U40">
        <v>19987</v>
      </c>
      <c r="V40" s="15">
        <v>0.1805673687897133</v>
      </c>
      <c r="W40" s="15">
        <v>0.81397908640616401</v>
      </c>
    </row>
    <row r="41" spans="1:23" x14ac:dyDescent="0.2">
      <c r="A41" s="10" t="s">
        <v>53</v>
      </c>
      <c r="B41" s="11">
        <v>3704</v>
      </c>
      <c r="C41" s="11">
        <v>9679</v>
      </c>
      <c r="D41" s="11">
        <f t="shared" si="0"/>
        <v>13489</v>
      </c>
      <c r="E41" s="14">
        <f t="shared" si="1"/>
        <v>0.27459411372229225</v>
      </c>
      <c r="F41" s="15">
        <f t="shared" si="2"/>
        <v>0.71754763140336575</v>
      </c>
      <c r="G41" s="11">
        <v>0</v>
      </c>
      <c r="H41" s="11">
        <v>0</v>
      </c>
      <c r="I41" s="11">
        <v>0</v>
      </c>
      <c r="J41" s="11">
        <v>0</v>
      </c>
      <c r="K41" s="11">
        <v>35</v>
      </c>
      <c r="L41" s="11">
        <v>0</v>
      </c>
      <c r="M41" s="11">
        <v>0</v>
      </c>
      <c r="N41" s="11">
        <v>3704</v>
      </c>
      <c r="O41" s="11">
        <v>0</v>
      </c>
      <c r="P41" s="11">
        <v>0</v>
      </c>
      <c r="Q41" s="11">
        <v>56</v>
      </c>
      <c r="R41" s="11">
        <v>15</v>
      </c>
      <c r="S41" s="11">
        <v>9679</v>
      </c>
      <c r="T41" s="11">
        <v>0</v>
      </c>
      <c r="U41">
        <v>13489</v>
      </c>
      <c r="V41" s="15">
        <v>0.27459411372229225</v>
      </c>
      <c r="W41" s="15">
        <v>0.71754763140336575</v>
      </c>
    </row>
    <row r="42" spans="1:23" x14ac:dyDescent="0.2">
      <c r="A42" s="10" t="s">
        <v>54</v>
      </c>
      <c r="B42" s="11">
        <v>1854</v>
      </c>
      <c r="C42" s="11">
        <v>10384</v>
      </c>
      <c r="D42" s="11">
        <f t="shared" si="0"/>
        <v>12335</v>
      </c>
      <c r="E42" s="14">
        <f t="shared" si="1"/>
        <v>0.15030401297122012</v>
      </c>
      <c r="F42" s="15">
        <f t="shared" si="2"/>
        <v>0.84183218483988653</v>
      </c>
      <c r="G42" s="11">
        <v>0</v>
      </c>
      <c r="H42" s="11">
        <v>0</v>
      </c>
      <c r="I42" s="11">
        <v>0</v>
      </c>
      <c r="J42" s="11">
        <v>0</v>
      </c>
      <c r="K42" s="11">
        <v>23</v>
      </c>
      <c r="L42" s="11">
        <v>0</v>
      </c>
      <c r="M42" s="11">
        <v>0</v>
      </c>
      <c r="N42" s="11">
        <v>1854</v>
      </c>
      <c r="O42" s="11">
        <v>0</v>
      </c>
      <c r="P42" s="11">
        <v>0</v>
      </c>
      <c r="Q42" s="11">
        <v>58</v>
      </c>
      <c r="R42" s="11">
        <v>16</v>
      </c>
      <c r="S42" s="11">
        <v>10384</v>
      </c>
      <c r="T42" s="11">
        <v>0</v>
      </c>
      <c r="U42">
        <v>12335</v>
      </c>
      <c r="V42" s="15">
        <v>0.15030401297122012</v>
      </c>
      <c r="W42" s="15">
        <v>0.84183218483988653</v>
      </c>
    </row>
    <row r="43" spans="1:23" x14ac:dyDescent="0.2">
      <c r="A43" s="10" t="s">
        <v>55</v>
      </c>
      <c r="B43" s="11">
        <v>7496</v>
      </c>
      <c r="C43" s="11">
        <v>19484</v>
      </c>
      <c r="D43" s="11">
        <f t="shared" si="0"/>
        <v>27216</v>
      </c>
      <c r="E43" s="14">
        <f t="shared" si="1"/>
        <v>0.27542621987066429</v>
      </c>
      <c r="F43" s="15">
        <f t="shared" si="2"/>
        <v>0.71590241034685476</v>
      </c>
      <c r="G43" s="11">
        <v>1</v>
      </c>
      <c r="H43" s="11">
        <v>0</v>
      </c>
      <c r="I43" s="11">
        <v>0</v>
      </c>
      <c r="J43" s="11">
        <v>2</v>
      </c>
      <c r="K43" s="11">
        <v>61</v>
      </c>
      <c r="L43" s="11">
        <v>0</v>
      </c>
      <c r="M43" s="11">
        <v>0</v>
      </c>
      <c r="N43" s="11">
        <v>7496</v>
      </c>
      <c r="O43" s="11">
        <v>0</v>
      </c>
      <c r="P43" s="11">
        <v>0</v>
      </c>
      <c r="Q43" s="11">
        <v>125</v>
      </c>
      <c r="R43" s="11">
        <v>46</v>
      </c>
      <c r="S43" s="11">
        <v>19484</v>
      </c>
      <c r="T43" s="11">
        <v>1</v>
      </c>
      <c r="U43">
        <v>27216</v>
      </c>
      <c r="V43" s="15">
        <v>0.27542621987066429</v>
      </c>
      <c r="W43" s="15">
        <v>0.71590241034685476</v>
      </c>
    </row>
    <row r="44" spans="1:23" x14ac:dyDescent="0.2">
      <c r="A44" s="10" t="s">
        <v>56</v>
      </c>
      <c r="B44" s="11">
        <v>2953</v>
      </c>
      <c r="C44" s="11">
        <v>11249</v>
      </c>
      <c r="D44" s="11">
        <f t="shared" si="0"/>
        <v>14287</v>
      </c>
      <c r="E44" s="14">
        <f t="shared" si="1"/>
        <v>0.20669139777420031</v>
      </c>
      <c r="F44" s="15">
        <f t="shared" si="2"/>
        <v>0.78735913767760901</v>
      </c>
      <c r="G44" s="11">
        <v>1</v>
      </c>
      <c r="H44" s="11">
        <v>0</v>
      </c>
      <c r="I44" s="11">
        <v>0</v>
      </c>
      <c r="J44" s="11">
        <v>0</v>
      </c>
      <c r="K44" s="11">
        <v>40</v>
      </c>
      <c r="L44" s="11">
        <v>0</v>
      </c>
      <c r="M44" s="11">
        <v>0</v>
      </c>
      <c r="N44" s="11">
        <v>2953</v>
      </c>
      <c r="O44" s="11">
        <v>0</v>
      </c>
      <c r="P44" s="11">
        <v>0</v>
      </c>
      <c r="Q44" s="11">
        <v>37</v>
      </c>
      <c r="R44" s="11">
        <v>6</v>
      </c>
      <c r="S44" s="11">
        <v>11249</v>
      </c>
      <c r="T44" s="11">
        <v>1</v>
      </c>
      <c r="U44">
        <v>14287</v>
      </c>
      <c r="V44" s="15">
        <v>0.20669139777420031</v>
      </c>
      <c r="W44" s="15">
        <v>0.78735913767760901</v>
      </c>
    </row>
    <row r="45" spans="1:23" x14ac:dyDescent="0.2">
      <c r="A45" s="10" t="s">
        <v>57</v>
      </c>
      <c r="B45" s="11">
        <v>8592</v>
      </c>
      <c r="C45" s="11">
        <v>22317</v>
      </c>
      <c r="D45" s="11">
        <f t="shared" si="0"/>
        <v>31267</v>
      </c>
      <c r="E45" s="14">
        <f t="shared" si="1"/>
        <v>0.27479451178558861</v>
      </c>
      <c r="F45" s="15">
        <f t="shared" si="2"/>
        <v>0.71375571689001183</v>
      </c>
      <c r="G45" s="11">
        <v>1</v>
      </c>
      <c r="H45" s="11">
        <v>0</v>
      </c>
      <c r="I45" s="11">
        <v>0</v>
      </c>
      <c r="J45" s="11">
        <v>3</v>
      </c>
      <c r="K45" s="11">
        <v>70</v>
      </c>
      <c r="L45" s="11">
        <v>0</v>
      </c>
      <c r="M45" s="11">
        <v>0</v>
      </c>
      <c r="N45" s="11">
        <v>8592</v>
      </c>
      <c r="O45" s="11">
        <v>0</v>
      </c>
      <c r="P45" s="11">
        <v>0</v>
      </c>
      <c r="Q45" s="11">
        <v>111</v>
      </c>
      <c r="R45" s="11">
        <v>167</v>
      </c>
      <c r="S45" s="11">
        <v>22317</v>
      </c>
      <c r="T45" s="11">
        <v>6</v>
      </c>
      <c r="U45">
        <v>31267</v>
      </c>
      <c r="V45" s="15">
        <v>0.27479451178558861</v>
      </c>
      <c r="W45" s="15">
        <v>0.71375571689001183</v>
      </c>
    </row>
    <row r="46" spans="1:23" x14ac:dyDescent="0.2">
      <c r="A46" s="10" t="s">
        <v>58</v>
      </c>
      <c r="B46" s="11">
        <v>8698</v>
      </c>
      <c r="C46" s="11">
        <v>23112</v>
      </c>
      <c r="D46" s="11">
        <f t="shared" si="0"/>
        <v>32104</v>
      </c>
      <c r="E46" s="14">
        <f t="shared" si="1"/>
        <v>0.27093197109394468</v>
      </c>
      <c r="F46" s="15">
        <f t="shared" si="2"/>
        <v>0.71991029155245456</v>
      </c>
      <c r="G46" s="11">
        <v>2</v>
      </c>
      <c r="H46" s="11">
        <v>0</v>
      </c>
      <c r="I46" s="11">
        <v>0</v>
      </c>
      <c r="J46" s="11">
        <v>7</v>
      </c>
      <c r="K46" s="11">
        <v>68</v>
      </c>
      <c r="L46" s="11">
        <v>0</v>
      </c>
      <c r="M46" s="11">
        <v>0</v>
      </c>
      <c r="N46" s="11">
        <v>8698</v>
      </c>
      <c r="O46" s="11">
        <v>0</v>
      </c>
      <c r="P46" s="11">
        <v>0</v>
      </c>
      <c r="Q46" s="11">
        <v>159</v>
      </c>
      <c r="R46" s="11">
        <v>53</v>
      </c>
      <c r="S46" s="11">
        <v>23112</v>
      </c>
      <c r="T46" s="11">
        <v>5</v>
      </c>
      <c r="U46">
        <v>32104</v>
      </c>
      <c r="V46" s="15">
        <v>0.27093197109394468</v>
      </c>
      <c r="W46" s="15">
        <v>0.71991029155245456</v>
      </c>
    </row>
    <row r="47" spans="1:23" x14ac:dyDescent="0.2">
      <c r="A47" s="10" t="s">
        <v>59</v>
      </c>
      <c r="B47" s="11">
        <v>54484</v>
      </c>
      <c r="C47" s="11">
        <v>72924</v>
      </c>
      <c r="D47" s="11">
        <f t="shared" si="0"/>
        <v>128579</v>
      </c>
      <c r="E47" s="14">
        <f t="shared" si="1"/>
        <v>0.4237394908966472</v>
      </c>
      <c r="F47" s="15">
        <f t="shared" si="2"/>
        <v>0.56715326764090557</v>
      </c>
      <c r="G47" s="11">
        <v>6</v>
      </c>
      <c r="H47" s="11">
        <v>2</v>
      </c>
      <c r="I47" s="11">
        <v>0</v>
      </c>
      <c r="J47" s="11">
        <v>22</v>
      </c>
      <c r="K47" s="11">
        <v>316</v>
      </c>
      <c r="L47" s="11">
        <v>0</v>
      </c>
      <c r="M47" s="11">
        <v>1</v>
      </c>
      <c r="N47" s="11">
        <v>54484</v>
      </c>
      <c r="O47" s="11">
        <v>0</v>
      </c>
      <c r="P47" s="11">
        <v>0</v>
      </c>
      <c r="Q47" s="11">
        <v>595</v>
      </c>
      <c r="R47" s="11">
        <v>216</v>
      </c>
      <c r="S47" s="11">
        <v>72924</v>
      </c>
      <c r="T47" s="11">
        <v>13</v>
      </c>
      <c r="U47">
        <v>128579</v>
      </c>
      <c r="V47" s="15">
        <v>0.4237394908966472</v>
      </c>
      <c r="W47" s="15">
        <v>0.56715326764090557</v>
      </c>
    </row>
    <row r="48" spans="1:23" x14ac:dyDescent="0.2">
      <c r="A48" s="10" t="s">
        <v>60</v>
      </c>
      <c r="B48" s="11">
        <v>6514</v>
      </c>
      <c r="C48" s="11">
        <v>20013</v>
      </c>
      <c r="D48" s="11">
        <f t="shared" si="0"/>
        <v>26713</v>
      </c>
      <c r="E48" s="14">
        <f t="shared" si="1"/>
        <v>0.24385130835173885</v>
      </c>
      <c r="F48" s="15">
        <f t="shared" si="2"/>
        <v>0.74918578969041294</v>
      </c>
      <c r="G48" s="11">
        <v>0</v>
      </c>
      <c r="H48" s="11">
        <v>0</v>
      </c>
      <c r="I48" s="11">
        <v>0</v>
      </c>
      <c r="J48" s="11">
        <v>1</v>
      </c>
      <c r="K48" s="11">
        <v>73</v>
      </c>
      <c r="L48" s="11">
        <v>0</v>
      </c>
      <c r="M48" s="11">
        <v>0</v>
      </c>
      <c r="N48" s="11">
        <v>6514</v>
      </c>
      <c r="O48" s="11">
        <v>0</v>
      </c>
      <c r="P48" s="11">
        <v>0</v>
      </c>
      <c r="Q48" s="11">
        <v>82</v>
      </c>
      <c r="R48" s="11">
        <v>30</v>
      </c>
      <c r="S48" s="11">
        <v>20013</v>
      </c>
      <c r="T48" s="11">
        <v>0</v>
      </c>
      <c r="U48">
        <v>26713</v>
      </c>
      <c r="V48" s="15">
        <v>0.24385130835173885</v>
      </c>
      <c r="W48" s="15">
        <v>0.74918578969041294</v>
      </c>
    </row>
    <row r="49" spans="1:23" x14ac:dyDescent="0.2">
      <c r="A49" s="10" t="s">
        <v>61</v>
      </c>
      <c r="B49" s="11">
        <v>32832</v>
      </c>
      <c r="C49" s="11">
        <v>61359</v>
      </c>
      <c r="D49" s="11">
        <f t="shared" si="0"/>
        <v>95060</v>
      </c>
      <c r="E49" s="14">
        <f t="shared" si="1"/>
        <v>0.34538186408584054</v>
      </c>
      <c r="F49" s="15">
        <f t="shared" si="2"/>
        <v>0.64547654113191666</v>
      </c>
      <c r="G49" s="11">
        <v>1</v>
      </c>
      <c r="H49" s="11">
        <v>0</v>
      </c>
      <c r="I49" s="11">
        <v>1</v>
      </c>
      <c r="J49" s="11">
        <v>7</v>
      </c>
      <c r="K49" s="11">
        <v>209</v>
      </c>
      <c r="L49" s="11">
        <v>0</v>
      </c>
      <c r="M49" s="11">
        <v>0</v>
      </c>
      <c r="N49" s="11">
        <v>32832</v>
      </c>
      <c r="O49" s="11">
        <v>0</v>
      </c>
      <c r="P49" s="11">
        <v>0</v>
      </c>
      <c r="Q49" s="11">
        <v>476</v>
      </c>
      <c r="R49" s="11">
        <v>169</v>
      </c>
      <c r="S49" s="11">
        <v>61359</v>
      </c>
      <c r="T49" s="11">
        <v>6</v>
      </c>
      <c r="U49">
        <v>95060</v>
      </c>
      <c r="V49" s="15">
        <v>0.34538186408584054</v>
      </c>
      <c r="W49" s="15">
        <v>0.64547654113191666</v>
      </c>
    </row>
    <row r="50" spans="1:23" x14ac:dyDescent="0.2">
      <c r="A50" s="10" t="s">
        <v>62</v>
      </c>
      <c r="B50" s="11">
        <v>5027</v>
      </c>
      <c r="C50" s="11">
        <v>18182</v>
      </c>
      <c r="D50" s="11">
        <f t="shared" si="0"/>
        <v>23406</v>
      </c>
      <c r="E50" s="14">
        <f t="shared" si="1"/>
        <v>0.21477398957532257</v>
      </c>
      <c r="F50" s="15">
        <f t="shared" si="2"/>
        <v>0.77680936512005472</v>
      </c>
      <c r="G50" s="11">
        <v>0</v>
      </c>
      <c r="H50" s="11">
        <v>0</v>
      </c>
      <c r="I50" s="11">
        <v>0</v>
      </c>
      <c r="J50" s="11">
        <v>2</v>
      </c>
      <c r="K50" s="11">
        <v>64</v>
      </c>
      <c r="L50" s="11">
        <v>0</v>
      </c>
      <c r="M50" s="11">
        <v>0</v>
      </c>
      <c r="N50" s="11">
        <v>5027</v>
      </c>
      <c r="O50" s="11">
        <v>0</v>
      </c>
      <c r="P50" s="11">
        <v>0</v>
      </c>
      <c r="Q50" s="11">
        <v>98</v>
      </c>
      <c r="R50" s="11">
        <v>32</v>
      </c>
      <c r="S50" s="11">
        <v>18182</v>
      </c>
      <c r="T50" s="11">
        <v>1</v>
      </c>
      <c r="U50">
        <v>23406</v>
      </c>
      <c r="V50" s="15">
        <v>0.21477398957532257</v>
      </c>
      <c r="W50" s="15">
        <v>0.77680936512005472</v>
      </c>
    </row>
    <row r="51" spans="1:23" x14ac:dyDescent="0.2">
      <c r="A51" s="10" t="s">
        <v>63</v>
      </c>
      <c r="B51" s="11">
        <v>74207</v>
      </c>
      <c r="C51" s="11">
        <v>83297</v>
      </c>
      <c r="D51" s="11">
        <f t="shared" si="0"/>
        <v>159007</v>
      </c>
      <c r="E51" s="14">
        <f t="shared" si="1"/>
        <v>0.46669014571685524</v>
      </c>
      <c r="F51" s="15">
        <f t="shared" si="2"/>
        <v>0.52385744023848002</v>
      </c>
      <c r="G51" s="11">
        <v>2</v>
      </c>
      <c r="H51" s="11">
        <v>0</v>
      </c>
      <c r="I51" s="11">
        <v>0</v>
      </c>
      <c r="J51" s="11">
        <v>30</v>
      </c>
      <c r="K51" s="11">
        <v>366</v>
      </c>
      <c r="L51" s="11">
        <v>0</v>
      </c>
      <c r="M51" s="11">
        <v>0</v>
      </c>
      <c r="N51" s="11">
        <v>74207</v>
      </c>
      <c r="O51" s="11">
        <v>0</v>
      </c>
      <c r="P51" s="11">
        <v>0</v>
      </c>
      <c r="Q51" s="11">
        <v>844</v>
      </c>
      <c r="R51" s="11">
        <v>245</v>
      </c>
      <c r="S51" s="11">
        <v>83297</v>
      </c>
      <c r="T51" s="11">
        <v>16</v>
      </c>
      <c r="U51">
        <v>159007</v>
      </c>
      <c r="V51" s="15">
        <v>0.46669014571685524</v>
      </c>
      <c r="W51" s="15">
        <v>0.52385744023848002</v>
      </c>
    </row>
    <row r="52" spans="1:23" x14ac:dyDescent="0.2">
      <c r="A52" s="10" t="s">
        <v>64</v>
      </c>
      <c r="B52" s="11">
        <v>106320</v>
      </c>
      <c r="C52" s="11">
        <v>82398</v>
      </c>
      <c r="D52" s="11">
        <f t="shared" si="0"/>
        <v>190609</v>
      </c>
      <c r="E52" s="14">
        <f t="shared" si="1"/>
        <v>0.55779108016935197</v>
      </c>
      <c r="F52" s="15">
        <f t="shared" si="2"/>
        <v>0.43228808713124772</v>
      </c>
      <c r="G52" s="11">
        <v>1</v>
      </c>
      <c r="H52" s="11">
        <v>0</v>
      </c>
      <c r="I52" s="11">
        <v>0</v>
      </c>
      <c r="J52" s="11">
        <v>35</v>
      </c>
      <c r="K52" s="11">
        <v>436</v>
      </c>
      <c r="L52" s="11">
        <v>0</v>
      </c>
      <c r="M52" s="11">
        <v>0</v>
      </c>
      <c r="N52" s="11">
        <v>106320</v>
      </c>
      <c r="O52" s="11">
        <v>0</v>
      </c>
      <c r="P52" s="11">
        <v>0</v>
      </c>
      <c r="Q52" s="11">
        <v>1072</v>
      </c>
      <c r="R52" s="11">
        <v>299</v>
      </c>
      <c r="S52" s="11">
        <v>82398</v>
      </c>
      <c r="T52" s="11">
        <v>48</v>
      </c>
      <c r="U52">
        <v>190609</v>
      </c>
      <c r="V52" s="15">
        <v>0.55779108016935197</v>
      </c>
      <c r="W52" s="15">
        <v>0.43228808713124772</v>
      </c>
    </row>
    <row r="53" spans="1:23" x14ac:dyDescent="0.2">
      <c r="A53" s="10" t="s">
        <v>65</v>
      </c>
      <c r="B53" s="11">
        <v>5713</v>
      </c>
      <c r="C53" s="11">
        <v>14737</v>
      </c>
      <c r="D53" s="11">
        <f t="shared" si="0"/>
        <v>20669</v>
      </c>
      <c r="E53" s="14">
        <f t="shared" si="1"/>
        <v>0.2764042769364749</v>
      </c>
      <c r="F53" s="15">
        <f t="shared" si="2"/>
        <v>0.71300014514490295</v>
      </c>
      <c r="G53" s="11">
        <v>0</v>
      </c>
      <c r="H53" s="11">
        <v>0</v>
      </c>
      <c r="I53" s="11">
        <v>0</v>
      </c>
      <c r="J53" s="11">
        <v>0</v>
      </c>
      <c r="K53" s="11">
        <v>57</v>
      </c>
      <c r="L53" s="11">
        <v>0</v>
      </c>
      <c r="M53" s="11">
        <v>0</v>
      </c>
      <c r="N53" s="11">
        <v>5713</v>
      </c>
      <c r="O53" s="11">
        <v>1</v>
      </c>
      <c r="P53" s="11">
        <v>0</v>
      </c>
      <c r="Q53" s="11">
        <v>124</v>
      </c>
      <c r="R53" s="11">
        <v>37</v>
      </c>
      <c r="S53" s="11">
        <v>14737</v>
      </c>
      <c r="T53" s="11">
        <v>0</v>
      </c>
      <c r="U53">
        <v>20669</v>
      </c>
      <c r="V53" s="15">
        <v>0.2764042769364749</v>
      </c>
      <c r="W53" s="15">
        <v>0.71300014514490295</v>
      </c>
    </row>
    <row r="54" spans="1:23" x14ac:dyDescent="0.2">
      <c r="A54" s="10" t="s">
        <v>66</v>
      </c>
      <c r="B54" s="11">
        <v>50636</v>
      </c>
      <c r="C54" s="11">
        <v>61249</v>
      </c>
      <c r="D54" s="11">
        <f t="shared" si="0"/>
        <v>112705</v>
      </c>
      <c r="E54" s="14">
        <f t="shared" si="1"/>
        <v>0.44927909143338807</v>
      </c>
      <c r="F54" s="15">
        <f t="shared" si="2"/>
        <v>0.54344527749434368</v>
      </c>
      <c r="G54" s="11">
        <v>0</v>
      </c>
      <c r="H54" s="11">
        <v>0</v>
      </c>
      <c r="I54" s="11">
        <v>0</v>
      </c>
      <c r="J54" s="11">
        <v>16</v>
      </c>
      <c r="K54" s="11">
        <v>251</v>
      </c>
      <c r="L54" s="11">
        <v>0</v>
      </c>
      <c r="M54" s="11">
        <v>0</v>
      </c>
      <c r="N54" s="11">
        <v>50636</v>
      </c>
      <c r="O54" s="11">
        <v>0</v>
      </c>
      <c r="P54" s="11">
        <v>0</v>
      </c>
      <c r="Q54" s="11">
        <v>412</v>
      </c>
      <c r="R54" s="11">
        <v>130</v>
      </c>
      <c r="S54" s="11">
        <v>61249</v>
      </c>
      <c r="T54" s="11">
        <v>11</v>
      </c>
      <c r="U54">
        <v>112705</v>
      </c>
      <c r="V54" s="15">
        <v>0.44927909143338807</v>
      </c>
      <c r="W54" s="15">
        <v>0.54344527749434368</v>
      </c>
    </row>
    <row r="55" spans="1:23" x14ac:dyDescent="0.2">
      <c r="A55" s="10" t="s">
        <v>67</v>
      </c>
      <c r="B55" s="11">
        <v>7902</v>
      </c>
      <c r="C55" s="11">
        <v>19219</v>
      </c>
      <c r="D55" s="11">
        <f t="shared" si="0"/>
        <v>27359</v>
      </c>
      <c r="E55" s="14">
        <f t="shared" si="1"/>
        <v>0.2888263459921781</v>
      </c>
      <c r="F55" s="15">
        <f t="shared" si="2"/>
        <v>0.7024745056471362</v>
      </c>
      <c r="G55" s="11">
        <v>0</v>
      </c>
      <c r="H55" s="11">
        <v>0</v>
      </c>
      <c r="I55" s="11">
        <v>0</v>
      </c>
      <c r="J55" s="11">
        <v>3</v>
      </c>
      <c r="K55" s="11">
        <v>77</v>
      </c>
      <c r="L55" s="11">
        <v>0</v>
      </c>
      <c r="M55" s="11">
        <v>0</v>
      </c>
      <c r="N55" s="11">
        <v>7902</v>
      </c>
      <c r="O55" s="11">
        <v>0</v>
      </c>
      <c r="P55" s="11">
        <v>0</v>
      </c>
      <c r="Q55" s="11">
        <v>119</v>
      </c>
      <c r="R55" s="11">
        <v>38</v>
      </c>
      <c r="S55" s="11">
        <v>19219</v>
      </c>
      <c r="T55" s="11">
        <v>1</v>
      </c>
      <c r="U55">
        <v>27359</v>
      </c>
      <c r="V55" s="15">
        <v>0.2888263459921781</v>
      </c>
      <c r="W55" s="15">
        <v>0.7024745056471362</v>
      </c>
    </row>
    <row r="56" spans="1:23" x14ac:dyDescent="0.2">
      <c r="A56" s="10" t="s">
        <v>68</v>
      </c>
      <c r="B56" s="11">
        <v>39771</v>
      </c>
      <c r="C56" s="11">
        <v>66308</v>
      </c>
      <c r="D56" s="11">
        <f t="shared" si="0"/>
        <v>107045</v>
      </c>
      <c r="E56" s="14">
        <f t="shared" si="1"/>
        <v>0.37153533560652063</v>
      </c>
      <c r="F56" s="15">
        <f t="shared" si="2"/>
        <v>0.61944042225232376</v>
      </c>
      <c r="G56" s="11">
        <v>4</v>
      </c>
      <c r="H56" s="11">
        <v>0</v>
      </c>
      <c r="I56" s="11">
        <v>0</v>
      </c>
      <c r="J56" s="11">
        <v>17</v>
      </c>
      <c r="K56" s="11">
        <v>220</v>
      </c>
      <c r="L56" s="11">
        <v>0</v>
      </c>
      <c r="M56" s="11">
        <v>0</v>
      </c>
      <c r="N56" s="11">
        <v>39771</v>
      </c>
      <c r="O56" s="11">
        <v>0</v>
      </c>
      <c r="P56" s="11">
        <v>0</v>
      </c>
      <c r="Q56" s="11">
        <v>523</v>
      </c>
      <c r="R56" s="11">
        <v>195</v>
      </c>
      <c r="S56" s="11">
        <v>66308</v>
      </c>
      <c r="T56" s="11">
        <v>7</v>
      </c>
      <c r="U56">
        <v>107045</v>
      </c>
      <c r="V56" s="15">
        <v>0.37153533560652063</v>
      </c>
      <c r="W56" s="15">
        <v>0.61944042225232376</v>
      </c>
    </row>
    <row r="57" spans="1:23" x14ac:dyDescent="0.2">
      <c r="A57" s="10" t="s">
        <v>69</v>
      </c>
      <c r="B57" s="11">
        <v>2202</v>
      </c>
      <c r="C57" s="11">
        <v>8127</v>
      </c>
      <c r="D57" s="11">
        <f t="shared" si="0"/>
        <v>10400</v>
      </c>
      <c r="E57" s="14">
        <f t="shared" si="1"/>
        <v>0.21173076923076922</v>
      </c>
      <c r="F57" s="15">
        <f t="shared" si="2"/>
        <v>0.78144230769230771</v>
      </c>
      <c r="G57" s="11">
        <v>0</v>
      </c>
      <c r="H57" s="11">
        <v>0</v>
      </c>
      <c r="I57" s="11">
        <v>0</v>
      </c>
      <c r="J57" s="11">
        <v>0</v>
      </c>
      <c r="K57" s="11">
        <v>22</v>
      </c>
      <c r="L57" s="11">
        <v>0</v>
      </c>
      <c r="M57" s="11">
        <v>0</v>
      </c>
      <c r="N57" s="11">
        <v>2202</v>
      </c>
      <c r="O57" s="11">
        <v>0</v>
      </c>
      <c r="P57" s="11">
        <v>0</v>
      </c>
      <c r="Q57" s="11">
        <v>28</v>
      </c>
      <c r="R57" s="11">
        <v>21</v>
      </c>
      <c r="S57" s="11">
        <v>8127</v>
      </c>
      <c r="T57" s="11">
        <v>0</v>
      </c>
      <c r="U57">
        <v>10400</v>
      </c>
      <c r="V57" s="15">
        <v>0.21173076923076922</v>
      </c>
      <c r="W57" s="15">
        <v>0.78144230769230771</v>
      </c>
    </row>
    <row r="58" spans="1:23" x14ac:dyDescent="0.2">
      <c r="A58" s="10" t="s">
        <v>70</v>
      </c>
      <c r="B58" s="11">
        <v>3865</v>
      </c>
      <c r="C58" s="11">
        <v>19710</v>
      </c>
      <c r="D58" s="11">
        <f t="shared" si="0"/>
        <v>23753</v>
      </c>
      <c r="E58" s="14">
        <f t="shared" si="1"/>
        <v>0.16271628846882499</v>
      </c>
      <c r="F58" s="15">
        <f t="shared" si="2"/>
        <v>0.82978992127310236</v>
      </c>
      <c r="G58" s="11">
        <v>0</v>
      </c>
      <c r="H58" s="11">
        <v>0</v>
      </c>
      <c r="I58" s="11">
        <v>0</v>
      </c>
      <c r="J58" s="11">
        <v>3</v>
      </c>
      <c r="K58" s="11">
        <v>59</v>
      </c>
      <c r="L58" s="11">
        <v>0</v>
      </c>
      <c r="M58" s="11">
        <v>0</v>
      </c>
      <c r="N58" s="11">
        <v>3865</v>
      </c>
      <c r="O58" s="11">
        <v>0</v>
      </c>
      <c r="P58" s="11">
        <v>0</v>
      </c>
      <c r="Q58" s="11">
        <v>72</v>
      </c>
      <c r="R58" s="11">
        <v>44</v>
      </c>
      <c r="S58" s="11">
        <v>19710</v>
      </c>
      <c r="T58" s="11">
        <v>0</v>
      </c>
      <c r="U58">
        <v>23753</v>
      </c>
      <c r="V58" s="15">
        <v>0.16271628846882499</v>
      </c>
      <c r="W58" s="15">
        <v>0.82978992127310236</v>
      </c>
    </row>
    <row r="59" spans="1:23" x14ac:dyDescent="0.2">
      <c r="A59" s="10" t="s">
        <v>71</v>
      </c>
      <c r="B59" s="11">
        <v>15969</v>
      </c>
      <c r="C59" s="11">
        <v>42677</v>
      </c>
      <c r="D59" s="11">
        <f t="shared" si="0"/>
        <v>59188</v>
      </c>
      <c r="E59" s="14">
        <f t="shared" si="1"/>
        <v>0.26980131107656957</v>
      </c>
      <c r="F59" s="15">
        <f t="shared" si="2"/>
        <v>0.7210414273163479</v>
      </c>
      <c r="G59" s="11">
        <v>0</v>
      </c>
      <c r="H59" s="11">
        <v>0</v>
      </c>
      <c r="I59" s="11">
        <v>0</v>
      </c>
      <c r="J59" s="11">
        <v>6</v>
      </c>
      <c r="K59" s="11">
        <v>130</v>
      </c>
      <c r="L59" s="11">
        <v>0</v>
      </c>
      <c r="M59" s="11">
        <v>0</v>
      </c>
      <c r="N59" s="11">
        <v>15969</v>
      </c>
      <c r="O59" s="11">
        <v>0</v>
      </c>
      <c r="P59" s="11">
        <v>0</v>
      </c>
      <c r="Q59" s="11">
        <v>311</v>
      </c>
      <c r="R59" s="11">
        <v>89</v>
      </c>
      <c r="S59" s="11">
        <v>42677</v>
      </c>
      <c r="T59" s="11">
        <v>6</v>
      </c>
      <c r="U59">
        <v>59188</v>
      </c>
      <c r="V59" s="15">
        <v>0.26980131107656957</v>
      </c>
      <c r="W59" s="15">
        <v>0.7210414273163479</v>
      </c>
    </row>
    <row r="60" spans="1:23" x14ac:dyDescent="0.2">
      <c r="A60" s="10" t="s">
        <v>72</v>
      </c>
      <c r="B60" s="11">
        <v>1336</v>
      </c>
      <c r="C60" s="11">
        <v>5396</v>
      </c>
      <c r="D60" s="11">
        <f t="shared" si="0"/>
        <v>6796</v>
      </c>
      <c r="E60" s="14">
        <f t="shared" si="1"/>
        <v>0.19658622719246616</v>
      </c>
      <c r="F60" s="15">
        <f t="shared" si="2"/>
        <v>0.79399646851088879</v>
      </c>
      <c r="G60" s="11">
        <v>0</v>
      </c>
      <c r="H60" s="11">
        <v>0</v>
      </c>
      <c r="I60" s="11">
        <v>0</v>
      </c>
      <c r="J60" s="11">
        <v>1</v>
      </c>
      <c r="K60" s="11">
        <v>33</v>
      </c>
      <c r="L60" s="11">
        <v>0</v>
      </c>
      <c r="M60" s="11">
        <v>0</v>
      </c>
      <c r="N60" s="11">
        <v>1336</v>
      </c>
      <c r="O60" s="11">
        <v>0</v>
      </c>
      <c r="P60" s="11">
        <v>0</v>
      </c>
      <c r="Q60" s="11">
        <v>15</v>
      </c>
      <c r="R60" s="11">
        <v>14</v>
      </c>
      <c r="S60" s="11">
        <v>5396</v>
      </c>
      <c r="T60" s="11">
        <v>1</v>
      </c>
      <c r="U60">
        <v>6796</v>
      </c>
      <c r="V60" s="15">
        <v>0.19658622719246616</v>
      </c>
      <c r="W60" s="15">
        <v>0.79399646851088879</v>
      </c>
    </row>
    <row r="61" spans="1:23" x14ac:dyDescent="0.2">
      <c r="A61" s="10" t="s">
        <v>73</v>
      </c>
      <c r="B61" s="11">
        <v>126767</v>
      </c>
      <c r="C61" s="11">
        <v>125566</v>
      </c>
      <c r="D61" s="11">
        <f t="shared" si="0"/>
        <v>254837</v>
      </c>
      <c r="E61" s="14">
        <f t="shared" si="1"/>
        <v>0.49744346386121324</v>
      </c>
      <c r="F61" s="15">
        <f t="shared" si="2"/>
        <v>0.49273064743345746</v>
      </c>
      <c r="G61" s="11">
        <v>1</v>
      </c>
      <c r="H61" s="11">
        <v>1</v>
      </c>
      <c r="I61" s="11">
        <v>0</v>
      </c>
      <c r="J61" s="11">
        <v>69</v>
      </c>
      <c r="K61" s="11">
        <v>524</v>
      </c>
      <c r="L61" s="11">
        <v>0</v>
      </c>
      <c r="M61" s="11">
        <v>0</v>
      </c>
      <c r="N61" s="11">
        <v>126767</v>
      </c>
      <c r="O61" s="11">
        <v>0</v>
      </c>
      <c r="P61" s="11">
        <v>0</v>
      </c>
      <c r="Q61" s="11">
        <v>1313</v>
      </c>
      <c r="R61" s="11">
        <v>545</v>
      </c>
      <c r="S61" s="11">
        <v>125566</v>
      </c>
      <c r="T61" s="11">
        <v>51</v>
      </c>
      <c r="U61">
        <v>254837</v>
      </c>
      <c r="V61" s="15">
        <v>0.49744346386121324</v>
      </c>
      <c r="W61" s="15">
        <v>0.49273064743345746</v>
      </c>
    </row>
    <row r="62" spans="1:23" x14ac:dyDescent="0.2">
      <c r="A62" s="10" t="s">
        <v>74</v>
      </c>
      <c r="B62" s="11">
        <v>1560</v>
      </c>
      <c r="C62" s="11">
        <v>5168</v>
      </c>
      <c r="D62" s="11">
        <f t="shared" si="0"/>
        <v>6782</v>
      </c>
      <c r="E62" s="14">
        <f t="shared" si="1"/>
        <v>0.23002064287820703</v>
      </c>
      <c r="F62" s="15">
        <f t="shared" si="2"/>
        <v>0.76201710409908585</v>
      </c>
      <c r="G62" s="11">
        <v>0</v>
      </c>
      <c r="H62" s="11">
        <v>0</v>
      </c>
      <c r="I62" s="11">
        <v>0</v>
      </c>
      <c r="J62" s="11">
        <v>0</v>
      </c>
      <c r="K62" s="11">
        <v>16</v>
      </c>
      <c r="L62" s="11">
        <v>0</v>
      </c>
      <c r="M62" s="11">
        <v>0</v>
      </c>
      <c r="N62" s="11">
        <v>1560</v>
      </c>
      <c r="O62" s="11">
        <v>0</v>
      </c>
      <c r="P62" s="11">
        <v>0</v>
      </c>
      <c r="Q62" s="11">
        <v>32</v>
      </c>
      <c r="R62" s="11">
        <v>6</v>
      </c>
      <c r="S62" s="11">
        <v>5168</v>
      </c>
      <c r="T62" s="11">
        <v>0</v>
      </c>
      <c r="U62">
        <v>6782</v>
      </c>
      <c r="V62" s="15">
        <v>0.23002064287820703</v>
      </c>
      <c r="W62" s="15">
        <v>0.76201710409908585</v>
      </c>
    </row>
    <row r="63" spans="1:23" x14ac:dyDescent="0.2">
      <c r="A63" s="10" t="s">
        <v>75</v>
      </c>
      <c r="B63" s="11">
        <v>4100</v>
      </c>
      <c r="C63" s="11">
        <v>14609</v>
      </c>
      <c r="D63" s="11">
        <f t="shared" si="0"/>
        <v>18857</v>
      </c>
      <c r="E63" s="14">
        <f t="shared" si="1"/>
        <v>0.21742588959007264</v>
      </c>
      <c r="F63" s="15">
        <f t="shared" si="2"/>
        <v>0.77472556610277354</v>
      </c>
      <c r="G63" s="11">
        <v>0</v>
      </c>
      <c r="H63" s="11">
        <v>0</v>
      </c>
      <c r="I63" s="11">
        <v>0</v>
      </c>
      <c r="J63" s="11">
        <v>0</v>
      </c>
      <c r="K63" s="11">
        <v>43</v>
      </c>
      <c r="L63" s="11">
        <v>0</v>
      </c>
      <c r="M63" s="11">
        <v>0</v>
      </c>
      <c r="N63" s="11">
        <v>4100</v>
      </c>
      <c r="O63" s="11">
        <v>0</v>
      </c>
      <c r="P63" s="11">
        <v>1</v>
      </c>
      <c r="Q63" s="11">
        <v>76</v>
      </c>
      <c r="R63" s="11">
        <v>27</v>
      </c>
      <c r="S63" s="11">
        <v>14609</v>
      </c>
      <c r="T63" s="11">
        <v>1</v>
      </c>
      <c r="U63">
        <v>18857</v>
      </c>
      <c r="V63" s="15">
        <v>0.21742588959007264</v>
      </c>
      <c r="W63" s="15">
        <v>0.77472556610277354</v>
      </c>
    </row>
    <row r="64" spans="1:23" x14ac:dyDescent="0.2">
      <c r="A64" s="10" t="s">
        <v>76</v>
      </c>
      <c r="B64" s="11">
        <v>10874</v>
      </c>
      <c r="C64" s="11">
        <v>28147</v>
      </c>
      <c r="D64" s="11">
        <f t="shared" si="0"/>
        <v>39331</v>
      </c>
      <c r="E64" s="14">
        <f t="shared" si="1"/>
        <v>0.27647402812031224</v>
      </c>
      <c r="F64" s="15">
        <f t="shared" si="2"/>
        <v>0.71564414838168366</v>
      </c>
      <c r="G64" s="11">
        <v>0</v>
      </c>
      <c r="H64" s="11">
        <v>0</v>
      </c>
      <c r="I64" s="11">
        <v>0</v>
      </c>
      <c r="J64" s="11">
        <v>2</v>
      </c>
      <c r="K64" s="11">
        <v>111</v>
      </c>
      <c r="L64" s="11">
        <v>0</v>
      </c>
      <c r="M64" s="11">
        <v>0</v>
      </c>
      <c r="N64" s="11">
        <v>10874</v>
      </c>
      <c r="O64" s="11">
        <v>0</v>
      </c>
      <c r="P64" s="11">
        <v>0</v>
      </c>
      <c r="Q64" s="11">
        <v>148</v>
      </c>
      <c r="R64" s="11">
        <v>47</v>
      </c>
      <c r="S64" s="11">
        <v>28147</v>
      </c>
      <c r="T64" s="11">
        <v>2</v>
      </c>
      <c r="U64">
        <v>39331</v>
      </c>
      <c r="V64" s="15">
        <v>0.27647402812031224</v>
      </c>
      <c r="W64" s="15">
        <v>0.71564414838168366</v>
      </c>
    </row>
    <row r="65" spans="1:23" x14ac:dyDescent="0.2">
      <c r="A65" s="10" t="s">
        <v>77</v>
      </c>
      <c r="B65" s="11">
        <v>1069</v>
      </c>
      <c r="C65" s="11">
        <v>5050</v>
      </c>
      <c r="D65" s="11">
        <f t="shared" si="0"/>
        <v>6161</v>
      </c>
      <c r="E65" s="14">
        <f t="shared" si="1"/>
        <v>0.17351079370232106</v>
      </c>
      <c r="F65" s="15">
        <f t="shared" si="2"/>
        <v>0.81967213114754101</v>
      </c>
      <c r="G65" s="11">
        <v>0</v>
      </c>
      <c r="H65" s="11">
        <v>0</v>
      </c>
      <c r="I65" s="11">
        <v>0</v>
      </c>
      <c r="J65" s="11">
        <v>0</v>
      </c>
      <c r="K65" s="11">
        <v>19</v>
      </c>
      <c r="L65" s="11">
        <v>0</v>
      </c>
      <c r="M65" s="11">
        <v>0</v>
      </c>
      <c r="N65" s="11">
        <v>1069</v>
      </c>
      <c r="O65" s="11">
        <v>0</v>
      </c>
      <c r="P65" s="11">
        <v>0</v>
      </c>
      <c r="Q65" s="11">
        <v>13</v>
      </c>
      <c r="R65" s="11">
        <v>10</v>
      </c>
      <c r="S65" s="11">
        <v>5050</v>
      </c>
      <c r="T65" s="11">
        <v>0</v>
      </c>
      <c r="U65">
        <v>6161</v>
      </c>
      <c r="V65" s="15">
        <v>0.17351079370232106</v>
      </c>
      <c r="W65" s="15">
        <v>0.81967213114754101</v>
      </c>
    </row>
    <row r="66" spans="1:23" x14ac:dyDescent="0.2">
      <c r="A66" s="10" t="s">
        <v>78</v>
      </c>
      <c r="B66" s="11">
        <v>8866</v>
      </c>
      <c r="C66" s="11">
        <v>14872</v>
      </c>
      <c r="D66" s="11">
        <f t="shared" si="0"/>
        <v>23960</v>
      </c>
      <c r="E66" s="14">
        <f t="shared" si="1"/>
        <v>0.37003338898163607</v>
      </c>
      <c r="F66" s="15">
        <f t="shared" si="2"/>
        <v>0.62070116861435731</v>
      </c>
      <c r="G66" s="11">
        <v>0</v>
      </c>
      <c r="H66" s="11">
        <v>0</v>
      </c>
      <c r="I66" s="11">
        <v>0</v>
      </c>
      <c r="J66" s="11">
        <v>4</v>
      </c>
      <c r="K66" s="11">
        <v>66</v>
      </c>
      <c r="L66" s="11">
        <v>0</v>
      </c>
      <c r="M66" s="11">
        <v>0</v>
      </c>
      <c r="N66" s="11">
        <v>8866</v>
      </c>
      <c r="O66" s="11">
        <v>0</v>
      </c>
      <c r="P66" s="11">
        <v>0</v>
      </c>
      <c r="Q66" s="11">
        <v>107</v>
      </c>
      <c r="R66" s="11">
        <v>45</v>
      </c>
      <c r="S66" s="11">
        <v>14872</v>
      </c>
      <c r="T66" s="11">
        <v>0</v>
      </c>
      <c r="U66">
        <v>23960</v>
      </c>
      <c r="V66" s="15">
        <v>0.37003338898163607</v>
      </c>
      <c r="W66" s="15">
        <v>0.62070116861435731</v>
      </c>
    </row>
    <row r="67" spans="1:23" x14ac:dyDescent="0.2">
      <c r="A67" s="10" t="s">
        <v>79</v>
      </c>
      <c r="B67" s="11">
        <v>1987</v>
      </c>
      <c r="C67" s="11">
        <v>7203</v>
      </c>
      <c r="D67" s="11">
        <f t="shared" si="0"/>
        <v>9277</v>
      </c>
      <c r="E67" s="14">
        <f t="shared" si="1"/>
        <v>0.2141856203514067</v>
      </c>
      <c r="F67" s="15">
        <f t="shared" si="2"/>
        <v>0.77643634795731375</v>
      </c>
      <c r="G67" s="11">
        <v>0</v>
      </c>
      <c r="H67" s="11">
        <v>0</v>
      </c>
      <c r="I67" s="11">
        <v>0</v>
      </c>
      <c r="J67" s="11">
        <v>0</v>
      </c>
      <c r="K67" s="11">
        <v>35</v>
      </c>
      <c r="L67" s="11">
        <v>0</v>
      </c>
      <c r="M67" s="11">
        <v>0</v>
      </c>
      <c r="N67" s="11">
        <v>1987</v>
      </c>
      <c r="O67" s="11">
        <v>0</v>
      </c>
      <c r="P67" s="11">
        <v>0</v>
      </c>
      <c r="Q67" s="11">
        <v>36</v>
      </c>
      <c r="R67" s="11">
        <v>15</v>
      </c>
      <c r="S67" s="11">
        <v>7203</v>
      </c>
      <c r="T67" s="11">
        <v>1</v>
      </c>
      <c r="U67">
        <v>9277</v>
      </c>
      <c r="V67" s="15">
        <v>0.2141856203514067</v>
      </c>
      <c r="W67" s="15">
        <v>0.77643634795731375</v>
      </c>
    </row>
    <row r="68" spans="1:23" x14ac:dyDescent="0.2">
      <c r="A68" s="10" t="s">
        <v>80</v>
      </c>
      <c r="B68" s="11">
        <v>3800</v>
      </c>
      <c r="C68" s="11">
        <v>13062</v>
      </c>
      <c r="D68" s="11">
        <f t="shared" si="0"/>
        <v>16992</v>
      </c>
      <c r="E68" s="14">
        <f t="shared" si="1"/>
        <v>0.2236346516007533</v>
      </c>
      <c r="F68" s="15">
        <f t="shared" si="2"/>
        <v>0.76871468926553677</v>
      </c>
      <c r="G68" s="11">
        <v>0</v>
      </c>
      <c r="H68" s="11">
        <v>0</v>
      </c>
      <c r="I68" s="11">
        <v>0</v>
      </c>
      <c r="J68" s="11">
        <v>1</v>
      </c>
      <c r="K68" s="11">
        <v>47</v>
      </c>
      <c r="L68" s="11">
        <v>0</v>
      </c>
      <c r="M68" s="11">
        <v>0</v>
      </c>
      <c r="N68" s="11">
        <v>3800</v>
      </c>
      <c r="O68" s="11">
        <v>0</v>
      </c>
      <c r="P68" s="11">
        <v>0</v>
      </c>
      <c r="Q68" s="11">
        <v>60</v>
      </c>
      <c r="R68" s="11">
        <v>22</v>
      </c>
      <c r="S68" s="11">
        <v>13062</v>
      </c>
      <c r="T68" s="11">
        <v>0</v>
      </c>
      <c r="U68">
        <v>16992</v>
      </c>
      <c r="V68" s="15">
        <v>0.2236346516007533</v>
      </c>
      <c r="W68" s="15">
        <v>0.76871468926553677</v>
      </c>
    </row>
    <row r="69" spans="1:23" x14ac:dyDescent="0.2">
      <c r="A69" s="10" t="s">
        <v>81</v>
      </c>
      <c r="B69" s="11">
        <v>7397</v>
      </c>
      <c r="C69" s="11">
        <v>21607</v>
      </c>
      <c r="D69" s="11">
        <f t="shared" si="0"/>
        <v>29280</v>
      </c>
      <c r="E69" s="14">
        <f t="shared" si="1"/>
        <v>0.25262978142076503</v>
      </c>
      <c r="F69" s="15">
        <f t="shared" si="2"/>
        <v>0.7379439890710382</v>
      </c>
      <c r="G69" s="11">
        <v>0</v>
      </c>
      <c r="H69" s="11">
        <v>0</v>
      </c>
      <c r="I69" s="11">
        <v>0</v>
      </c>
      <c r="J69" s="11">
        <v>3</v>
      </c>
      <c r="K69" s="11">
        <v>94</v>
      </c>
      <c r="L69" s="11">
        <v>0</v>
      </c>
      <c r="M69" s="11">
        <v>0</v>
      </c>
      <c r="N69" s="11">
        <v>7397</v>
      </c>
      <c r="O69" s="11">
        <v>0</v>
      </c>
      <c r="P69" s="11">
        <v>0</v>
      </c>
      <c r="Q69" s="11">
        <v>136</v>
      </c>
      <c r="R69" s="11">
        <v>41</v>
      </c>
      <c r="S69" s="11">
        <v>21607</v>
      </c>
      <c r="T69" s="11">
        <v>2</v>
      </c>
      <c r="U69">
        <v>29280</v>
      </c>
      <c r="V69" s="15">
        <v>0.25262978142076503</v>
      </c>
      <c r="W69" s="15">
        <v>0.7379439890710382</v>
      </c>
    </row>
    <row r="70" spans="1:23" x14ac:dyDescent="0.2">
      <c r="A70" s="10" t="s">
        <v>82</v>
      </c>
      <c r="B70" s="11">
        <v>2793</v>
      </c>
      <c r="C70" s="11">
        <v>9352</v>
      </c>
      <c r="D70" s="11">
        <f t="shared" ref="D70:D92" si="3">G70+H70+I70+J70+K70+L70+M70+N70+O70+P70+Q70+R70+S70+T70</f>
        <v>12218</v>
      </c>
      <c r="E70" s="14">
        <f t="shared" ref="E70:E92" si="4">B70/$D70</f>
        <v>0.22859715174332951</v>
      </c>
      <c r="F70" s="15">
        <f t="shared" ref="F70:F92" si="5">C70/$D70</f>
        <v>0.76542805696513339</v>
      </c>
      <c r="G70" s="11">
        <v>0</v>
      </c>
      <c r="H70" s="11">
        <v>0</v>
      </c>
      <c r="I70" s="11">
        <v>0</v>
      </c>
      <c r="J70" s="11">
        <v>0</v>
      </c>
      <c r="K70" s="11">
        <v>31</v>
      </c>
      <c r="L70" s="11">
        <v>0</v>
      </c>
      <c r="M70" s="11">
        <v>0</v>
      </c>
      <c r="N70" s="11">
        <v>2793</v>
      </c>
      <c r="O70" s="11">
        <v>0</v>
      </c>
      <c r="P70" s="11">
        <v>0</v>
      </c>
      <c r="Q70" s="11">
        <v>34</v>
      </c>
      <c r="R70" s="11">
        <v>8</v>
      </c>
      <c r="S70" s="11">
        <v>9352</v>
      </c>
      <c r="T70" s="11">
        <v>0</v>
      </c>
      <c r="U70">
        <v>12218</v>
      </c>
      <c r="V70" s="15">
        <v>0.22859715174332951</v>
      </c>
      <c r="W70" s="15">
        <v>0.76542805696513339</v>
      </c>
    </row>
    <row r="71" spans="1:23" x14ac:dyDescent="0.2">
      <c r="A71" s="10" t="s">
        <v>83</v>
      </c>
      <c r="B71" s="11">
        <v>34759</v>
      </c>
      <c r="C71" s="11">
        <v>47681</v>
      </c>
      <c r="D71" s="11">
        <f t="shared" si="3"/>
        <v>83226</v>
      </c>
      <c r="E71" s="14">
        <f t="shared" si="4"/>
        <v>0.41764592795520633</v>
      </c>
      <c r="F71" s="15">
        <f t="shared" si="5"/>
        <v>0.57290990796145436</v>
      </c>
      <c r="G71" s="11">
        <v>1</v>
      </c>
      <c r="H71" s="11">
        <v>0</v>
      </c>
      <c r="I71" s="11">
        <v>1</v>
      </c>
      <c r="J71" s="11">
        <v>26</v>
      </c>
      <c r="K71" s="11">
        <v>215</v>
      </c>
      <c r="L71" s="11">
        <v>0</v>
      </c>
      <c r="M71" s="11">
        <v>0</v>
      </c>
      <c r="N71" s="11">
        <v>34759</v>
      </c>
      <c r="O71" s="11">
        <v>0</v>
      </c>
      <c r="P71" s="11">
        <v>0</v>
      </c>
      <c r="Q71" s="11">
        <v>398</v>
      </c>
      <c r="R71" s="11">
        <v>128</v>
      </c>
      <c r="S71" s="11">
        <v>47681</v>
      </c>
      <c r="T71" s="11">
        <v>17</v>
      </c>
      <c r="U71">
        <v>83226</v>
      </c>
      <c r="V71" s="15">
        <v>0.41764592795520633</v>
      </c>
      <c r="W71" s="15">
        <v>0.57290990796145436</v>
      </c>
    </row>
    <row r="72" spans="1:23" x14ac:dyDescent="0.2">
      <c r="A72" s="10" t="s">
        <v>84</v>
      </c>
      <c r="B72" s="11">
        <v>4343</v>
      </c>
      <c r="C72" s="11">
        <v>17146</v>
      </c>
      <c r="D72" s="11">
        <f t="shared" si="3"/>
        <v>21656</v>
      </c>
      <c r="E72" s="14">
        <f t="shared" si="4"/>
        <v>0.20054488363502032</v>
      </c>
      <c r="F72" s="15">
        <f t="shared" si="5"/>
        <v>0.79174362763206496</v>
      </c>
      <c r="G72" s="11">
        <v>0</v>
      </c>
      <c r="H72" s="11">
        <v>0</v>
      </c>
      <c r="I72" s="11">
        <v>0</v>
      </c>
      <c r="J72" s="11">
        <v>2</v>
      </c>
      <c r="K72" s="11">
        <v>47</v>
      </c>
      <c r="L72" s="11">
        <v>0</v>
      </c>
      <c r="M72" s="11">
        <v>0</v>
      </c>
      <c r="N72" s="11">
        <v>4343</v>
      </c>
      <c r="O72" s="11">
        <v>0</v>
      </c>
      <c r="P72" s="11">
        <v>0</v>
      </c>
      <c r="Q72" s="11">
        <v>101</v>
      </c>
      <c r="R72" s="11">
        <v>16</v>
      </c>
      <c r="S72" s="11">
        <v>17146</v>
      </c>
      <c r="T72" s="11">
        <v>1</v>
      </c>
      <c r="U72">
        <v>21656</v>
      </c>
      <c r="V72" s="15">
        <v>0.20054488363502032</v>
      </c>
      <c r="W72" s="15">
        <v>0.79174362763206496</v>
      </c>
    </row>
    <row r="73" spans="1:23" x14ac:dyDescent="0.2">
      <c r="A73" s="10" t="s">
        <v>85</v>
      </c>
      <c r="B73" s="11">
        <v>2996</v>
      </c>
      <c r="C73" s="11">
        <v>16576</v>
      </c>
      <c r="D73" s="11">
        <f t="shared" si="3"/>
        <v>19758</v>
      </c>
      <c r="E73" s="14">
        <f t="shared" si="4"/>
        <v>0.15163478084826398</v>
      </c>
      <c r="F73" s="15">
        <f t="shared" si="5"/>
        <v>0.83895131086142327</v>
      </c>
      <c r="G73" s="11">
        <v>1</v>
      </c>
      <c r="H73" s="11">
        <v>0</v>
      </c>
      <c r="I73" s="11">
        <v>0</v>
      </c>
      <c r="J73" s="11">
        <v>2</v>
      </c>
      <c r="K73" s="11">
        <v>47</v>
      </c>
      <c r="L73" s="11">
        <v>0</v>
      </c>
      <c r="M73" s="11">
        <v>0</v>
      </c>
      <c r="N73" s="11">
        <v>2996</v>
      </c>
      <c r="O73" s="11">
        <v>0</v>
      </c>
      <c r="P73" s="11">
        <v>0</v>
      </c>
      <c r="Q73" s="11">
        <v>93</v>
      </c>
      <c r="R73" s="11">
        <v>42</v>
      </c>
      <c r="S73" s="11">
        <v>16576</v>
      </c>
      <c r="T73" s="11">
        <v>1</v>
      </c>
      <c r="U73">
        <v>19758</v>
      </c>
      <c r="V73" s="15">
        <v>0.15163478084826398</v>
      </c>
      <c r="W73" s="15">
        <v>0.83895131086142327</v>
      </c>
    </row>
    <row r="74" spans="1:23" x14ac:dyDescent="0.2">
      <c r="A74" s="10" t="s">
        <v>86</v>
      </c>
      <c r="B74" s="11">
        <v>16591</v>
      </c>
      <c r="C74" s="11">
        <v>41298</v>
      </c>
      <c r="D74" s="11">
        <f t="shared" si="3"/>
        <v>58362</v>
      </c>
      <c r="E74" s="14">
        <f t="shared" si="4"/>
        <v>0.28427744080052086</v>
      </c>
      <c r="F74" s="15">
        <f t="shared" si="5"/>
        <v>0.70761797059730647</v>
      </c>
      <c r="G74" s="11">
        <v>0</v>
      </c>
      <c r="H74" s="11">
        <v>0</v>
      </c>
      <c r="I74" s="11">
        <v>0</v>
      </c>
      <c r="J74" s="11">
        <v>2</v>
      </c>
      <c r="K74" s="11">
        <v>132</v>
      </c>
      <c r="L74" s="11">
        <v>0</v>
      </c>
      <c r="M74" s="11">
        <v>0</v>
      </c>
      <c r="N74" s="11">
        <v>16591</v>
      </c>
      <c r="O74" s="11">
        <v>0</v>
      </c>
      <c r="P74" s="11">
        <v>0</v>
      </c>
      <c r="Q74" s="11">
        <v>234</v>
      </c>
      <c r="R74" s="11">
        <v>103</v>
      </c>
      <c r="S74" s="11">
        <v>41298</v>
      </c>
      <c r="T74" s="11">
        <v>2</v>
      </c>
      <c r="U74">
        <v>58362</v>
      </c>
      <c r="V74" s="15">
        <v>0.28427744080052086</v>
      </c>
      <c r="W74" s="15">
        <v>0.70761797059730647</v>
      </c>
    </row>
    <row r="75" spans="1:23" x14ac:dyDescent="0.2">
      <c r="A75" s="10" t="s">
        <v>87</v>
      </c>
      <c r="B75" s="11">
        <v>9846</v>
      </c>
      <c r="C75" s="11">
        <v>22801</v>
      </c>
      <c r="D75" s="11">
        <f t="shared" si="3"/>
        <v>32932</v>
      </c>
      <c r="E75" s="14">
        <f t="shared" si="4"/>
        <v>0.29897971577796673</v>
      </c>
      <c r="F75" s="15">
        <f t="shared" si="5"/>
        <v>0.69236608769585817</v>
      </c>
      <c r="G75" s="11">
        <v>1</v>
      </c>
      <c r="H75" s="11">
        <v>0</v>
      </c>
      <c r="I75" s="11">
        <v>0</v>
      </c>
      <c r="J75" s="11">
        <v>0</v>
      </c>
      <c r="K75" s="11">
        <v>107</v>
      </c>
      <c r="L75" s="11">
        <v>0</v>
      </c>
      <c r="M75" s="11">
        <v>0</v>
      </c>
      <c r="N75" s="11">
        <v>9846</v>
      </c>
      <c r="O75" s="11">
        <v>0</v>
      </c>
      <c r="P75" s="11">
        <v>0</v>
      </c>
      <c r="Q75" s="11">
        <v>133</v>
      </c>
      <c r="R75" s="11">
        <v>43</v>
      </c>
      <c r="S75" s="11">
        <v>22801</v>
      </c>
      <c r="T75" s="11">
        <v>1</v>
      </c>
      <c r="U75">
        <v>32932</v>
      </c>
      <c r="V75" s="15">
        <v>0.29897971577796673</v>
      </c>
      <c r="W75" s="15">
        <v>0.69236608769585817</v>
      </c>
    </row>
    <row r="76" spans="1:23" x14ac:dyDescent="0.2">
      <c r="A76" s="10" t="s">
        <v>88</v>
      </c>
      <c r="B76" s="11">
        <v>10139</v>
      </c>
      <c r="C76" s="11">
        <v>19311</v>
      </c>
      <c r="D76" s="11">
        <f t="shared" si="3"/>
        <v>29716</v>
      </c>
      <c r="E76" s="14">
        <f t="shared" si="4"/>
        <v>0.34119666173105395</v>
      </c>
      <c r="F76" s="15">
        <f t="shared" si="5"/>
        <v>0.64985193161932964</v>
      </c>
      <c r="G76" s="11">
        <v>0</v>
      </c>
      <c r="H76" s="11">
        <v>0</v>
      </c>
      <c r="I76" s="11">
        <v>0</v>
      </c>
      <c r="J76" s="11">
        <v>3</v>
      </c>
      <c r="K76" s="11">
        <v>84</v>
      </c>
      <c r="L76" s="11">
        <v>0</v>
      </c>
      <c r="M76" s="11">
        <v>0</v>
      </c>
      <c r="N76" s="11">
        <v>10139</v>
      </c>
      <c r="O76" s="11">
        <v>0</v>
      </c>
      <c r="P76" s="11">
        <v>0</v>
      </c>
      <c r="Q76" s="11">
        <v>144</v>
      </c>
      <c r="R76" s="11">
        <v>35</v>
      </c>
      <c r="S76" s="11">
        <v>19311</v>
      </c>
      <c r="T76" s="11">
        <v>0</v>
      </c>
      <c r="U76">
        <v>29716</v>
      </c>
      <c r="V76" s="15">
        <v>0.34119666173105395</v>
      </c>
      <c r="W76" s="15">
        <v>0.64985193161932964</v>
      </c>
    </row>
    <row r="77" spans="1:23" x14ac:dyDescent="0.2">
      <c r="A77" s="10" t="s">
        <v>89</v>
      </c>
      <c r="B77" s="11">
        <v>8021</v>
      </c>
      <c r="C77" s="11">
        <v>22978</v>
      </c>
      <c r="D77" s="11">
        <f t="shared" si="3"/>
        <v>31180</v>
      </c>
      <c r="E77" s="14">
        <f t="shared" si="4"/>
        <v>0.25724823604874919</v>
      </c>
      <c r="F77" s="15">
        <f t="shared" si="5"/>
        <v>0.73694676074406673</v>
      </c>
      <c r="G77" s="11">
        <v>0</v>
      </c>
      <c r="H77" s="11">
        <v>0</v>
      </c>
      <c r="I77" s="11">
        <v>0</v>
      </c>
      <c r="J77" s="11">
        <v>0</v>
      </c>
      <c r="K77" s="11">
        <v>59</v>
      </c>
      <c r="L77" s="11">
        <v>0</v>
      </c>
      <c r="M77" s="11">
        <v>0</v>
      </c>
      <c r="N77" s="11">
        <v>8021</v>
      </c>
      <c r="O77" s="11">
        <v>0</v>
      </c>
      <c r="P77" s="11">
        <v>0</v>
      </c>
      <c r="Q77" s="11">
        <v>95</v>
      </c>
      <c r="R77" s="11">
        <v>26</v>
      </c>
      <c r="S77" s="11">
        <v>22978</v>
      </c>
      <c r="T77" s="11">
        <v>1</v>
      </c>
      <c r="U77">
        <v>31180</v>
      </c>
      <c r="V77" s="15">
        <v>0.25724823604874919</v>
      </c>
      <c r="W77" s="15">
        <v>0.73694676074406673</v>
      </c>
    </row>
    <row r="78" spans="1:23" x14ac:dyDescent="0.2">
      <c r="A78" s="10" t="s">
        <v>90</v>
      </c>
      <c r="B78" s="11">
        <v>7765</v>
      </c>
      <c r="C78" s="11">
        <v>17241</v>
      </c>
      <c r="D78" s="11">
        <f t="shared" si="3"/>
        <v>25263</v>
      </c>
      <c r="E78" s="14">
        <f t="shared" si="4"/>
        <v>0.30736650437398566</v>
      </c>
      <c r="F78" s="15">
        <f t="shared" si="5"/>
        <v>0.68246051537822117</v>
      </c>
      <c r="G78" s="11">
        <v>0</v>
      </c>
      <c r="H78" s="11">
        <v>0</v>
      </c>
      <c r="I78" s="11">
        <v>0</v>
      </c>
      <c r="J78" s="11">
        <v>0</v>
      </c>
      <c r="K78" s="11">
        <v>66</v>
      </c>
      <c r="L78" s="11">
        <v>0</v>
      </c>
      <c r="M78" s="11">
        <v>0</v>
      </c>
      <c r="N78" s="11">
        <v>7765</v>
      </c>
      <c r="O78" s="11">
        <v>0</v>
      </c>
      <c r="P78" s="11">
        <v>0</v>
      </c>
      <c r="Q78" s="11">
        <v>129</v>
      </c>
      <c r="R78" s="11">
        <v>61</v>
      </c>
      <c r="S78" s="11">
        <v>17241</v>
      </c>
      <c r="T78" s="11">
        <v>1</v>
      </c>
      <c r="U78">
        <v>25263</v>
      </c>
      <c r="V78" s="15">
        <v>0.30736650437398566</v>
      </c>
      <c r="W78" s="15">
        <v>0.68246051537822117</v>
      </c>
    </row>
    <row r="79" spans="1:23" x14ac:dyDescent="0.2">
      <c r="A79" s="10" t="s">
        <v>91</v>
      </c>
      <c r="B79" s="11">
        <v>4350</v>
      </c>
      <c r="C79" s="11">
        <v>20740</v>
      </c>
      <c r="D79" s="11">
        <f t="shared" si="3"/>
        <v>25288</v>
      </c>
      <c r="E79" s="14">
        <f t="shared" si="4"/>
        <v>0.17201834862385321</v>
      </c>
      <c r="F79" s="15">
        <f t="shared" si="5"/>
        <v>0.8201518506801645</v>
      </c>
      <c r="G79" s="11">
        <v>0</v>
      </c>
      <c r="H79" s="11">
        <v>0</v>
      </c>
      <c r="I79" s="11">
        <v>0</v>
      </c>
      <c r="J79" s="11">
        <v>0</v>
      </c>
      <c r="K79" s="11">
        <v>52</v>
      </c>
      <c r="L79" s="11">
        <v>0</v>
      </c>
      <c r="M79" s="11">
        <v>0</v>
      </c>
      <c r="N79" s="11">
        <v>4350</v>
      </c>
      <c r="O79" s="11">
        <v>0</v>
      </c>
      <c r="P79" s="11">
        <v>0</v>
      </c>
      <c r="Q79" s="11">
        <v>104</v>
      </c>
      <c r="R79" s="11">
        <v>42</v>
      </c>
      <c r="S79" s="11">
        <v>20740</v>
      </c>
      <c r="T79" s="11">
        <v>0</v>
      </c>
      <c r="U79">
        <v>25288</v>
      </c>
      <c r="V79" s="15">
        <v>0.17201834862385321</v>
      </c>
      <c r="W79" s="15">
        <v>0.8201518506801645</v>
      </c>
    </row>
    <row r="80" spans="1:23" x14ac:dyDescent="0.2">
      <c r="A80" s="10" t="s">
        <v>92</v>
      </c>
      <c r="B80" s="11">
        <v>71090</v>
      </c>
      <c r="C80" s="11">
        <v>111478</v>
      </c>
      <c r="D80" s="11">
        <f t="shared" si="3"/>
        <v>184193</v>
      </c>
      <c r="E80" s="14">
        <f t="shared" si="4"/>
        <v>0.38595386361045209</v>
      </c>
      <c r="F80" s="15">
        <f t="shared" si="5"/>
        <v>0.60522386844234033</v>
      </c>
      <c r="G80" s="11">
        <v>0</v>
      </c>
      <c r="H80" s="11">
        <v>1</v>
      </c>
      <c r="I80" s="11">
        <v>0</v>
      </c>
      <c r="J80" s="11">
        <v>21</v>
      </c>
      <c r="K80" s="11">
        <v>471</v>
      </c>
      <c r="L80" s="11">
        <v>0</v>
      </c>
      <c r="M80" s="11">
        <v>0</v>
      </c>
      <c r="N80" s="11">
        <v>71090</v>
      </c>
      <c r="O80" s="11">
        <v>1</v>
      </c>
      <c r="P80" s="11">
        <v>0</v>
      </c>
      <c r="Q80" s="11">
        <v>807</v>
      </c>
      <c r="R80" s="11">
        <v>312</v>
      </c>
      <c r="S80" s="11">
        <v>111478</v>
      </c>
      <c r="T80" s="11">
        <v>12</v>
      </c>
      <c r="U80">
        <v>184193</v>
      </c>
      <c r="V80" s="15">
        <v>0.38595386361045209</v>
      </c>
      <c r="W80" s="15">
        <v>0.60522386844234033</v>
      </c>
    </row>
    <row r="81" spans="1:23" x14ac:dyDescent="0.2">
      <c r="A81" s="10" t="s">
        <v>93</v>
      </c>
      <c r="B81" s="11">
        <v>145005</v>
      </c>
      <c r="C81" s="11">
        <v>125910</v>
      </c>
      <c r="D81" s="11">
        <f t="shared" si="3"/>
        <v>273571</v>
      </c>
      <c r="E81" s="14">
        <f t="shared" si="4"/>
        <v>0.53004521678101846</v>
      </c>
      <c r="F81" s="15">
        <f t="shared" si="5"/>
        <v>0.46024615182164774</v>
      </c>
      <c r="G81" s="11">
        <v>11</v>
      </c>
      <c r="H81" s="11">
        <v>0</v>
      </c>
      <c r="I81" s="11">
        <v>0</v>
      </c>
      <c r="J81" s="11">
        <v>91</v>
      </c>
      <c r="K81" s="11">
        <v>587</v>
      </c>
      <c r="L81" s="11">
        <v>0</v>
      </c>
      <c r="M81" s="11">
        <v>3</v>
      </c>
      <c r="N81" s="11">
        <v>145005</v>
      </c>
      <c r="O81" s="11">
        <v>0</v>
      </c>
      <c r="P81" s="11">
        <v>0</v>
      </c>
      <c r="Q81" s="11">
        <v>1346</v>
      </c>
      <c r="R81" s="11">
        <v>565</v>
      </c>
      <c r="S81" s="11">
        <v>125910</v>
      </c>
      <c r="T81" s="11">
        <v>53</v>
      </c>
      <c r="U81">
        <v>273571</v>
      </c>
      <c r="V81" s="15">
        <v>0.53004521678101846</v>
      </c>
      <c r="W81" s="15">
        <v>0.46024615182164774</v>
      </c>
    </row>
    <row r="82" spans="1:23" x14ac:dyDescent="0.2">
      <c r="A82" s="10" t="s">
        <v>94</v>
      </c>
      <c r="B82" s="11">
        <v>39758</v>
      </c>
      <c r="C82" s="11">
        <v>55983</v>
      </c>
      <c r="D82" s="11">
        <f t="shared" si="3"/>
        <v>96532</v>
      </c>
      <c r="E82" s="14">
        <f t="shared" si="4"/>
        <v>0.4118634235279493</v>
      </c>
      <c r="F82" s="15">
        <f t="shared" si="5"/>
        <v>0.57994240251937179</v>
      </c>
      <c r="G82" s="11">
        <v>2</v>
      </c>
      <c r="H82" s="11">
        <v>0</v>
      </c>
      <c r="I82" s="11">
        <v>1</v>
      </c>
      <c r="J82" s="11">
        <v>9</v>
      </c>
      <c r="K82" s="11">
        <v>252</v>
      </c>
      <c r="L82" s="11">
        <v>0</v>
      </c>
      <c r="M82" s="11">
        <v>0</v>
      </c>
      <c r="N82" s="11">
        <v>39758</v>
      </c>
      <c r="O82" s="11">
        <v>0</v>
      </c>
      <c r="P82" s="11">
        <v>0</v>
      </c>
      <c r="Q82" s="11">
        <v>403</v>
      </c>
      <c r="R82" s="11">
        <v>118</v>
      </c>
      <c r="S82" s="11">
        <v>55983</v>
      </c>
      <c r="T82" s="11">
        <v>6</v>
      </c>
      <c r="U82">
        <v>96532</v>
      </c>
      <c r="V82" s="15">
        <v>0.4118634235279493</v>
      </c>
      <c r="W82" s="15">
        <v>0.57994240251937179</v>
      </c>
    </row>
    <row r="83" spans="1:23" x14ac:dyDescent="0.2">
      <c r="A83" s="10" t="s">
        <v>95</v>
      </c>
      <c r="B83" s="11">
        <v>12032</v>
      </c>
      <c r="C83" s="11">
        <v>30652</v>
      </c>
      <c r="D83" s="11">
        <f t="shared" si="3"/>
        <v>43023</v>
      </c>
      <c r="E83" s="14">
        <f t="shared" si="4"/>
        <v>0.27966436557190338</v>
      </c>
      <c r="F83" s="15">
        <f t="shared" si="5"/>
        <v>0.71245612811751857</v>
      </c>
      <c r="G83" s="11">
        <v>0</v>
      </c>
      <c r="H83" s="11">
        <v>0</v>
      </c>
      <c r="I83" s="11">
        <v>0</v>
      </c>
      <c r="J83" s="11">
        <v>3</v>
      </c>
      <c r="K83" s="11">
        <v>106</v>
      </c>
      <c r="L83" s="11">
        <v>0</v>
      </c>
      <c r="M83" s="11">
        <v>0</v>
      </c>
      <c r="N83" s="11">
        <v>12032</v>
      </c>
      <c r="O83" s="11">
        <v>0</v>
      </c>
      <c r="P83" s="11">
        <v>0</v>
      </c>
      <c r="Q83" s="11">
        <v>181</v>
      </c>
      <c r="R83" s="11">
        <v>48</v>
      </c>
      <c r="S83" s="11">
        <v>30652</v>
      </c>
      <c r="T83" s="11">
        <v>1</v>
      </c>
      <c r="U83">
        <v>43023</v>
      </c>
      <c r="V83" s="15">
        <v>0.27966436557190338</v>
      </c>
      <c r="W83" s="15">
        <v>0.71245612811751857</v>
      </c>
    </row>
    <row r="84" spans="1:23" x14ac:dyDescent="0.2">
      <c r="A84" s="10" t="s">
        <v>96</v>
      </c>
      <c r="B84" s="11">
        <v>12934</v>
      </c>
      <c r="C84" s="11">
        <v>23982</v>
      </c>
      <c r="D84" s="11">
        <f t="shared" si="3"/>
        <v>37301</v>
      </c>
      <c r="E84" s="14">
        <f t="shared" si="4"/>
        <v>0.34674673601243933</v>
      </c>
      <c r="F84" s="15">
        <f t="shared" si="5"/>
        <v>0.64293182488405132</v>
      </c>
      <c r="G84" s="11">
        <v>1</v>
      </c>
      <c r="H84" s="11">
        <v>0</v>
      </c>
      <c r="I84" s="11">
        <v>0</v>
      </c>
      <c r="J84" s="11">
        <v>9</v>
      </c>
      <c r="K84" s="11">
        <v>72</v>
      </c>
      <c r="L84" s="11">
        <v>0</v>
      </c>
      <c r="M84" s="11">
        <v>0</v>
      </c>
      <c r="N84" s="11">
        <v>12934</v>
      </c>
      <c r="O84" s="11">
        <v>0</v>
      </c>
      <c r="P84" s="11">
        <v>0</v>
      </c>
      <c r="Q84" s="11">
        <v>241</v>
      </c>
      <c r="R84" s="11">
        <v>59</v>
      </c>
      <c r="S84" s="11">
        <v>23982</v>
      </c>
      <c r="T84" s="11">
        <v>3</v>
      </c>
      <c r="U84">
        <v>37301</v>
      </c>
      <c r="V84" s="15">
        <v>0.34674673601243933</v>
      </c>
      <c r="W84" s="15">
        <v>0.64293182488405132</v>
      </c>
    </row>
    <row r="85" spans="1:23" x14ac:dyDescent="0.2">
      <c r="A85" s="10" t="s">
        <v>97</v>
      </c>
      <c r="B85" s="11">
        <v>3000</v>
      </c>
      <c r="C85" s="11">
        <v>11616</v>
      </c>
      <c r="D85" s="11">
        <f t="shared" si="3"/>
        <v>14729</v>
      </c>
      <c r="E85" s="14">
        <f t="shared" si="4"/>
        <v>0.20367981533030077</v>
      </c>
      <c r="F85" s="15">
        <f t="shared" si="5"/>
        <v>0.7886482449589246</v>
      </c>
      <c r="G85" s="11">
        <v>0</v>
      </c>
      <c r="H85" s="11">
        <v>0</v>
      </c>
      <c r="I85" s="11">
        <v>0</v>
      </c>
      <c r="J85" s="11">
        <v>0</v>
      </c>
      <c r="K85" s="11">
        <v>33</v>
      </c>
      <c r="L85" s="11">
        <v>0</v>
      </c>
      <c r="M85" s="11">
        <v>0</v>
      </c>
      <c r="N85" s="11">
        <v>3000</v>
      </c>
      <c r="O85" s="11">
        <v>0</v>
      </c>
      <c r="P85" s="11">
        <v>0</v>
      </c>
      <c r="Q85" s="11">
        <v>58</v>
      </c>
      <c r="R85" s="11">
        <v>22</v>
      </c>
      <c r="S85" s="11">
        <v>11616</v>
      </c>
      <c r="T85" s="11">
        <v>0</v>
      </c>
      <c r="U85">
        <v>14729</v>
      </c>
      <c r="V85" s="15">
        <v>0.20367981533030077</v>
      </c>
      <c r="W85" s="15">
        <v>0.7886482449589246</v>
      </c>
    </row>
    <row r="86" spans="1:23" x14ac:dyDescent="0.2">
      <c r="A86" s="10" t="s">
        <v>98</v>
      </c>
      <c r="B86" s="11">
        <v>1169</v>
      </c>
      <c r="C86" s="11">
        <v>4531</v>
      </c>
      <c r="D86" s="11">
        <f t="shared" si="3"/>
        <v>5738</v>
      </c>
      <c r="E86" s="14">
        <f t="shared" si="4"/>
        <v>0.20372952248170095</v>
      </c>
      <c r="F86" s="15">
        <f t="shared" si="5"/>
        <v>0.78964796096200762</v>
      </c>
      <c r="G86" s="11">
        <v>0</v>
      </c>
      <c r="H86" s="11">
        <v>0</v>
      </c>
      <c r="I86" s="11">
        <v>0</v>
      </c>
      <c r="J86" s="11">
        <v>0</v>
      </c>
      <c r="K86" s="11">
        <v>11</v>
      </c>
      <c r="L86" s="11">
        <v>0</v>
      </c>
      <c r="M86" s="11">
        <v>0</v>
      </c>
      <c r="N86" s="11">
        <v>1169</v>
      </c>
      <c r="O86" s="11">
        <v>0</v>
      </c>
      <c r="P86" s="11">
        <v>0</v>
      </c>
      <c r="Q86" s="11">
        <v>20</v>
      </c>
      <c r="R86" s="11">
        <v>6</v>
      </c>
      <c r="S86" s="11">
        <v>4531</v>
      </c>
      <c r="T86" s="11">
        <v>1</v>
      </c>
      <c r="U86">
        <v>5738</v>
      </c>
      <c r="V86" s="15">
        <v>0.20372952248170095</v>
      </c>
      <c r="W86" s="15">
        <v>0.78964796096200762</v>
      </c>
    </row>
    <row r="87" spans="1:23" x14ac:dyDescent="0.2">
      <c r="A87" s="10" t="s">
        <v>99</v>
      </c>
      <c r="B87" s="11">
        <v>47128</v>
      </c>
      <c r="C87" s="11">
        <v>91132</v>
      </c>
      <c r="D87" s="11">
        <f t="shared" si="3"/>
        <v>139619</v>
      </c>
      <c r="E87" s="14">
        <f t="shared" si="4"/>
        <v>0.33754718197380013</v>
      </c>
      <c r="F87" s="15">
        <f t="shared" si="5"/>
        <v>0.65271918578416976</v>
      </c>
      <c r="G87" s="11">
        <v>3</v>
      </c>
      <c r="H87" s="11">
        <v>0</v>
      </c>
      <c r="I87" s="11">
        <v>0</v>
      </c>
      <c r="J87" s="11">
        <v>23</v>
      </c>
      <c r="K87" s="11">
        <v>248</v>
      </c>
      <c r="L87" s="11">
        <v>0</v>
      </c>
      <c r="M87" s="11">
        <v>0</v>
      </c>
      <c r="N87" s="11">
        <v>47128</v>
      </c>
      <c r="O87" s="11">
        <v>0</v>
      </c>
      <c r="P87" s="11">
        <v>0</v>
      </c>
      <c r="Q87" s="11">
        <v>829</v>
      </c>
      <c r="R87" s="11">
        <v>256</v>
      </c>
      <c r="S87" s="11">
        <v>91132</v>
      </c>
      <c r="T87" s="11">
        <v>0</v>
      </c>
      <c r="U87">
        <v>139619</v>
      </c>
      <c r="V87" s="15">
        <v>0.33754718197380013</v>
      </c>
      <c r="W87" s="15">
        <v>0.65271918578416976</v>
      </c>
    </row>
    <row r="88" spans="1:23" x14ac:dyDescent="0.2">
      <c r="A88" s="10" t="s">
        <v>100</v>
      </c>
      <c r="B88" s="11">
        <v>8600</v>
      </c>
      <c r="C88" s="11">
        <v>22161</v>
      </c>
      <c r="D88" s="11">
        <f t="shared" si="3"/>
        <v>31000</v>
      </c>
      <c r="E88" s="14">
        <f t="shared" si="4"/>
        <v>0.27741935483870966</v>
      </c>
      <c r="F88" s="15">
        <f t="shared" si="5"/>
        <v>0.71487096774193548</v>
      </c>
      <c r="G88" s="11">
        <v>0</v>
      </c>
      <c r="H88" s="11">
        <v>0</v>
      </c>
      <c r="I88" s="11">
        <v>0</v>
      </c>
      <c r="J88" s="11">
        <v>0</v>
      </c>
      <c r="K88" s="11">
        <v>76</v>
      </c>
      <c r="L88" s="11">
        <v>0</v>
      </c>
      <c r="M88" s="11">
        <v>0</v>
      </c>
      <c r="N88" s="11">
        <v>8600</v>
      </c>
      <c r="O88" s="11">
        <v>0</v>
      </c>
      <c r="P88" s="11">
        <v>0</v>
      </c>
      <c r="Q88" s="11">
        <v>124</v>
      </c>
      <c r="R88" s="11">
        <v>39</v>
      </c>
      <c r="S88" s="11">
        <v>22161</v>
      </c>
      <c r="T88" s="11">
        <v>0</v>
      </c>
      <c r="U88">
        <v>31000</v>
      </c>
      <c r="V88" s="15">
        <v>0.27741935483870966</v>
      </c>
      <c r="W88" s="15">
        <v>0.71487096774193548</v>
      </c>
    </row>
    <row r="89" spans="1:23" x14ac:dyDescent="0.2">
      <c r="A89" s="10" t="s">
        <v>101</v>
      </c>
      <c r="B89" s="11">
        <v>15898</v>
      </c>
      <c r="C89" s="11">
        <v>36764</v>
      </c>
      <c r="D89" s="11">
        <f t="shared" si="3"/>
        <v>53150</v>
      </c>
      <c r="E89" s="14">
        <f t="shared" si="4"/>
        <v>0.29911571025399813</v>
      </c>
      <c r="F89" s="15">
        <f t="shared" si="5"/>
        <v>0.69170272812793976</v>
      </c>
      <c r="G89" s="11">
        <v>1</v>
      </c>
      <c r="H89" s="11">
        <v>0</v>
      </c>
      <c r="I89" s="11">
        <v>0</v>
      </c>
      <c r="J89" s="11">
        <v>7</v>
      </c>
      <c r="K89" s="11">
        <v>122</v>
      </c>
      <c r="L89" s="11">
        <v>0</v>
      </c>
      <c r="M89" s="11">
        <v>0</v>
      </c>
      <c r="N89" s="11">
        <v>15898</v>
      </c>
      <c r="O89" s="11">
        <v>0</v>
      </c>
      <c r="P89" s="11">
        <v>0</v>
      </c>
      <c r="Q89" s="11">
        <v>220</v>
      </c>
      <c r="R89" s="11">
        <v>136</v>
      </c>
      <c r="S89" s="11">
        <v>36764</v>
      </c>
      <c r="T89" s="11">
        <v>2</v>
      </c>
      <c r="U89">
        <v>53150</v>
      </c>
      <c r="V89" s="15">
        <v>0.29911571025399813</v>
      </c>
      <c r="W89" s="15">
        <v>0.69170272812793976</v>
      </c>
    </row>
    <row r="90" spans="1:23" x14ac:dyDescent="0.2">
      <c r="A90" s="10" t="s">
        <v>102</v>
      </c>
      <c r="B90" s="11">
        <v>4644</v>
      </c>
      <c r="C90" s="11">
        <v>13461</v>
      </c>
      <c r="D90" s="11">
        <f t="shared" si="3"/>
        <v>18275</v>
      </c>
      <c r="E90" s="14">
        <f t="shared" si="4"/>
        <v>0.2541176470588235</v>
      </c>
      <c r="F90" s="15">
        <f t="shared" si="5"/>
        <v>0.73658002735978112</v>
      </c>
      <c r="G90" s="11">
        <v>0</v>
      </c>
      <c r="H90" s="11">
        <v>0</v>
      </c>
      <c r="I90" s="11">
        <v>0</v>
      </c>
      <c r="J90" s="11">
        <v>0</v>
      </c>
      <c r="K90" s="11">
        <v>66</v>
      </c>
      <c r="L90" s="11">
        <v>0</v>
      </c>
      <c r="M90" s="11">
        <v>0</v>
      </c>
      <c r="N90" s="11">
        <v>4644</v>
      </c>
      <c r="O90" s="11">
        <v>0</v>
      </c>
      <c r="P90" s="11">
        <v>0</v>
      </c>
      <c r="Q90" s="11">
        <v>79</v>
      </c>
      <c r="R90" s="11">
        <v>24</v>
      </c>
      <c r="S90" s="11">
        <v>13461</v>
      </c>
      <c r="T90" s="11">
        <v>1</v>
      </c>
      <c r="U90">
        <v>18275</v>
      </c>
      <c r="V90" s="15">
        <v>0.2541176470588235</v>
      </c>
      <c r="W90" s="15">
        <v>0.73658002735978112</v>
      </c>
    </row>
    <row r="91" spans="1:23" x14ac:dyDescent="0.2">
      <c r="A91" s="10" t="s">
        <v>103</v>
      </c>
      <c r="B91" s="11">
        <v>30016</v>
      </c>
      <c r="C91" s="11">
        <v>36877</v>
      </c>
      <c r="D91" s="11">
        <f t="shared" si="3"/>
        <v>67586</v>
      </c>
      <c r="E91" s="14">
        <f t="shared" si="4"/>
        <v>0.44411564525197528</v>
      </c>
      <c r="F91" s="15">
        <f t="shared" si="5"/>
        <v>0.54563075193087329</v>
      </c>
      <c r="G91" s="11">
        <v>2</v>
      </c>
      <c r="H91" s="11">
        <v>0</v>
      </c>
      <c r="I91" s="11">
        <v>0</v>
      </c>
      <c r="J91" s="11">
        <v>18</v>
      </c>
      <c r="K91" s="11">
        <v>155</v>
      </c>
      <c r="L91" s="11">
        <v>0</v>
      </c>
      <c r="M91" s="11">
        <v>0</v>
      </c>
      <c r="N91" s="11">
        <v>30016</v>
      </c>
      <c r="O91" s="11">
        <v>0</v>
      </c>
      <c r="P91" s="11">
        <v>0</v>
      </c>
      <c r="Q91" s="11">
        <v>394</v>
      </c>
      <c r="R91" s="11">
        <v>123</v>
      </c>
      <c r="S91" s="11">
        <v>36877</v>
      </c>
      <c r="T91" s="11">
        <v>1</v>
      </c>
      <c r="U91">
        <v>67586</v>
      </c>
      <c r="V91" s="15">
        <v>0.44411564525197528</v>
      </c>
      <c r="W91" s="15">
        <v>0.54563075193087329</v>
      </c>
    </row>
    <row r="92" spans="1:23" x14ac:dyDescent="0.2">
      <c r="A92" s="10" t="s">
        <v>104</v>
      </c>
      <c r="B92" s="11">
        <v>2731</v>
      </c>
      <c r="C92" s="11">
        <v>8564</v>
      </c>
      <c r="D92" s="11">
        <f t="shared" si="3"/>
        <v>11390</v>
      </c>
      <c r="E92" s="14">
        <f t="shared" si="4"/>
        <v>0.23977172958735732</v>
      </c>
      <c r="F92" s="15">
        <f t="shared" si="5"/>
        <v>0.75188762071992976</v>
      </c>
      <c r="G92" s="11">
        <v>0</v>
      </c>
      <c r="H92" s="11">
        <v>0</v>
      </c>
      <c r="I92" s="11">
        <v>0</v>
      </c>
      <c r="J92" s="11">
        <v>1</v>
      </c>
      <c r="K92" s="11">
        <v>35</v>
      </c>
      <c r="L92" s="11">
        <v>0</v>
      </c>
      <c r="M92" s="11">
        <v>0</v>
      </c>
      <c r="N92" s="11">
        <v>2731</v>
      </c>
      <c r="O92" s="11">
        <v>0</v>
      </c>
      <c r="P92" s="11">
        <v>0</v>
      </c>
      <c r="Q92" s="11">
        <v>40</v>
      </c>
      <c r="R92" s="11">
        <v>19</v>
      </c>
      <c r="S92" s="11">
        <v>8564</v>
      </c>
      <c r="T92" s="11">
        <v>0</v>
      </c>
      <c r="U92">
        <v>11390</v>
      </c>
      <c r="V92" s="15">
        <v>0.23977172958735732</v>
      </c>
      <c r="W92" s="15">
        <v>0.75188762071992976</v>
      </c>
    </row>
  </sheetData>
  <mergeCells count="1">
    <mergeCell ref="G1:T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FA3F-6DFC-0F48-88B7-1B74818A31D0}">
  <dimension ref="A1:A6"/>
  <sheetViews>
    <sheetView workbookViewId="0">
      <selection activeCell="B12" sqref="B12"/>
    </sheetView>
  </sheetViews>
  <sheetFormatPr baseColWidth="10" defaultRowHeight="15" x14ac:dyDescent="0.2"/>
  <sheetData>
    <row r="1" spans="1:1" x14ac:dyDescent="0.2">
      <c r="A1" t="s">
        <v>105</v>
      </c>
    </row>
    <row r="2" spans="1:1" x14ac:dyDescent="0.2">
      <c r="A2" t="s">
        <v>106</v>
      </c>
    </row>
    <row r="3" spans="1:1" x14ac:dyDescent="0.2">
      <c r="A3" t="s">
        <v>109</v>
      </c>
    </row>
    <row r="4" spans="1:1" x14ac:dyDescent="0.2">
      <c r="A4" t="s">
        <v>110</v>
      </c>
    </row>
    <row r="5" spans="1:1" x14ac:dyDescent="0.2">
      <c r="A5" t="s">
        <v>111</v>
      </c>
    </row>
    <row r="6" spans="1:1" x14ac:dyDescent="0.2">
      <c r="A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President and Vice President</vt:lpstr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A Thomas</dc:creator>
  <cp:lastModifiedBy>Noah A Thomas</cp:lastModifiedBy>
  <dcterms:created xsi:type="dcterms:W3CDTF">2025-01-28T19:50:02Z</dcterms:created>
  <dcterms:modified xsi:type="dcterms:W3CDTF">2025-01-28T20:13:06Z</dcterms:modified>
</cp:coreProperties>
</file>